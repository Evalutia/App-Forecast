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26e5ef5cd69a787/ESCRITORIO/"/>
    </mc:Choice>
  </mc:AlternateContent>
  <xr:revisionPtr revIDLastSave="16" documentId="13_ncr:1_{EC66A9EF-1967-4EA1-9154-F0C2BA2E1962}" xr6:coauthVersionLast="47" xr6:coauthVersionMax="47" xr10:uidLastSave="{4CB0E137-4553-4F7F-AE63-74EFA68E301C}"/>
  <bookViews>
    <workbookView xWindow="-109" yWindow="-109" windowWidth="26301" windowHeight="14169" activeTab="1" xr2:uid="{00000000-000D-0000-FFFF-FFFF00000000}"/>
  </bookViews>
  <sheets>
    <sheet name="Ventas" sheetId="1" r:id="rId1"/>
    <sheet name="Compras" sheetId="2" r:id="rId2"/>
    <sheet name="Busqueda" sheetId="3" r:id="rId3"/>
  </sheets>
  <functionGroups builtInGroupCount="19"/>
  <definedNames>
    <definedName name="_xlnm._FilterDatabase" localSheetId="1" hidden="1">Compras!$A$4:$AH$307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6" i="2" l="1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5" i="2"/>
  <c r="Y216" i="1"/>
  <c r="Y215" i="1"/>
  <c r="AB214" i="1"/>
  <c r="AB213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E296" i="1"/>
  <c r="AK295" i="1"/>
  <c r="AE295" i="1"/>
  <c r="AK294" i="1"/>
  <c r="AE294" i="1"/>
  <c r="AK293" i="1"/>
  <c r="AE293" i="1"/>
  <c r="AK292" i="1"/>
  <c r="AK291" i="1"/>
  <c r="AE291" i="1"/>
  <c r="AK290" i="1"/>
  <c r="AE290" i="1"/>
  <c r="AK289" i="1"/>
  <c r="AE289" i="1"/>
  <c r="AK288" i="1"/>
  <c r="AE288" i="1"/>
  <c r="G202" i="2" s="1"/>
  <c r="AK287" i="1"/>
  <c r="AE287" i="1"/>
  <c r="AK286" i="1"/>
  <c r="AE286" i="1"/>
  <c r="AK285" i="1"/>
  <c r="AE285" i="1"/>
  <c r="AK284" i="1"/>
  <c r="AE284" i="1"/>
  <c r="AK283" i="1"/>
  <c r="AE283" i="1"/>
  <c r="AK282" i="1"/>
  <c r="AE282" i="1"/>
  <c r="AK281" i="1"/>
  <c r="AE281" i="1"/>
  <c r="G197" i="2" s="1"/>
  <c r="P197" i="2" s="1"/>
  <c r="S197" i="2" s="1"/>
  <c r="AK280" i="1"/>
  <c r="AE280" i="1"/>
  <c r="AK279" i="1"/>
  <c r="AE279" i="1"/>
  <c r="AK278" i="1"/>
  <c r="AE278" i="1"/>
  <c r="AK277" i="1"/>
  <c r="AK276" i="1"/>
  <c r="AK275" i="1"/>
  <c r="AE275" i="1"/>
  <c r="AK274" i="1"/>
  <c r="AE274" i="1"/>
  <c r="G194" i="2" s="1"/>
  <c r="P194" i="2" s="1"/>
  <c r="Y194" i="2" s="1"/>
  <c r="AK273" i="1"/>
  <c r="AE273" i="1"/>
  <c r="AK272" i="1"/>
  <c r="AE272" i="1"/>
  <c r="AK271" i="1"/>
  <c r="AE271" i="1"/>
  <c r="AK270" i="1"/>
  <c r="AE270" i="1"/>
  <c r="G188" i="2" s="1"/>
  <c r="AK269" i="1"/>
  <c r="AE269" i="1"/>
  <c r="AK268" i="1"/>
  <c r="AE268" i="1"/>
  <c r="AK267" i="1"/>
  <c r="AE267" i="1"/>
  <c r="AK266" i="1"/>
  <c r="AE266" i="1"/>
  <c r="G273" i="2" s="1"/>
  <c r="AK265" i="1"/>
  <c r="AE265" i="1"/>
  <c r="G248" i="2" s="1"/>
  <c r="J248" i="2" s="1"/>
  <c r="AK264" i="1"/>
  <c r="AE264" i="1"/>
  <c r="AK263" i="1"/>
  <c r="AE263" i="1"/>
  <c r="AK262" i="1"/>
  <c r="AE262" i="1"/>
  <c r="AK261" i="1"/>
  <c r="AE261" i="1"/>
  <c r="AK260" i="1"/>
  <c r="AE260" i="1"/>
  <c r="AK259" i="1"/>
  <c r="AK258" i="1"/>
  <c r="AE258" i="1"/>
  <c r="AK257" i="1"/>
  <c r="AE257" i="1"/>
  <c r="G186" i="2" s="1"/>
  <c r="J186" i="2" s="1"/>
  <c r="AK256" i="1"/>
  <c r="AE256" i="1"/>
  <c r="AK255" i="1"/>
  <c r="AK254" i="1"/>
  <c r="AE254" i="1"/>
  <c r="AK253" i="1"/>
  <c r="AE253" i="1"/>
  <c r="AK252" i="1"/>
  <c r="AE252" i="1"/>
  <c r="G264" i="2" s="1"/>
  <c r="J264" i="2" s="1"/>
  <c r="AK251" i="1"/>
  <c r="AE251" i="1"/>
  <c r="AK250" i="1"/>
  <c r="AE250" i="1"/>
  <c r="AK249" i="1"/>
  <c r="AE249" i="1"/>
  <c r="AK248" i="1"/>
  <c r="AE248" i="1"/>
  <c r="AK247" i="1"/>
  <c r="AE247" i="1"/>
  <c r="G165" i="2" s="1"/>
  <c r="P165" i="2" s="1"/>
  <c r="S165" i="2" s="1"/>
  <c r="AK246" i="1"/>
  <c r="AE246" i="1"/>
  <c r="AK245" i="1"/>
  <c r="AE245" i="1"/>
  <c r="AK244" i="1"/>
  <c r="AE244" i="1"/>
  <c r="AK243" i="1"/>
  <c r="AE243" i="1"/>
  <c r="AK242" i="1"/>
  <c r="AE242" i="1"/>
  <c r="AK241" i="1"/>
  <c r="AE241" i="1"/>
  <c r="AK240" i="1"/>
  <c r="AE240" i="1"/>
  <c r="AK239" i="1"/>
  <c r="AE239" i="1"/>
  <c r="AK238" i="1"/>
  <c r="AE238" i="1"/>
  <c r="AK237" i="1"/>
  <c r="AE237" i="1"/>
  <c r="AK236" i="1"/>
  <c r="AE236" i="1"/>
  <c r="AK235" i="1"/>
  <c r="AK234" i="1"/>
  <c r="AK233" i="1"/>
  <c r="AK232" i="1"/>
  <c r="AK231" i="1"/>
  <c r="AE231" i="1"/>
  <c r="AK230" i="1"/>
  <c r="AE230" i="1"/>
  <c r="AK229" i="1"/>
  <c r="AE229" i="1"/>
  <c r="AK228" i="1"/>
  <c r="AE228" i="1"/>
  <c r="AK227" i="1"/>
  <c r="AE227" i="1"/>
  <c r="AK226" i="1"/>
  <c r="AE226" i="1"/>
  <c r="AK225" i="1"/>
  <c r="AE225" i="1"/>
  <c r="AK224" i="1"/>
  <c r="AE224" i="1"/>
  <c r="AK223" i="1"/>
  <c r="AE223" i="1"/>
  <c r="AK222" i="1"/>
  <c r="AE222" i="1"/>
  <c r="AK221" i="1"/>
  <c r="AE221" i="1"/>
  <c r="AK220" i="1"/>
  <c r="AE220" i="1"/>
  <c r="AK219" i="1"/>
  <c r="AE219" i="1"/>
  <c r="AK218" i="1"/>
  <c r="AE218" i="1"/>
  <c r="AK217" i="1"/>
  <c r="AE217" i="1"/>
  <c r="AK216" i="1"/>
  <c r="AK215" i="1"/>
  <c r="AE215" i="1"/>
  <c r="AK214" i="1"/>
  <c r="AK213" i="1"/>
  <c r="AK212" i="1"/>
  <c r="AE212" i="1"/>
  <c r="AK211" i="1"/>
  <c r="AE211" i="1"/>
  <c r="G149" i="2" s="1"/>
  <c r="P149" i="2" s="1"/>
  <c r="Y149" i="2" s="1"/>
  <c r="AA149" i="2" s="1"/>
  <c r="AK210" i="1"/>
  <c r="AE210" i="1"/>
  <c r="AK209" i="1"/>
  <c r="AE209" i="1"/>
  <c r="G147" i="2" s="1"/>
  <c r="AK208" i="1"/>
  <c r="AE208" i="1"/>
  <c r="AK207" i="1"/>
  <c r="AB207" i="1"/>
  <c r="AK206" i="1"/>
  <c r="AE206" i="1"/>
  <c r="AK205" i="1"/>
  <c r="AE205" i="1"/>
  <c r="AK204" i="1"/>
  <c r="AE204" i="1"/>
  <c r="AK203" i="1"/>
  <c r="AK202" i="1"/>
  <c r="AK201" i="1"/>
  <c r="AE201" i="1"/>
  <c r="AK200" i="1"/>
  <c r="AE200" i="1"/>
  <c r="AK199" i="1"/>
  <c r="AE199" i="1"/>
  <c r="AK198" i="1"/>
  <c r="AK197" i="1"/>
  <c r="AK196" i="1"/>
  <c r="AK195" i="1"/>
  <c r="AK194" i="1"/>
  <c r="AE194" i="1"/>
  <c r="AK193" i="1"/>
  <c r="AE193" i="1"/>
  <c r="AK192" i="1"/>
  <c r="AE192" i="1"/>
  <c r="AK191" i="1"/>
  <c r="AE191" i="1"/>
  <c r="AK190" i="1"/>
  <c r="AE190" i="1"/>
  <c r="AK189" i="1"/>
  <c r="AE189" i="1"/>
  <c r="AK188" i="1"/>
  <c r="AE188" i="1"/>
  <c r="AK187" i="1"/>
  <c r="AE187" i="1"/>
  <c r="AK186" i="1"/>
  <c r="AE186" i="1"/>
  <c r="AK185" i="1"/>
  <c r="AE185" i="1"/>
  <c r="AK184" i="1"/>
  <c r="AE184" i="1"/>
  <c r="AK183" i="1"/>
  <c r="AE183" i="1"/>
  <c r="AK182" i="1"/>
  <c r="AE182" i="1"/>
  <c r="AK181" i="1"/>
  <c r="AE181" i="1"/>
  <c r="AK180" i="1"/>
  <c r="AE180" i="1"/>
  <c r="AK179" i="1"/>
  <c r="AE179" i="1"/>
  <c r="AK178" i="1"/>
  <c r="AE178" i="1"/>
  <c r="AK177" i="1"/>
  <c r="AE177" i="1"/>
  <c r="AK176" i="1"/>
  <c r="AE176" i="1"/>
  <c r="AK175" i="1"/>
  <c r="AE175" i="1"/>
  <c r="AK174" i="1"/>
  <c r="AE174" i="1"/>
  <c r="AK173" i="1"/>
  <c r="AE173" i="1"/>
  <c r="AK172" i="1"/>
  <c r="AE172" i="1"/>
  <c r="AK171" i="1"/>
  <c r="AE171" i="1"/>
  <c r="AK170" i="1"/>
  <c r="AE170" i="1"/>
  <c r="G118" i="2" s="1"/>
  <c r="P118" i="2" s="1"/>
  <c r="AK169" i="1"/>
  <c r="AE169" i="1"/>
  <c r="AK168" i="1"/>
  <c r="AE168" i="1"/>
  <c r="AK167" i="1"/>
  <c r="AE167" i="1"/>
  <c r="AK166" i="1"/>
  <c r="AE166" i="1"/>
  <c r="AK165" i="1"/>
  <c r="AE165" i="1"/>
  <c r="AK164" i="1"/>
  <c r="AE164" i="1"/>
  <c r="AK163" i="1"/>
  <c r="AE163" i="1"/>
  <c r="AK162" i="1"/>
  <c r="AE162" i="1"/>
  <c r="AK161" i="1"/>
  <c r="AE161" i="1"/>
  <c r="AK160" i="1"/>
  <c r="AE160" i="1"/>
  <c r="AK159" i="1"/>
  <c r="AE159" i="1"/>
  <c r="AK158" i="1"/>
  <c r="AE158" i="1"/>
  <c r="AK157" i="1"/>
  <c r="AE157" i="1"/>
  <c r="AK156" i="1"/>
  <c r="AK155" i="1"/>
  <c r="AE155" i="1"/>
  <c r="AK154" i="1"/>
  <c r="AE154" i="1"/>
  <c r="AK153" i="1"/>
  <c r="AE153" i="1"/>
  <c r="AK152" i="1"/>
  <c r="AE152" i="1"/>
  <c r="AK151" i="1"/>
  <c r="AE151" i="1"/>
  <c r="AK150" i="1"/>
  <c r="AK149" i="1"/>
  <c r="AK148" i="1"/>
  <c r="AE148" i="1"/>
  <c r="AK147" i="1"/>
  <c r="AK146" i="1"/>
  <c r="AK145" i="1"/>
  <c r="AK144" i="1"/>
  <c r="AK143" i="1"/>
  <c r="AK142" i="1"/>
  <c r="AK141" i="1"/>
  <c r="AK140" i="1"/>
  <c r="AK139" i="1"/>
  <c r="AE139" i="1"/>
  <c r="AK138" i="1"/>
  <c r="AE138" i="1"/>
  <c r="AK137" i="1"/>
  <c r="AE137" i="1"/>
  <c r="AK136" i="1"/>
  <c r="AE136" i="1"/>
  <c r="AK135" i="1"/>
  <c r="AE135" i="1"/>
  <c r="AK134" i="1"/>
  <c r="AK133" i="1"/>
  <c r="AE133" i="1"/>
  <c r="AK132" i="1"/>
  <c r="AE132" i="1"/>
  <c r="AK131" i="1"/>
  <c r="AE131" i="1"/>
  <c r="G100" i="2" s="1"/>
  <c r="P100" i="2" s="1"/>
  <c r="Y100" i="2" s="1"/>
  <c r="AK130" i="1"/>
  <c r="AE130" i="1"/>
  <c r="AK129" i="1"/>
  <c r="AE129" i="1"/>
  <c r="AK128" i="1"/>
  <c r="AE128" i="1"/>
  <c r="AK127" i="1"/>
  <c r="AE127" i="1"/>
  <c r="AK126" i="1"/>
  <c r="AE126" i="1"/>
  <c r="AK125" i="1"/>
  <c r="AE125" i="1"/>
  <c r="G94" i="2" s="1"/>
  <c r="P94" i="2" s="1"/>
  <c r="Y94" i="2" s="1"/>
  <c r="AA94" i="2" s="1"/>
  <c r="AK124" i="1"/>
  <c r="AE124" i="1"/>
  <c r="AK123" i="1"/>
  <c r="AE123" i="1"/>
  <c r="AK122" i="1"/>
  <c r="AE122" i="1"/>
  <c r="AK121" i="1"/>
  <c r="AE121" i="1"/>
  <c r="AK120" i="1"/>
  <c r="AK119" i="1"/>
  <c r="AK118" i="1"/>
  <c r="AE118" i="1"/>
  <c r="AK117" i="1"/>
  <c r="AK116" i="1"/>
  <c r="AE116" i="1"/>
  <c r="AK115" i="1"/>
  <c r="AK114" i="1"/>
  <c r="AE114" i="1"/>
  <c r="AK113" i="1"/>
  <c r="G254" i="2"/>
  <c r="H254" i="2" s="1"/>
  <c r="AK112" i="1"/>
  <c r="AK111" i="1"/>
  <c r="AK110" i="1"/>
  <c r="AK109" i="1"/>
  <c r="AK108" i="1"/>
  <c r="AE108" i="1"/>
  <c r="G88" i="2" s="1"/>
  <c r="J88" i="2" s="1"/>
  <c r="AK107" i="1"/>
  <c r="AE107" i="1"/>
  <c r="AK106" i="1"/>
  <c r="AE106" i="1"/>
  <c r="AK105" i="1"/>
  <c r="AE105" i="1"/>
  <c r="AK104" i="1"/>
  <c r="AE104" i="1"/>
  <c r="AK103" i="1"/>
  <c r="AE103" i="1"/>
  <c r="AK102" i="1"/>
  <c r="AE102" i="1"/>
  <c r="AK101" i="1"/>
  <c r="AE101" i="1"/>
  <c r="AK100" i="1"/>
  <c r="AE100" i="1"/>
  <c r="AK99" i="1"/>
  <c r="AK98" i="1"/>
  <c r="AE98" i="1"/>
  <c r="AK97" i="1"/>
  <c r="AE97" i="1"/>
  <c r="AK96" i="1"/>
  <c r="AE96" i="1"/>
  <c r="AK95" i="1"/>
  <c r="AE95" i="1"/>
  <c r="AK94" i="1"/>
  <c r="AE94" i="1"/>
  <c r="AK93" i="1"/>
  <c r="AE93" i="1"/>
  <c r="G78" i="2" s="1"/>
  <c r="AK92" i="1"/>
  <c r="AK91" i="1"/>
  <c r="AK90" i="1"/>
  <c r="AK89" i="1"/>
  <c r="AE89" i="1"/>
  <c r="AK88" i="1"/>
  <c r="AE88" i="1"/>
  <c r="AK87" i="1"/>
  <c r="AE87" i="1"/>
  <c r="AK86" i="1"/>
  <c r="AE86" i="1"/>
  <c r="G74" i="2" s="1"/>
  <c r="J74" i="2" s="1"/>
  <c r="AK85" i="1"/>
  <c r="AE85" i="1"/>
  <c r="AK84" i="1"/>
  <c r="AE84" i="1"/>
  <c r="AK83" i="1"/>
  <c r="AE83" i="1"/>
  <c r="AK82" i="1"/>
  <c r="AK81" i="1"/>
  <c r="AE81" i="1"/>
  <c r="AK80" i="1"/>
  <c r="AE80" i="1"/>
  <c r="AK79" i="1"/>
  <c r="AE79" i="1"/>
  <c r="AK78" i="1"/>
  <c r="AE78" i="1"/>
  <c r="AK77" i="1"/>
  <c r="AE77" i="1"/>
  <c r="G69" i="2" s="1"/>
  <c r="P69" i="2" s="1"/>
  <c r="Y69" i="2" s="1"/>
  <c r="AK76" i="1"/>
  <c r="AE76" i="1"/>
  <c r="AK75" i="1"/>
  <c r="AK74" i="1"/>
  <c r="AK73" i="1"/>
  <c r="AE73" i="1"/>
  <c r="AK72" i="1"/>
  <c r="AK71" i="1"/>
  <c r="AE71" i="1"/>
  <c r="AK70" i="1"/>
  <c r="AE70" i="1"/>
  <c r="AK69" i="1"/>
  <c r="AE69" i="1"/>
  <c r="G282" i="2" s="1"/>
  <c r="J282" i="2" s="1"/>
  <c r="AK68" i="1"/>
  <c r="AE68" i="1"/>
  <c r="AK67" i="1"/>
  <c r="AK66" i="1"/>
  <c r="AK65" i="1"/>
  <c r="AE65" i="1"/>
  <c r="AK64" i="1"/>
  <c r="AK63" i="1"/>
  <c r="AK62" i="1"/>
  <c r="AE62" i="1"/>
  <c r="AK61" i="1"/>
  <c r="AE61" i="1"/>
  <c r="AK60" i="1"/>
  <c r="AE60" i="1"/>
  <c r="G63" i="2" s="1"/>
  <c r="J63" i="2" s="1"/>
  <c r="AK59" i="1"/>
  <c r="AE59" i="1"/>
  <c r="AK58" i="1"/>
  <c r="AE58" i="1"/>
  <c r="AK57" i="1"/>
  <c r="AE57" i="1"/>
  <c r="AK56" i="1"/>
  <c r="AK55" i="1"/>
  <c r="AK54" i="1"/>
  <c r="AE54" i="1"/>
  <c r="AK53" i="1"/>
  <c r="AK52" i="1"/>
  <c r="AE52" i="1"/>
  <c r="AK51" i="1"/>
  <c r="AK50" i="1"/>
  <c r="AK49" i="1"/>
  <c r="AK48" i="1"/>
  <c r="AK47" i="1"/>
  <c r="AK46" i="1"/>
  <c r="AE46" i="1"/>
  <c r="AK45" i="1"/>
  <c r="AE45" i="1"/>
  <c r="AK44" i="1"/>
  <c r="AE44" i="1"/>
  <c r="G286" i="2" s="1"/>
  <c r="AK43" i="1"/>
  <c r="AE43" i="1"/>
  <c r="AK42" i="1"/>
  <c r="AE42" i="1"/>
  <c r="AK41" i="1"/>
  <c r="AE41" i="1"/>
  <c r="AK40" i="1"/>
  <c r="AE40" i="1"/>
  <c r="AK39" i="1"/>
  <c r="AE39" i="1"/>
  <c r="AK38" i="1"/>
  <c r="AE38" i="1"/>
  <c r="AK37" i="1"/>
  <c r="AE37" i="1"/>
  <c r="AK36" i="1"/>
  <c r="AE36" i="1"/>
  <c r="AK35" i="1"/>
  <c r="AE35" i="1"/>
  <c r="AK34" i="1"/>
  <c r="AE34" i="1"/>
  <c r="AK33" i="1"/>
  <c r="AE33" i="1"/>
  <c r="AK32" i="1"/>
  <c r="AE32" i="1"/>
  <c r="AK31" i="1"/>
  <c r="AE31" i="1"/>
  <c r="AK30" i="1"/>
  <c r="AK29" i="1"/>
  <c r="AE29" i="1"/>
  <c r="AK28" i="1"/>
  <c r="AE28" i="1"/>
  <c r="AK27" i="1"/>
  <c r="AE27" i="1"/>
  <c r="AK26" i="1"/>
  <c r="AE26" i="1"/>
  <c r="AK25" i="1"/>
  <c r="AE25" i="1"/>
  <c r="AK24" i="1"/>
  <c r="AE24" i="1"/>
  <c r="AK23" i="1"/>
  <c r="AE23" i="1"/>
  <c r="AK22" i="1"/>
  <c r="AE22" i="1"/>
  <c r="AK21" i="1"/>
  <c r="AE21" i="1"/>
  <c r="AK20" i="1"/>
  <c r="AK19" i="1"/>
  <c r="AE19" i="1"/>
  <c r="AK18" i="1"/>
  <c r="AE18" i="1"/>
  <c r="AK17" i="1"/>
  <c r="AE17" i="1"/>
  <c r="G250" i="2" s="1"/>
  <c r="J250" i="2" s="1"/>
  <c r="AK16" i="1"/>
  <c r="AK15" i="1"/>
  <c r="AE15" i="1"/>
  <c r="G175" i="2" s="1"/>
  <c r="P175" i="2" s="1"/>
  <c r="AK14" i="1"/>
  <c r="AE14" i="1"/>
  <c r="AK13" i="1"/>
  <c r="AE13" i="1"/>
  <c r="AK12" i="1"/>
  <c r="AE12" i="1"/>
  <c r="AK11" i="1"/>
  <c r="AE11" i="1"/>
  <c r="G55" i="2" s="1"/>
  <c r="P55" i="2" s="1"/>
  <c r="AK10" i="1"/>
  <c r="AE10" i="1"/>
  <c r="G54" i="2" s="1"/>
  <c r="J54" i="2" s="1"/>
  <c r="AK9" i="1"/>
  <c r="AE9" i="1"/>
  <c r="AK8" i="1"/>
  <c r="AE8" i="1"/>
  <c r="G225" i="2" s="1"/>
  <c r="J225" i="2" s="1"/>
  <c r="AK7" i="1"/>
  <c r="AE7" i="1"/>
  <c r="AK6" i="1"/>
  <c r="AE6" i="1"/>
  <c r="AK5" i="1"/>
  <c r="AE5" i="1"/>
  <c r="AK4" i="1"/>
  <c r="AE4" i="1"/>
  <c r="AK3" i="1"/>
  <c r="AE3" i="1"/>
  <c r="AK2" i="1"/>
  <c r="AE2" i="1"/>
  <c r="G207" i="2"/>
  <c r="P207" i="2" s="1"/>
  <c r="G48" i="2"/>
  <c r="J48" i="2" s="1"/>
  <c r="G206" i="2"/>
  <c r="H206" i="2" s="1"/>
  <c r="G217" i="2"/>
  <c r="G205" i="2"/>
  <c r="G204" i="2"/>
  <c r="J204" i="2" s="1"/>
  <c r="G203" i="2"/>
  <c r="P203" i="2" s="1"/>
  <c r="Y203" i="2" s="1"/>
  <c r="G201" i="2"/>
  <c r="P201" i="2" s="1"/>
  <c r="G143" i="2"/>
  <c r="J143" i="2" s="1"/>
  <c r="G142" i="2"/>
  <c r="G199" i="2"/>
  <c r="G198" i="2"/>
  <c r="P198" i="2" s="1"/>
  <c r="S198" i="2" s="1"/>
  <c r="G196" i="2"/>
  <c r="G237" i="2"/>
  <c r="J237" i="2" s="1"/>
  <c r="G215" i="2"/>
  <c r="P215" i="2" s="1"/>
  <c r="G245" i="2"/>
  <c r="G240" i="2"/>
  <c r="J240" i="2" s="1"/>
  <c r="G193" i="2"/>
  <c r="P193" i="2" s="1"/>
  <c r="Y193" i="2" s="1"/>
  <c r="G192" i="2"/>
  <c r="J192" i="2" s="1"/>
  <c r="G191" i="2"/>
  <c r="J191" i="2" s="1"/>
  <c r="G190" i="2"/>
  <c r="J190" i="2" s="1"/>
  <c r="G189" i="2"/>
  <c r="G232" i="2"/>
  <c r="G220" i="2"/>
  <c r="J220" i="2" s="1"/>
  <c r="G216" i="2"/>
  <c r="J216" i="2" s="1"/>
  <c r="G249" i="2"/>
  <c r="G241" i="2"/>
  <c r="G51" i="2"/>
  <c r="G261" i="2"/>
  <c r="P261" i="2" s="1"/>
  <c r="G46" i="2"/>
  <c r="P46" i="2" s="1"/>
  <c r="S46" i="2" s="1"/>
  <c r="G246" i="2"/>
  <c r="P246" i="2" s="1"/>
  <c r="S246" i="2" s="1"/>
  <c r="G33" i="2"/>
  <c r="H33" i="2" s="1"/>
  <c r="G227" i="2"/>
  <c r="H227" i="2" s="1"/>
  <c r="G256" i="2"/>
  <c r="G31" i="2"/>
  <c r="P31" i="2" s="1"/>
  <c r="Q31" i="2" s="1"/>
  <c r="G265" i="2"/>
  <c r="H265" i="2" s="1"/>
  <c r="G290" i="2"/>
  <c r="P290" i="2" s="1"/>
  <c r="Q290" i="2" s="1"/>
  <c r="G28" i="2"/>
  <c r="P28" i="2" s="1"/>
  <c r="G213" i="2"/>
  <c r="G16" i="2"/>
  <c r="P16" i="2" s="1"/>
  <c r="Y16" i="2" s="1"/>
  <c r="Z16" i="2" s="1"/>
  <c r="G270" i="2"/>
  <c r="H270" i="2" s="1"/>
  <c r="G263" i="2"/>
  <c r="J263" i="2" s="1"/>
  <c r="G257" i="2"/>
  <c r="P257" i="2" s="1"/>
  <c r="Q257" i="2" s="1"/>
  <c r="G183" i="2"/>
  <c r="G182" i="2"/>
  <c r="J182" i="2" s="1"/>
  <c r="G279" i="2"/>
  <c r="G209" i="2"/>
  <c r="P209" i="2" s="1"/>
  <c r="Y209" i="2" s="1"/>
  <c r="AA209" i="2" s="1"/>
  <c r="G180" i="2"/>
  <c r="G208" i="2"/>
  <c r="J208" i="2" s="1"/>
  <c r="G178" i="2"/>
  <c r="J178" i="2" s="1"/>
  <c r="G177" i="2"/>
  <c r="P177" i="2" s="1"/>
  <c r="S177" i="2" s="1"/>
  <c r="G224" i="2"/>
  <c r="G176" i="2"/>
  <c r="H176" i="2" s="1"/>
  <c r="G278" i="2"/>
  <c r="H278" i="2" s="1"/>
  <c r="G11" i="2"/>
  <c r="G14" i="2"/>
  <c r="G173" i="2"/>
  <c r="G172" i="2"/>
  <c r="P172" i="2" s="1"/>
  <c r="G170" i="2"/>
  <c r="G169" i="2"/>
  <c r="J169" i="2" s="1"/>
  <c r="G168" i="2"/>
  <c r="P168" i="2" s="1"/>
  <c r="G167" i="2"/>
  <c r="J167" i="2" s="1"/>
  <c r="G164" i="2"/>
  <c r="P164" i="2" s="1"/>
  <c r="S164" i="2" s="1"/>
  <c r="G163" i="2"/>
  <c r="P163" i="2" s="1"/>
  <c r="Y163" i="2" s="1"/>
  <c r="AA163" i="2" s="1"/>
  <c r="G162" i="2"/>
  <c r="G160" i="2"/>
  <c r="G159" i="2"/>
  <c r="J159" i="2" s="1"/>
  <c r="G158" i="2"/>
  <c r="P158" i="2" s="1"/>
  <c r="G157" i="2"/>
  <c r="J157" i="2" s="1"/>
  <c r="G104" i="2"/>
  <c r="G156" i="2"/>
  <c r="G155" i="2"/>
  <c r="P155" i="2" s="1"/>
  <c r="S155" i="2" s="1"/>
  <c r="G30" i="2"/>
  <c r="P30" i="2" s="1"/>
  <c r="S30" i="2" s="1"/>
  <c r="G50" i="2"/>
  <c r="P50" i="2" s="1"/>
  <c r="Y50" i="2" s="1"/>
  <c r="G34" i="2"/>
  <c r="H34" i="2" s="1"/>
  <c r="G32" i="2"/>
  <c r="J32" i="2" s="1"/>
  <c r="G43" i="2"/>
  <c r="H43" i="2" s="1"/>
  <c r="G154" i="2"/>
  <c r="P154" i="2" s="1"/>
  <c r="G153" i="2"/>
  <c r="P153" i="2" s="1"/>
  <c r="S153" i="2" s="1"/>
  <c r="G152" i="2"/>
  <c r="P152" i="2" s="1"/>
  <c r="G19" i="2"/>
  <c r="H19" i="2" s="1"/>
  <c r="G296" i="2"/>
  <c r="J296" i="2" s="1"/>
  <c r="G22" i="2"/>
  <c r="G15" i="2"/>
  <c r="H15" i="2" s="1"/>
  <c r="G281" i="2"/>
  <c r="P281" i="2" s="1"/>
  <c r="Q281" i="2" s="1"/>
  <c r="G289" i="2"/>
  <c r="P289" i="2" s="1"/>
  <c r="S289" i="2" s="1"/>
  <c r="G291" i="2"/>
  <c r="P291" i="2" s="1"/>
  <c r="G294" i="2"/>
  <c r="H294" i="2" s="1"/>
  <c r="G298" i="2"/>
  <c r="J298" i="2" s="1"/>
  <c r="G151" i="2"/>
  <c r="J151" i="2" s="1"/>
  <c r="G150" i="2"/>
  <c r="P150" i="2" s="1"/>
  <c r="G7" i="2"/>
  <c r="H7" i="2" s="1"/>
  <c r="G9" i="2"/>
  <c r="H9" i="2" s="1"/>
  <c r="G8" i="2"/>
  <c r="H8" i="2" s="1"/>
  <c r="G5" i="2"/>
  <c r="G42" i="2"/>
  <c r="G148" i="2"/>
  <c r="G146" i="2"/>
  <c r="J146" i="2" s="1"/>
  <c r="G44" i="2"/>
  <c r="H44" i="2" s="1"/>
  <c r="G145" i="2"/>
  <c r="G29" i="2"/>
  <c r="H29" i="2" s="1"/>
  <c r="G40" i="2"/>
  <c r="G258" i="2"/>
  <c r="J258" i="2" s="1"/>
  <c r="G219" i="2"/>
  <c r="J219" i="2" s="1"/>
  <c r="G210" i="2"/>
  <c r="P210" i="2" s="1"/>
  <c r="G21" i="2"/>
  <c r="H21" i="2" s="1"/>
  <c r="G144" i="2"/>
  <c r="G276" i="2"/>
  <c r="H276" i="2" s="1"/>
  <c r="G288" i="2"/>
  <c r="P288" i="2" s="1"/>
  <c r="Y288" i="2" s="1"/>
  <c r="G6" i="2"/>
  <c r="G285" i="2"/>
  <c r="J285" i="2" s="1"/>
  <c r="G141" i="2"/>
  <c r="P141" i="2" s="1"/>
  <c r="S141" i="2" s="1"/>
  <c r="G140" i="2"/>
  <c r="P140" i="2" s="1"/>
  <c r="G268" i="2"/>
  <c r="G138" i="2"/>
  <c r="G136" i="2"/>
  <c r="J136" i="2" s="1"/>
  <c r="G134" i="2"/>
  <c r="P134" i="2" s="1"/>
  <c r="G287" i="2"/>
  <c r="J287" i="2" s="1"/>
  <c r="G133" i="2"/>
  <c r="J133" i="2" s="1"/>
  <c r="G131" i="2"/>
  <c r="P131" i="2" s="1"/>
  <c r="G130" i="2"/>
  <c r="J130" i="2" s="1"/>
  <c r="G129" i="2"/>
  <c r="P129" i="2" s="1"/>
  <c r="S129" i="2" s="1"/>
  <c r="G128" i="2"/>
  <c r="P128" i="2" s="1"/>
  <c r="Y128" i="2" s="1"/>
  <c r="G127" i="2"/>
  <c r="J127" i="2" s="1"/>
  <c r="G125" i="2"/>
  <c r="J125" i="2" s="1"/>
  <c r="G124" i="2"/>
  <c r="J124" i="2" s="1"/>
  <c r="G123" i="2"/>
  <c r="J123" i="2" s="1"/>
  <c r="G122" i="2"/>
  <c r="G121" i="2"/>
  <c r="P121" i="2" s="1"/>
  <c r="G120" i="2"/>
  <c r="J120" i="2" s="1"/>
  <c r="G119" i="2"/>
  <c r="G242" i="2"/>
  <c r="G259" i="2"/>
  <c r="P259" i="2" s="1"/>
  <c r="S259" i="2" s="1"/>
  <c r="G231" i="2"/>
  <c r="G243" i="2"/>
  <c r="P243" i="2" s="1"/>
  <c r="S243" i="2" s="1"/>
  <c r="G116" i="2"/>
  <c r="J116" i="2" s="1"/>
  <c r="G115" i="2"/>
  <c r="G114" i="2"/>
  <c r="J114" i="2" s="1"/>
  <c r="G113" i="2"/>
  <c r="P113" i="2" s="1"/>
  <c r="G284" i="2"/>
  <c r="P284" i="2" s="1"/>
  <c r="S284" i="2" s="1"/>
  <c r="G112" i="2"/>
  <c r="P112" i="2" s="1"/>
  <c r="Y112" i="2" s="1"/>
  <c r="Z112" i="2" s="1"/>
  <c r="G111" i="2"/>
  <c r="G110" i="2"/>
  <c r="P110" i="2" s="1"/>
  <c r="G109" i="2"/>
  <c r="J109" i="2" s="1"/>
  <c r="G230" i="2"/>
  <c r="J230" i="2" s="1"/>
  <c r="G108" i="2"/>
  <c r="P108" i="2" s="1"/>
  <c r="S108" i="2" s="1"/>
  <c r="G107" i="2"/>
  <c r="J107" i="2" s="1"/>
  <c r="G103" i="2"/>
  <c r="J103" i="2" s="1"/>
  <c r="G106" i="2"/>
  <c r="J106" i="2" s="1"/>
  <c r="G105" i="2"/>
  <c r="P105" i="2" s="1"/>
  <c r="Y105" i="2" s="1"/>
  <c r="AA105" i="2" s="1"/>
  <c r="AC105" i="2" s="1"/>
  <c r="G17" i="2"/>
  <c r="P17" i="2" s="1"/>
  <c r="G18" i="2"/>
  <c r="H18" i="2" s="1"/>
  <c r="G102" i="2"/>
  <c r="P102" i="2" s="1"/>
  <c r="G236" i="2"/>
  <c r="H236" i="2" s="1"/>
  <c r="G27" i="2"/>
  <c r="P27" i="2" s="1"/>
  <c r="Q27" i="2" s="1"/>
  <c r="G10" i="2"/>
  <c r="G36" i="2"/>
  <c r="J36" i="2" s="1"/>
  <c r="G41" i="2"/>
  <c r="J41" i="2" s="1"/>
  <c r="G229" i="2"/>
  <c r="P229" i="2" s="1"/>
  <c r="G35" i="2"/>
  <c r="H35" i="2" s="1"/>
  <c r="G45" i="2"/>
  <c r="P45" i="2" s="1"/>
  <c r="Q45" i="2" s="1"/>
  <c r="G222" i="2"/>
  <c r="H222" i="2" s="1"/>
  <c r="G244" i="2"/>
  <c r="P244" i="2" s="1"/>
  <c r="Q244" i="2" s="1"/>
  <c r="G252" i="2"/>
  <c r="P252" i="2" s="1"/>
  <c r="G255" i="2"/>
  <c r="G235" i="2"/>
  <c r="G37" i="2"/>
  <c r="P37" i="2" s="1"/>
  <c r="G262" i="2"/>
  <c r="P262" i="2" s="1"/>
  <c r="S262" i="2" s="1"/>
  <c r="G101" i="2"/>
  <c r="G99" i="2"/>
  <c r="G98" i="2"/>
  <c r="P98" i="2" s="1"/>
  <c r="S98" i="2" s="1"/>
  <c r="G97" i="2"/>
  <c r="P97" i="2" s="1"/>
  <c r="G96" i="2"/>
  <c r="G95" i="2"/>
  <c r="P95" i="2" s="1"/>
  <c r="G93" i="2"/>
  <c r="P93" i="2" s="1"/>
  <c r="S93" i="2" s="1"/>
  <c r="G92" i="2"/>
  <c r="G91" i="2"/>
  <c r="P91" i="2" s="1"/>
  <c r="G139" i="2"/>
  <c r="P139" i="2" s="1"/>
  <c r="G12" i="2"/>
  <c r="H12" i="2" s="1"/>
  <c r="G293" i="2"/>
  <c r="H293" i="2" s="1"/>
  <c r="G239" i="2"/>
  <c r="P239" i="2" s="1"/>
  <c r="G24" i="2"/>
  <c r="P24" i="2" s="1"/>
  <c r="G90" i="2"/>
  <c r="G49" i="2"/>
  <c r="G238" i="2"/>
  <c r="G89" i="2"/>
  <c r="J89" i="2" s="1"/>
  <c r="G253" i="2"/>
  <c r="J253" i="2" s="1"/>
  <c r="G39" i="2"/>
  <c r="H39" i="2" s="1"/>
  <c r="G271" i="2"/>
  <c r="P271" i="2" s="1"/>
  <c r="Y271" i="2" s="1"/>
  <c r="G87" i="2"/>
  <c r="J87" i="2" s="1"/>
  <c r="G86" i="2"/>
  <c r="P86" i="2" s="1"/>
  <c r="Y86" i="2" s="1"/>
  <c r="G226" i="2"/>
  <c r="H226" i="2" s="1"/>
  <c r="G234" i="2"/>
  <c r="J234" i="2" s="1"/>
  <c r="G85" i="2"/>
  <c r="J85" i="2" s="1"/>
  <c r="G84" i="2"/>
  <c r="P84" i="2" s="1"/>
  <c r="Y84" i="2" s="1"/>
  <c r="AA84" i="2" s="1"/>
  <c r="G83" i="2"/>
  <c r="P83" i="2" s="1"/>
  <c r="S83" i="2" s="1"/>
  <c r="G267" i="2"/>
  <c r="J267" i="2" s="1"/>
  <c r="G82" i="2"/>
  <c r="G81" i="2"/>
  <c r="P81" i="2" s="1"/>
  <c r="G26" i="2"/>
  <c r="G266" i="2"/>
  <c r="H266" i="2" s="1"/>
  <c r="G80" i="2"/>
  <c r="G79" i="2"/>
  <c r="H79" i="2" s="1"/>
  <c r="G277" i="2"/>
  <c r="J277" i="2" s="1"/>
  <c r="G13" i="2"/>
  <c r="G25" i="2"/>
  <c r="H25" i="2" s="1"/>
  <c r="G20" i="2"/>
  <c r="G77" i="2"/>
  <c r="P77" i="2" s="1"/>
  <c r="G76" i="2"/>
  <c r="P76" i="2" s="1"/>
  <c r="G75" i="2"/>
  <c r="P75" i="2" s="1"/>
  <c r="S75" i="2" s="1"/>
  <c r="G73" i="2"/>
  <c r="J73" i="2" s="1"/>
  <c r="G251" i="2"/>
  <c r="H251" i="2" s="1"/>
  <c r="G274" i="2"/>
  <c r="P274" i="2" s="1"/>
  <c r="G218" i="2"/>
  <c r="J218" i="2" s="1"/>
  <c r="G272" i="2"/>
  <c r="H272" i="2" s="1"/>
  <c r="G72" i="2"/>
  <c r="P72" i="2" s="1"/>
  <c r="Q72" i="2" s="1"/>
  <c r="G71" i="2"/>
  <c r="J71" i="2" s="1"/>
  <c r="G70" i="2"/>
  <c r="J70" i="2" s="1"/>
  <c r="G68" i="2"/>
  <c r="P68" i="2" s="1"/>
  <c r="G38" i="2"/>
  <c r="P38" i="2" s="1"/>
  <c r="G23" i="2"/>
  <c r="J23" i="2" s="1"/>
  <c r="G67" i="2"/>
  <c r="P67" i="2" s="1"/>
  <c r="Y67" i="2" s="1"/>
  <c r="G297" i="2"/>
  <c r="G295" i="2"/>
  <c r="J295" i="2" s="1"/>
  <c r="G280" i="2"/>
  <c r="J280" i="2" s="1"/>
  <c r="G283" i="2"/>
  <c r="P283" i="2" s="1"/>
  <c r="S283" i="2" s="1"/>
  <c r="G260" i="2"/>
  <c r="P260" i="2" s="1"/>
  <c r="Q260" i="2" s="1"/>
  <c r="G247" i="2"/>
  <c r="P247" i="2" s="1"/>
  <c r="Y247" i="2" s="1"/>
  <c r="G66" i="2"/>
  <c r="G211" i="2"/>
  <c r="P211" i="2" s="1"/>
  <c r="S211" i="2" s="1"/>
  <c r="G47" i="2"/>
  <c r="G65" i="2"/>
  <c r="G64" i="2"/>
  <c r="P64" i="2" s="1"/>
  <c r="S64" i="2" s="1"/>
  <c r="G62" i="2"/>
  <c r="J62" i="2" s="1"/>
  <c r="G61" i="2"/>
  <c r="J61" i="2" s="1"/>
  <c r="G275" i="2"/>
  <c r="J275" i="2" s="1"/>
  <c r="G292" i="2"/>
  <c r="G60" i="2"/>
  <c r="P60" i="2" s="1"/>
  <c r="S60" i="2" s="1"/>
  <c r="G59" i="2"/>
  <c r="J59" i="2" s="1"/>
  <c r="G58" i="2"/>
  <c r="P58" i="2" s="1"/>
  <c r="G212" i="2"/>
  <c r="P212" i="2" s="1"/>
  <c r="Y212" i="2" s="1"/>
  <c r="AA212" i="2" s="1"/>
  <c r="G221" i="2"/>
  <c r="P221" i="2" s="1"/>
  <c r="G57" i="2"/>
  <c r="P57" i="2" s="1"/>
  <c r="S57" i="2" s="1"/>
  <c r="G56" i="2"/>
  <c r="J56" i="2" s="1"/>
  <c r="G223" i="2"/>
  <c r="P223" i="2" s="1"/>
  <c r="Y223" i="2" s="1"/>
  <c r="G233" i="2"/>
  <c r="P233" i="2" s="1"/>
  <c r="Y233" i="2" s="1"/>
  <c r="G53" i="2"/>
  <c r="J53" i="2" s="1"/>
  <c r="J118" i="2" l="1"/>
  <c r="Y197" i="2"/>
  <c r="J215" i="2"/>
  <c r="P54" i="2"/>
  <c r="S54" i="2" s="1"/>
  <c r="J55" i="2"/>
  <c r="Y165" i="2"/>
  <c r="AA165" i="2" s="1"/>
  <c r="J94" i="2"/>
  <c r="P74" i="2"/>
  <c r="S74" i="2" s="1"/>
  <c r="J149" i="2"/>
  <c r="S260" i="2"/>
  <c r="J260" i="2"/>
  <c r="P33" i="2"/>
  <c r="Y33" i="2" s="1"/>
  <c r="Z33" i="2" s="1"/>
  <c r="Y260" i="2"/>
  <c r="AC260" i="2" s="1"/>
  <c r="AF260" i="2" s="1"/>
  <c r="AG260" i="2" s="1"/>
  <c r="J31" i="2"/>
  <c r="S31" i="2"/>
  <c r="Y83" i="2"/>
  <c r="AA83" i="2" s="1"/>
  <c r="P251" i="2"/>
  <c r="Q251" i="2" s="1"/>
  <c r="J33" i="2"/>
  <c r="J251" i="2"/>
  <c r="S105" i="2"/>
  <c r="Y31" i="2"/>
  <c r="AA31" i="2" s="1"/>
  <c r="S45" i="2"/>
  <c r="H271" i="2"/>
  <c r="J271" i="2"/>
  <c r="P21" i="2"/>
  <c r="S21" i="2" s="1"/>
  <c r="J69" i="2"/>
  <c r="J100" i="2"/>
  <c r="H16" i="2"/>
  <c r="S16" i="2"/>
  <c r="P35" i="2"/>
  <c r="S35" i="2" s="1"/>
  <c r="Y45" i="2"/>
  <c r="Z45" i="2" s="1"/>
  <c r="J29" i="2"/>
  <c r="J134" i="2"/>
  <c r="S163" i="2"/>
  <c r="J45" i="2"/>
  <c r="P236" i="2"/>
  <c r="Y236" i="2" s="1"/>
  <c r="AA236" i="2" s="1"/>
  <c r="P29" i="2"/>
  <c r="Y29" i="2" s="1"/>
  <c r="P19" i="2"/>
  <c r="Y19" i="2" s="1"/>
  <c r="H215" i="2"/>
  <c r="Y140" i="2"/>
  <c r="AA140" i="2" s="1"/>
  <c r="S140" i="2"/>
  <c r="Y110" i="2"/>
  <c r="AA110" i="2" s="1"/>
  <c r="S110" i="2"/>
  <c r="P15" i="2"/>
  <c r="S15" i="2" s="1"/>
  <c r="H208" i="2"/>
  <c r="Y246" i="2"/>
  <c r="Z246" i="2" s="1"/>
  <c r="J194" i="2"/>
  <c r="J203" i="2"/>
  <c r="H229" i="2"/>
  <c r="J141" i="2"/>
  <c r="J177" i="2"/>
  <c r="J229" i="2"/>
  <c r="H246" i="2"/>
  <c r="J15" i="2"/>
  <c r="H30" i="2"/>
  <c r="J226" i="2"/>
  <c r="J239" i="2"/>
  <c r="P41" i="2"/>
  <c r="Y41" i="2" s="1"/>
  <c r="S288" i="2"/>
  <c r="J30" i="2"/>
  <c r="J290" i="2"/>
  <c r="J168" i="2"/>
  <c r="P208" i="2"/>
  <c r="S208" i="2" s="1"/>
  <c r="S194" i="2"/>
  <c r="S203" i="2"/>
  <c r="P56" i="2"/>
  <c r="P109" i="2"/>
  <c r="S109" i="2" s="1"/>
  <c r="J276" i="2"/>
  <c r="P71" i="2"/>
  <c r="P276" i="2"/>
  <c r="Q276" i="2" s="1"/>
  <c r="Y155" i="2"/>
  <c r="AA155" i="2" s="1"/>
  <c r="H261" i="2"/>
  <c r="P88" i="2"/>
  <c r="J222" i="2"/>
  <c r="J110" i="2"/>
  <c r="P287" i="2"/>
  <c r="S287" i="2" s="1"/>
  <c r="J209" i="2"/>
  <c r="J261" i="2"/>
  <c r="P222" i="2"/>
  <c r="S222" i="2" s="1"/>
  <c r="P9" i="2"/>
  <c r="Q9" i="2" s="1"/>
  <c r="J19" i="2"/>
  <c r="H31" i="2"/>
  <c r="P116" i="2"/>
  <c r="Y116" i="2" s="1"/>
  <c r="AA116" i="2" s="1"/>
  <c r="P226" i="2"/>
  <c r="Q226" i="2" s="1"/>
  <c r="P63" i="2"/>
  <c r="Y63" i="2" s="1"/>
  <c r="AA63" i="2" s="1"/>
  <c r="J129" i="2"/>
  <c r="J158" i="2"/>
  <c r="H250" i="2"/>
  <c r="H289" i="2"/>
  <c r="P23" i="2"/>
  <c r="Y23" i="2" s="1"/>
  <c r="P103" i="2"/>
  <c r="Y103" i="2" s="1"/>
  <c r="AA103" i="2" s="1"/>
  <c r="J50" i="2"/>
  <c r="P190" i="2"/>
  <c r="S190" i="2" s="1"/>
  <c r="Q246" i="2"/>
  <c r="P34" i="2"/>
  <c r="Y34" i="2" s="1"/>
  <c r="AA34" i="2" s="1"/>
  <c r="J289" i="2"/>
  <c r="H41" i="2"/>
  <c r="P178" i="2"/>
  <c r="S178" i="2" s="1"/>
  <c r="J246" i="2"/>
  <c r="H290" i="2"/>
  <c r="P218" i="2"/>
  <c r="S218" i="2" s="1"/>
  <c r="H112" i="2"/>
  <c r="P250" i="2"/>
  <c r="Q250" i="2" s="1"/>
  <c r="H248" i="2"/>
  <c r="P237" i="2"/>
  <c r="Q237" i="2" s="1"/>
  <c r="J112" i="2"/>
  <c r="J154" i="2"/>
  <c r="P248" i="2"/>
  <c r="Y248" i="2" s="1"/>
  <c r="J60" i="2"/>
  <c r="H253" i="2"/>
  <c r="J17" i="2"/>
  <c r="Q112" i="2"/>
  <c r="J140" i="2"/>
  <c r="Y60" i="2"/>
  <c r="AA60" i="2" s="1"/>
  <c r="AC60" i="2" s="1"/>
  <c r="P253" i="2"/>
  <c r="Q253" i="2" s="1"/>
  <c r="J35" i="2"/>
  <c r="S112" i="2"/>
  <c r="P123" i="2"/>
  <c r="S123" i="2" s="1"/>
  <c r="J197" i="2"/>
  <c r="Y95" i="2"/>
  <c r="AA95" i="2" s="1"/>
  <c r="S95" i="2"/>
  <c r="S38" i="2"/>
  <c r="Q38" i="2"/>
  <c r="Y38" i="2"/>
  <c r="Z38" i="2" s="1"/>
  <c r="Y68" i="2"/>
  <c r="AA68" i="2" s="1"/>
  <c r="S68" i="2"/>
  <c r="Y24" i="2"/>
  <c r="S24" i="2"/>
  <c r="Q24" i="2"/>
  <c r="S252" i="2"/>
  <c r="Y252" i="2"/>
  <c r="Z252" i="2" s="1"/>
  <c r="Y131" i="2"/>
  <c r="AA131" i="2" s="1"/>
  <c r="S131" i="2"/>
  <c r="S139" i="2"/>
  <c r="Y139" i="2"/>
  <c r="AA139" i="2" s="1"/>
  <c r="Y210" i="2"/>
  <c r="Z210" i="2" s="1"/>
  <c r="S210" i="2"/>
  <c r="Q210" i="2"/>
  <c r="S102" i="2"/>
  <c r="Y102" i="2"/>
  <c r="AA102" i="2" s="1"/>
  <c r="Y121" i="2"/>
  <c r="AA121" i="2" s="1"/>
  <c r="S121" i="2"/>
  <c r="P217" i="2"/>
  <c r="Q217" i="2" s="1"/>
  <c r="J217" i="2"/>
  <c r="H217" i="2"/>
  <c r="J68" i="2"/>
  <c r="P51" i="2"/>
  <c r="J51" i="2"/>
  <c r="P114" i="2"/>
  <c r="S114" i="2" s="1"/>
  <c r="J164" i="2"/>
  <c r="J193" i="2"/>
  <c r="J39" i="2"/>
  <c r="P298" i="2"/>
  <c r="Q298" i="2" s="1"/>
  <c r="P70" i="2"/>
  <c r="P79" i="2"/>
  <c r="H234" i="2"/>
  <c r="H36" i="2"/>
  <c r="P297" i="2"/>
  <c r="H297" i="2"/>
  <c r="J18" i="2"/>
  <c r="AA128" i="2"/>
  <c r="H210" i="2"/>
  <c r="P143" i="2"/>
  <c r="J58" i="2"/>
  <c r="J65" i="2"/>
  <c r="P65" i="2"/>
  <c r="Y65" i="2" s="1"/>
  <c r="J297" i="2"/>
  <c r="P234" i="2"/>
  <c r="P36" i="2"/>
  <c r="P18" i="2"/>
  <c r="J210" i="2"/>
  <c r="J153" i="2"/>
  <c r="P167" i="2"/>
  <c r="Y167" i="2" s="1"/>
  <c r="AA167" i="2" s="1"/>
  <c r="H257" i="2"/>
  <c r="Y98" i="2"/>
  <c r="AA98" i="2" s="1"/>
  <c r="H45" i="2"/>
  <c r="J257" i="2"/>
  <c r="J265" i="2"/>
  <c r="P265" i="2"/>
  <c r="P216" i="2"/>
  <c r="H24" i="2"/>
  <c r="J150" i="2"/>
  <c r="J102" i="2"/>
  <c r="Y28" i="2"/>
  <c r="Z28" i="2" s="1"/>
  <c r="Q28" i="2"/>
  <c r="P192" i="2"/>
  <c r="Y192" i="2" s="1"/>
  <c r="AA192" i="2" s="1"/>
  <c r="H280" i="2"/>
  <c r="J95" i="2"/>
  <c r="P278" i="2"/>
  <c r="Q278" i="2" s="1"/>
  <c r="J64" i="2"/>
  <c r="P39" i="2"/>
  <c r="J188" i="2"/>
  <c r="P188" i="2"/>
  <c r="Y188" i="2" s="1"/>
  <c r="AA188" i="2" s="1"/>
  <c r="J293" i="2"/>
  <c r="P293" i="2"/>
  <c r="Q293" i="2" s="1"/>
  <c r="Y17" i="2"/>
  <c r="Z17" i="2" s="1"/>
  <c r="S17" i="2"/>
  <c r="P5" i="2"/>
  <c r="J5" i="2"/>
  <c r="H5" i="2"/>
  <c r="Y257" i="2"/>
  <c r="AA257" i="2" s="1"/>
  <c r="P53" i="2"/>
  <c r="Y53" i="2" s="1"/>
  <c r="AA53" i="2" s="1"/>
  <c r="P59" i="2"/>
  <c r="H17" i="2"/>
  <c r="S215" i="2"/>
  <c r="Q215" i="2"/>
  <c r="Y215" i="2"/>
  <c r="AA215" i="2" s="1"/>
  <c r="J283" i="2"/>
  <c r="J24" i="2"/>
  <c r="H283" i="2"/>
  <c r="J278" i="2"/>
  <c r="J138" i="2"/>
  <c r="P138" i="2"/>
  <c r="Y138" i="2" s="1"/>
  <c r="J233" i="2"/>
  <c r="Q247" i="2"/>
  <c r="H72" i="2"/>
  <c r="J75" i="2"/>
  <c r="P238" i="2"/>
  <c r="J238" i="2"/>
  <c r="J139" i="2"/>
  <c r="J27" i="2"/>
  <c r="H27" i="2"/>
  <c r="J131" i="2"/>
  <c r="H219" i="2"/>
  <c r="J43" i="2"/>
  <c r="P169" i="2"/>
  <c r="S169" i="2" s="1"/>
  <c r="J270" i="2"/>
  <c r="J79" i="2"/>
  <c r="Z247" i="2"/>
  <c r="AA247" i="2"/>
  <c r="J72" i="2"/>
  <c r="P219" i="2"/>
  <c r="Q219" i="2" s="1"/>
  <c r="P43" i="2"/>
  <c r="Y43" i="2" s="1"/>
  <c r="Z43" i="2" s="1"/>
  <c r="P170" i="2"/>
  <c r="S170" i="2" s="1"/>
  <c r="J170" i="2"/>
  <c r="P270" i="2"/>
  <c r="J13" i="2"/>
  <c r="H13" i="2"/>
  <c r="P13" i="2"/>
  <c r="Q13" i="2" s="1"/>
  <c r="Y108" i="2"/>
  <c r="AC108" i="2" s="1"/>
  <c r="J28" i="2"/>
  <c r="Y27" i="2"/>
  <c r="H285" i="2"/>
  <c r="H46" i="2"/>
  <c r="H237" i="2"/>
  <c r="P204" i="2"/>
  <c r="S271" i="2"/>
  <c r="J108" i="2"/>
  <c r="H51" i="2"/>
  <c r="P182" i="2"/>
  <c r="Y182" i="2" s="1"/>
  <c r="S247" i="2"/>
  <c r="P285" i="2"/>
  <c r="Q285" i="2" s="1"/>
  <c r="J173" i="2"/>
  <c r="P173" i="2"/>
  <c r="S173" i="2" s="1"/>
  <c r="J46" i="2"/>
  <c r="J206" i="2"/>
  <c r="S84" i="2"/>
  <c r="P206" i="2"/>
  <c r="Q206" i="2" s="1"/>
  <c r="P115" i="2"/>
  <c r="S115" i="2" s="1"/>
  <c r="J115" i="2"/>
  <c r="P151" i="2"/>
  <c r="S151" i="2" s="1"/>
  <c r="H28" i="2"/>
  <c r="P280" i="2"/>
  <c r="Q280" i="2" s="1"/>
  <c r="J10" i="2"/>
  <c r="P10" i="2"/>
  <c r="S10" i="2" s="1"/>
  <c r="H10" i="2"/>
  <c r="S233" i="2"/>
  <c r="J26" i="2"/>
  <c r="P26" i="2"/>
  <c r="Q26" i="2" s="1"/>
  <c r="H38" i="2"/>
  <c r="S86" i="2"/>
  <c r="J38" i="2"/>
  <c r="P275" i="2"/>
  <c r="Q275" i="2" s="1"/>
  <c r="H218" i="2"/>
  <c r="P20" i="2"/>
  <c r="J20" i="2"/>
  <c r="H20" i="2"/>
  <c r="J91" i="2"/>
  <c r="P106" i="2"/>
  <c r="Y106" i="2" s="1"/>
  <c r="AA106" i="2" s="1"/>
  <c r="J121" i="2"/>
  <c r="J175" i="2"/>
  <c r="J16" i="2"/>
  <c r="H264" i="2"/>
  <c r="P133" i="2"/>
  <c r="J34" i="2"/>
  <c r="Q16" i="2"/>
  <c r="P264" i="2"/>
  <c r="Q264" i="2" s="1"/>
  <c r="J259" i="2"/>
  <c r="J21" i="2"/>
  <c r="J9" i="2"/>
  <c r="P186" i="2"/>
  <c r="P191" i="2"/>
  <c r="P48" i="2"/>
  <c r="Y48" i="2" s="1"/>
  <c r="J198" i="2"/>
  <c r="P225" i="2"/>
  <c r="J37" i="2"/>
  <c r="H287" i="2"/>
  <c r="H50" i="2"/>
  <c r="J163" i="2"/>
  <c r="Y198" i="2"/>
  <c r="AA198" i="2" s="1"/>
  <c r="P61" i="2"/>
  <c r="P73" i="2"/>
  <c r="J83" i="2"/>
  <c r="H259" i="2"/>
  <c r="J155" i="2"/>
  <c r="J165" i="2"/>
  <c r="H48" i="2"/>
  <c r="S76" i="2"/>
  <c r="Y76" i="2"/>
  <c r="J78" i="2"/>
  <c r="P78" i="2"/>
  <c r="AA69" i="2"/>
  <c r="S291" i="2"/>
  <c r="Q291" i="2"/>
  <c r="Y291" i="2"/>
  <c r="AA223" i="2"/>
  <c r="Y274" i="2"/>
  <c r="S274" i="2"/>
  <c r="Q274" i="2"/>
  <c r="Y81" i="2"/>
  <c r="S81" i="2"/>
  <c r="Q81" i="2"/>
  <c r="S113" i="2"/>
  <c r="Y113" i="2"/>
  <c r="Y58" i="2"/>
  <c r="S58" i="2"/>
  <c r="J244" i="2"/>
  <c r="H244" i="2"/>
  <c r="Y134" i="2"/>
  <c r="S134" i="2"/>
  <c r="P145" i="2"/>
  <c r="J145" i="2"/>
  <c r="H145" i="2"/>
  <c r="P296" i="2"/>
  <c r="H296" i="2"/>
  <c r="J57" i="2"/>
  <c r="J266" i="2"/>
  <c r="J223" i="2"/>
  <c r="J292" i="2"/>
  <c r="P292" i="2"/>
  <c r="H292" i="2"/>
  <c r="H67" i="2"/>
  <c r="P25" i="2"/>
  <c r="P266" i="2"/>
  <c r="P85" i="2"/>
  <c r="Q243" i="2"/>
  <c r="H258" i="2"/>
  <c r="P258" i="2"/>
  <c r="AA233" i="2"/>
  <c r="P230" i="2"/>
  <c r="P130" i="2"/>
  <c r="Y141" i="2"/>
  <c r="G174" i="2"/>
  <c r="P82" i="2"/>
  <c r="J82" i="2"/>
  <c r="AC84" i="2"/>
  <c r="P12" i="2"/>
  <c r="J243" i="2"/>
  <c r="Y221" i="2"/>
  <c r="S221" i="2"/>
  <c r="J67" i="2"/>
  <c r="AA86" i="2"/>
  <c r="J113" i="2"/>
  <c r="G179" i="2"/>
  <c r="G195" i="2"/>
  <c r="S67" i="2"/>
  <c r="Y152" i="2"/>
  <c r="S152" i="2"/>
  <c r="Z50" i="2"/>
  <c r="AA50" i="2"/>
  <c r="G166" i="2"/>
  <c r="Q211" i="2"/>
  <c r="H295" i="2"/>
  <c r="Z67" i="2"/>
  <c r="S72" i="2"/>
  <c r="H267" i="2"/>
  <c r="J255" i="2"/>
  <c r="H255" i="2"/>
  <c r="Y211" i="2"/>
  <c r="Q283" i="2"/>
  <c r="P295" i="2"/>
  <c r="AA67" i="2"/>
  <c r="Y72" i="2"/>
  <c r="J76" i="2"/>
  <c r="P267" i="2"/>
  <c r="P255" i="2"/>
  <c r="P127" i="2"/>
  <c r="H288" i="2"/>
  <c r="J288" i="2"/>
  <c r="H291" i="2"/>
  <c r="J104" i="2"/>
  <c r="P104" i="2"/>
  <c r="G171" i="2"/>
  <c r="P254" i="2"/>
  <c r="J254" i="2"/>
  <c r="H277" i="2"/>
  <c r="P277" i="2"/>
  <c r="P231" i="2"/>
  <c r="J231" i="2"/>
  <c r="H231" i="2"/>
  <c r="S212" i="2"/>
  <c r="Y259" i="2"/>
  <c r="Q259" i="2"/>
  <c r="P268" i="2"/>
  <c r="J268" i="2"/>
  <c r="AA288" i="2"/>
  <c r="Z288" i="2"/>
  <c r="J291" i="2"/>
  <c r="Q50" i="2"/>
  <c r="P279" i="2"/>
  <c r="J279" i="2"/>
  <c r="G132" i="2"/>
  <c r="J235" i="2"/>
  <c r="P235" i="2"/>
  <c r="H235" i="2"/>
  <c r="Y283" i="2"/>
  <c r="Y239" i="2"/>
  <c r="S239" i="2"/>
  <c r="Q239" i="2"/>
  <c r="H239" i="2"/>
  <c r="J262" i="2"/>
  <c r="H262" i="2"/>
  <c r="H268" i="2"/>
  <c r="Q288" i="2"/>
  <c r="P7" i="2"/>
  <c r="J7" i="2"/>
  <c r="S50" i="2"/>
  <c r="H279" i="2"/>
  <c r="Y244" i="2"/>
  <c r="S244" i="2"/>
  <c r="AC94" i="2"/>
  <c r="S281" i="2"/>
  <c r="Y281" i="2"/>
  <c r="P146" i="2"/>
  <c r="S55" i="2"/>
  <c r="Y55" i="2"/>
  <c r="AA55" i="2" s="1"/>
  <c r="J25" i="2"/>
  <c r="P125" i="2"/>
  <c r="Y229" i="2"/>
  <c r="Q229" i="2"/>
  <c r="H243" i="2"/>
  <c r="H281" i="2"/>
  <c r="Y57" i="2"/>
  <c r="J274" i="2"/>
  <c r="H274" i="2"/>
  <c r="J281" i="2"/>
  <c r="S223" i="2"/>
  <c r="Q67" i="2"/>
  <c r="AC212" i="2"/>
  <c r="J211" i="2"/>
  <c r="Y75" i="2"/>
  <c r="S69" i="2"/>
  <c r="H49" i="2"/>
  <c r="P49" i="2"/>
  <c r="Y64" i="2"/>
  <c r="J77" i="2"/>
  <c r="H80" i="2"/>
  <c r="J80" i="2"/>
  <c r="P80" i="2"/>
  <c r="H81" i="2"/>
  <c r="J49" i="2"/>
  <c r="P122" i="2"/>
  <c r="J122" i="2"/>
  <c r="AA197" i="2"/>
  <c r="G135" i="2"/>
  <c r="Y168" i="2"/>
  <c r="AA168" i="2" s="1"/>
  <c r="S168" i="2"/>
  <c r="P90" i="2"/>
  <c r="J90" i="2"/>
  <c r="J199" i="2"/>
  <c r="P199" i="2"/>
  <c r="S94" i="2"/>
  <c r="J180" i="2"/>
  <c r="P180" i="2"/>
  <c r="J221" i="2"/>
  <c r="P156" i="2"/>
  <c r="J156" i="2"/>
  <c r="Y97" i="2"/>
  <c r="S97" i="2"/>
  <c r="P272" i="2"/>
  <c r="J272" i="2"/>
  <c r="S91" i="2"/>
  <c r="Y91" i="2"/>
  <c r="J202" i="2"/>
  <c r="P202" i="2"/>
  <c r="J81" i="2"/>
  <c r="J242" i="2"/>
  <c r="H242" i="2"/>
  <c r="G52" i="2"/>
  <c r="J99" i="2"/>
  <c r="P99" i="2"/>
  <c r="J12" i="2"/>
  <c r="P62" i="2"/>
  <c r="AC100" i="2"/>
  <c r="Y243" i="2"/>
  <c r="H211" i="2"/>
  <c r="S229" i="2"/>
  <c r="Q262" i="2"/>
  <c r="Y262" i="2"/>
  <c r="P66" i="2"/>
  <c r="J66" i="2"/>
  <c r="Y77" i="2"/>
  <c r="AA77" i="2" s="1"/>
  <c r="S77" i="2"/>
  <c r="P111" i="2"/>
  <c r="J111" i="2"/>
  <c r="P92" i="2"/>
  <c r="J92" i="2"/>
  <c r="J98" i="2"/>
  <c r="J236" i="2"/>
  <c r="P242" i="2"/>
  <c r="Y129" i="2"/>
  <c r="S150" i="2"/>
  <c r="Y150" i="2"/>
  <c r="H282" i="2"/>
  <c r="P282" i="2"/>
  <c r="P227" i="2"/>
  <c r="J227" i="2"/>
  <c r="J196" i="2"/>
  <c r="P196" i="2"/>
  <c r="G181" i="2"/>
  <c r="P148" i="2"/>
  <c r="J148" i="2"/>
  <c r="AC163" i="2"/>
  <c r="J176" i="2"/>
  <c r="P176" i="2"/>
  <c r="Y118" i="2"/>
  <c r="S118" i="2"/>
  <c r="P183" i="2"/>
  <c r="J183" i="2"/>
  <c r="AA193" i="2"/>
  <c r="P47" i="2"/>
  <c r="J47" i="2"/>
  <c r="AA271" i="2"/>
  <c r="Z271" i="2"/>
  <c r="P96" i="2"/>
  <c r="J96" i="2"/>
  <c r="Y37" i="2"/>
  <c r="S37" i="2"/>
  <c r="AC149" i="2"/>
  <c r="J152" i="2"/>
  <c r="Y164" i="2"/>
  <c r="S193" i="2"/>
  <c r="H275" i="2"/>
  <c r="H47" i="2"/>
  <c r="H26" i="2"/>
  <c r="J86" i="2"/>
  <c r="Q271" i="2"/>
  <c r="H37" i="2"/>
  <c r="Q17" i="2"/>
  <c r="S149" i="2"/>
  <c r="H298" i="2"/>
  <c r="S290" i="2"/>
  <c r="Y290" i="2"/>
  <c r="P205" i="2"/>
  <c r="J205" i="2"/>
  <c r="AA112" i="2"/>
  <c r="G187" i="2"/>
  <c r="S261" i="2"/>
  <c r="Y261" i="2"/>
  <c r="Q261" i="2"/>
  <c r="P147" i="2"/>
  <c r="J147" i="2"/>
  <c r="G161" i="2"/>
  <c r="J119" i="2"/>
  <c r="P119" i="2"/>
  <c r="H23" i="2"/>
  <c r="J93" i="2"/>
  <c r="S100" i="2"/>
  <c r="Q37" i="2"/>
  <c r="P107" i="2"/>
  <c r="J128" i="2"/>
  <c r="J6" i="2"/>
  <c r="P6" i="2"/>
  <c r="P40" i="2"/>
  <c r="J40" i="2"/>
  <c r="H40" i="2"/>
  <c r="J44" i="2"/>
  <c r="P22" i="2"/>
  <c r="J22" i="2"/>
  <c r="AC194" i="2"/>
  <c r="P286" i="2"/>
  <c r="H286" i="2"/>
  <c r="J286" i="2"/>
  <c r="G214" i="2"/>
  <c r="G117" i="2"/>
  <c r="H238" i="2"/>
  <c r="Y93" i="2"/>
  <c r="AA100" i="2"/>
  <c r="J252" i="2"/>
  <c r="H252" i="2"/>
  <c r="H284" i="2"/>
  <c r="J284" i="2"/>
  <c r="S128" i="2"/>
  <c r="H6" i="2"/>
  <c r="P44" i="2"/>
  <c r="P42" i="2"/>
  <c r="J42" i="2"/>
  <c r="H42" i="2"/>
  <c r="H22" i="2"/>
  <c r="P159" i="2"/>
  <c r="AC209" i="2"/>
  <c r="P189" i="2"/>
  <c r="J189" i="2"/>
  <c r="AA194" i="2"/>
  <c r="P144" i="2"/>
  <c r="J144" i="2"/>
  <c r="P160" i="2"/>
  <c r="J160" i="2"/>
  <c r="J213" i="2"/>
  <c r="P213" i="2"/>
  <c r="J212" i="2"/>
  <c r="H247" i="2"/>
  <c r="P87" i="2"/>
  <c r="H89" i="2"/>
  <c r="J97" i="2"/>
  <c r="Q252" i="2"/>
  <c r="Q284" i="2"/>
  <c r="P120" i="2"/>
  <c r="P124" i="2"/>
  <c r="P136" i="2"/>
  <c r="H144" i="2"/>
  <c r="H213" i="2"/>
  <c r="S201" i="2"/>
  <c r="Y201" i="2"/>
  <c r="G184" i="2"/>
  <c r="J247" i="2"/>
  <c r="P89" i="2"/>
  <c r="J101" i="2"/>
  <c r="P101" i="2"/>
  <c r="S27" i="2"/>
  <c r="J105" i="2"/>
  <c r="Y284" i="2"/>
  <c r="Y153" i="2"/>
  <c r="J11" i="2"/>
  <c r="P11" i="2"/>
  <c r="H11" i="2"/>
  <c r="H216" i="2"/>
  <c r="J201" i="2"/>
  <c r="Y207" i="2"/>
  <c r="S207" i="2"/>
  <c r="H240" i="2"/>
  <c r="P240" i="2"/>
  <c r="P8" i="2"/>
  <c r="J8" i="2"/>
  <c r="Q30" i="2"/>
  <c r="Y30" i="2"/>
  <c r="J224" i="2"/>
  <c r="P224" i="2"/>
  <c r="H224" i="2"/>
  <c r="Q46" i="2"/>
  <c r="Y46" i="2"/>
  <c r="G269" i="2"/>
  <c r="G126" i="2"/>
  <c r="S154" i="2"/>
  <c r="Y154" i="2"/>
  <c r="P157" i="2"/>
  <c r="P232" i="2"/>
  <c r="J232" i="2"/>
  <c r="P142" i="2"/>
  <c r="J142" i="2"/>
  <c r="J273" i="2"/>
  <c r="H273" i="2"/>
  <c r="P273" i="2"/>
  <c r="Q289" i="2"/>
  <c r="Y289" i="2"/>
  <c r="H232" i="2"/>
  <c r="AA203" i="2"/>
  <c r="J294" i="2"/>
  <c r="P294" i="2"/>
  <c r="AA16" i="2"/>
  <c r="G185" i="2"/>
  <c r="J162" i="2"/>
  <c r="P162" i="2"/>
  <c r="J14" i="2"/>
  <c r="P14" i="2"/>
  <c r="S28" i="2"/>
  <c r="H241" i="2"/>
  <c r="P241" i="2"/>
  <c r="G137" i="2"/>
  <c r="H260" i="2"/>
  <c r="J84" i="2"/>
  <c r="S158" i="2"/>
  <c r="Y158" i="2"/>
  <c r="H14" i="2"/>
  <c r="Y177" i="2"/>
  <c r="J241" i="2"/>
  <c r="G228" i="2"/>
  <c r="G200" i="2"/>
  <c r="P263" i="2"/>
  <c r="H263" i="2"/>
  <c r="P249" i="2"/>
  <c r="J249" i="2"/>
  <c r="H249" i="2"/>
  <c r="P256" i="2"/>
  <c r="H256" i="2"/>
  <c r="H32" i="2"/>
  <c r="Y172" i="2"/>
  <c r="S172" i="2"/>
  <c r="S209" i="2"/>
  <c r="J256" i="2"/>
  <c r="J207" i="2"/>
  <c r="P32" i="2"/>
  <c r="J172" i="2"/>
  <c r="Y175" i="2"/>
  <c r="S175" i="2"/>
  <c r="S257" i="2"/>
  <c r="H245" i="2"/>
  <c r="J245" i="2"/>
  <c r="P245" i="2"/>
  <c r="P220" i="2"/>
  <c r="H220" i="2"/>
  <c r="AG605" i="1" a="1"/>
  <c r="AH173" i="1" a="1"/>
  <c r="AG18" i="1" a="1"/>
  <c r="AH174" i="1" a="1"/>
  <c r="AG187" i="1" a="1"/>
  <c r="AG116" i="1" a="1"/>
  <c r="AH501" i="1" a="1"/>
  <c r="AH362" i="1" a="1"/>
  <c r="AG185" i="1" a="1"/>
  <c r="AG549" i="1" a="1"/>
  <c r="AH575" i="1" a="1"/>
  <c r="AG333" i="1" a="1"/>
  <c r="AH228" i="1" a="1"/>
  <c r="AG108" i="1" a="1"/>
  <c r="AG11" i="1" a="1"/>
  <c r="AH552" i="1" a="1"/>
  <c r="AH105" i="1" a="1"/>
  <c r="AG240" i="1" a="1"/>
  <c r="AH374" i="1" a="1"/>
  <c r="AH240" i="1" a="1"/>
  <c r="AH19" i="1" a="1"/>
  <c r="AG534" i="1" a="1"/>
  <c r="AH612" i="1" a="1"/>
  <c r="AG35" i="1" a="1"/>
  <c r="AH214" i="1" a="1"/>
  <c r="AG577" i="1" a="1"/>
  <c r="AG638" i="1" a="1"/>
  <c r="AH179" i="1" a="1"/>
  <c r="AG45" i="1" a="1"/>
  <c r="AG608" i="1" a="1"/>
  <c r="AH407" i="1" a="1"/>
  <c r="AH152" i="1" a="1"/>
  <c r="AG373" i="1" a="1"/>
  <c r="AG480" i="1" a="1"/>
  <c r="AG572" i="1" a="1"/>
  <c r="AG22" i="1" a="1"/>
  <c r="AH310" i="1" a="1"/>
  <c r="AH415" i="1" a="1"/>
  <c r="AG309" i="1" a="1"/>
  <c r="AG393" i="1" a="1"/>
  <c r="AH594" i="1" a="1"/>
  <c r="AG410" i="1" a="1"/>
  <c r="AG660" i="1" a="1"/>
  <c r="AH306" i="1" a="1"/>
  <c r="AG539" i="1" a="1"/>
  <c r="AH344" i="1" a="1"/>
  <c r="AH657" i="1" a="1"/>
  <c r="AG222" i="1" a="1"/>
  <c r="AH296" i="1" a="1"/>
  <c r="AH572" i="1" a="1"/>
  <c r="AH83" i="1" a="1"/>
  <c r="AH235" i="1" a="1"/>
  <c r="AG340" i="1" a="1"/>
  <c r="AG153" i="1" a="1"/>
  <c r="AH659" i="1" a="1"/>
  <c r="AG559" i="1" a="1"/>
  <c r="AG83" i="1" a="1"/>
  <c r="AH547" i="1" a="1"/>
  <c r="AG95" i="1" a="1"/>
  <c r="AG401" i="1" a="1"/>
  <c r="AG283" i="1" a="1"/>
  <c r="AH79" i="1" a="1"/>
  <c r="AH82" i="1" a="1"/>
  <c r="AH154" i="1" a="1"/>
  <c r="AH38" i="1" a="1"/>
  <c r="AG25" i="1" a="1"/>
  <c r="AH290" i="1" a="1"/>
  <c r="AG180" i="1" a="1"/>
  <c r="AH39" i="1" a="1"/>
  <c r="AH633" i="1" a="1"/>
  <c r="AG501" i="1" a="1"/>
  <c r="AG47" i="1" a="1"/>
  <c r="AG517" i="1" a="1"/>
  <c r="AH175" i="1" a="1"/>
  <c r="AG632" i="1" a="1"/>
  <c r="AH196" i="1" a="1"/>
  <c r="AG562" i="1" a="1"/>
  <c r="AG521" i="1" a="1"/>
  <c r="AH538" i="1" a="1"/>
  <c r="AG477" i="1" a="1"/>
  <c r="AH91" i="1" a="1"/>
  <c r="AG482" i="1" a="1"/>
  <c r="AH526" i="1" a="1"/>
  <c r="AG220" i="1" a="1"/>
  <c r="AH428" i="1" a="1"/>
  <c r="AG174" i="1" a="1"/>
  <c r="AH518" i="1" a="1"/>
  <c r="AG303" i="1" a="1"/>
  <c r="AG299" i="1" a="1"/>
  <c r="AG310" i="1" a="1"/>
  <c r="AH378" i="1" a="1"/>
  <c r="AH531" i="1" a="1"/>
  <c r="AH359" i="1" a="1"/>
  <c r="AH346" i="1" a="1"/>
  <c r="AH259" i="1" a="1"/>
  <c r="AH270" i="1" a="1"/>
  <c r="AG352" i="1" a="1"/>
  <c r="AH119" i="1" a="1"/>
  <c r="AG537" i="1" a="1"/>
  <c r="AH400" i="1" a="1"/>
  <c r="AG330" i="1" a="1"/>
  <c r="AH454" i="1" a="1"/>
  <c r="AG36" i="1" a="1"/>
  <c r="AG29" i="1" a="1"/>
  <c r="AG206" i="1" a="1"/>
  <c r="AG631" i="1" a="1"/>
  <c r="AG317" i="1" a="1"/>
  <c r="AH11" i="1" a="1"/>
  <c r="AH629" i="1" a="1"/>
  <c r="AG457" i="1" a="1"/>
  <c r="AG555" i="1" a="1"/>
  <c r="AG65" i="1" a="1"/>
  <c r="AG198" i="1" a="1"/>
  <c r="AH382" i="1" a="1"/>
  <c r="AG290" i="1" a="1"/>
  <c r="AH391" i="1" a="1"/>
  <c r="AH542" i="1" a="1"/>
  <c r="AH182" i="1" a="1"/>
  <c r="AH560" i="1" a="1"/>
  <c r="AG560" i="1" a="1"/>
  <c r="AG177" i="1" a="1"/>
  <c r="AH349" i="1" a="1"/>
  <c r="AG291" i="1" a="1"/>
  <c r="AH592" i="1" a="1"/>
  <c r="AH125" i="1" a="1"/>
  <c r="AH126" i="1" a="1"/>
  <c r="AG205" i="1" a="1"/>
  <c r="AG224" i="1" a="1"/>
  <c r="AH66" i="1" a="1"/>
  <c r="AH500" i="1" a="1"/>
  <c r="AH565" i="1" a="1"/>
  <c r="AG33" i="1" a="1"/>
  <c r="AH514" i="1" a="1"/>
  <c r="AH53" i="1" a="1"/>
  <c r="AG409" i="1" a="1"/>
  <c r="AG12" i="1" a="1"/>
  <c r="AH341" i="1" a="1"/>
  <c r="AH250" i="1" a="1"/>
  <c r="AH544" i="1" a="1"/>
  <c r="AG510" i="1" a="1"/>
  <c r="AH517" i="1" a="1"/>
  <c r="AH593" i="1" a="1"/>
  <c r="AG622" i="1" a="1"/>
  <c r="AG489" i="1" a="1"/>
  <c r="AH15" i="1" a="1"/>
  <c r="AG396" i="1" a="1"/>
  <c r="AH116" i="1" a="1"/>
  <c r="AH315" i="1" a="1"/>
  <c r="AG152" i="1" a="1"/>
  <c r="AH661" i="1" a="1"/>
  <c r="AH465" i="1" a="1"/>
  <c r="AH383" i="1" a="1"/>
  <c r="AH286" i="1" a="1"/>
  <c r="AG381" i="1" a="1"/>
  <c r="AG512" i="1" a="1"/>
  <c r="AH618" i="1" a="1"/>
  <c r="AG120" i="1" a="1"/>
  <c r="AG495" i="1" a="1"/>
  <c r="AG7" i="1" a="1"/>
  <c r="AG30" i="1" a="1"/>
  <c r="AH162" i="1" a="1"/>
  <c r="AH316" i="1" a="1"/>
  <c r="AH170" i="1" a="1"/>
  <c r="AG158" i="1" a="1"/>
  <c r="AG634" i="1" a="1"/>
  <c r="AH148" i="1" a="1"/>
  <c r="AH327" i="1" a="1"/>
  <c r="AH216" i="1" a="1"/>
  <c r="AH303" i="1" a="1"/>
  <c r="AG519" i="1" a="1"/>
  <c r="AG483" i="1" a="1"/>
  <c r="AG46" i="1" a="1"/>
  <c r="AH591" i="1" a="1"/>
  <c r="AH634" i="1" a="1"/>
  <c r="AH145" i="1" a="1"/>
  <c r="AH263" i="1" a="1"/>
  <c r="AG552" i="1" a="1"/>
  <c r="AG566" i="1" a="1"/>
  <c r="AH56" i="1" a="1"/>
  <c r="AH176" i="1" a="1"/>
  <c r="AG176" i="1" a="1"/>
  <c r="AH506" i="1" a="1"/>
  <c r="AG269" i="1" a="1"/>
  <c r="AG165" i="1" a="1"/>
  <c r="AH24" i="1" a="1"/>
  <c r="AG322" i="1" a="1"/>
  <c r="AG604" i="1" a="1"/>
  <c r="AH485" i="1" a="1"/>
  <c r="AH188" i="1" a="1"/>
  <c r="AG518" i="1" a="1"/>
  <c r="AG429" i="1" a="1"/>
  <c r="AH156" i="1" a="1"/>
  <c r="AG251" i="1" a="1"/>
  <c r="AG127" i="1" a="1"/>
  <c r="AG266" i="1" a="1"/>
  <c r="AG514" i="1" a="1"/>
  <c r="AH21" i="1" a="1"/>
  <c r="AH410" i="1" a="1"/>
  <c r="AH159" i="1" a="1"/>
  <c r="AH199" i="1" a="1"/>
  <c r="AG41" i="1" a="1"/>
  <c r="AG351" i="1" a="1"/>
  <c r="AH274" i="1" a="1"/>
  <c r="AG585" i="1" a="1"/>
  <c r="AH444" i="1" a="1"/>
  <c r="AH218" i="1" a="1"/>
  <c r="AG100" i="1" a="1"/>
  <c r="AH252" i="1" a="1"/>
  <c r="AH610" i="1" a="1"/>
  <c r="AG293" i="1" a="1"/>
  <c r="AH110" i="1" a="1"/>
  <c r="AG395" i="1" a="1"/>
  <c r="AG213" i="1" a="1"/>
  <c r="AH377" i="1" a="1"/>
  <c r="AG308" i="1" a="1"/>
  <c r="AH100" i="1" a="1"/>
  <c r="AH264" i="1" a="1"/>
  <c r="AH267" i="1" a="1"/>
  <c r="AG449" i="1" a="1"/>
  <c r="AG160" i="1" a="1"/>
  <c r="AG289" i="1" a="1"/>
  <c r="AH644" i="1" a="1"/>
  <c r="AH355" i="1" a="1"/>
  <c r="AG408" i="1" a="1"/>
  <c r="AG446" i="1" a="1"/>
  <c r="AG463" i="1" a="1"/>
  <c r="AH104" i="1" a="1"/>
  <c r="AH541" i="1" a="1"/>
  <c r="AH582" i="1" a="1"/>
  <c r="AH330" i="1" a="1"/>
  <c r="AG14" i="1" a="1"/>
  <c r="AG286" i="1" a="1"/>
  <c r="AH127" i="1" a="1"/>
  <c r="AG86" i="1" a="1"/>
  <c r="AG589" i="1" a="1"/>
  <c r="AH44" i="1" a="1"/>
  <c r="AH429" i="1" a="1"/>
  <c r="AH511" i="1" a="1"/>
  <c r="AG226" i="1" a="1"/>
  <c r="AH111" i="1" a="1"/>
  <c r="AH291" i="1" a="1"/>
  <c r="AG645" i="1" a="1"/>
  <c r="AG648" i="1" a="1"/>
  <c r="AH345" i="1" a="1"/>
  <c r="AG96" i="1" a="1"/>
  <c r="AG250" i="1" a="1"/>
  <c r="AH47" i="1" a="1"/>
  <c r="AH215" i="1" a="1"/>
  <c r="AH463" i="1" a="1"/>
  <c r="AG411" i="1" a="1"/>
  <c r="AG430" i="1" a="1"/>
  <c r="AH30" i="1" a="1"/>
  <c r="AG376" i="1" a="1"/>
  <c r="AG578" i="1" a="1"/>
  <c r="AH662" i="1" a="1"/>
  <c r="AG143" i="1" a="1"/>
  <c r="AG386" i="1" a="1"/>
  <c r="AG592" i="1" a="1"/>
  <c r="AH457" i="1" a="1"/>
  <c r="AH451" i="1" a="1"/>
  <c r="AH255" i="1" a="1"/>
  <c r="AG209" i="1" a="1"/>
  <c r="AG148" i="1" a="1"/>
  <c r="AG19" i="1" a="1"/>
  <c r="AH128" i="1" a="1"/>
  <c r="AG542" i="1" a="1"/>
  <c r="AG575" i="1" a="1"/>
  <c r="AG267" i="1" a="1"/>
  <c r="AG511" i="1" a="1"/>
  <c r="AH409" i="1" a="1"/>
  <c r="AG167" i="1" a="1"/>
  <c r="AG130" i="1" a="1"/>
  <c r="AH621" i="1" a="1"/>
  <c r="AH76" i="1" a="1"/>
  <c r="AH469" i="1" a="1"/>
  <c r="AG54" i="1" a="1"/>
  <c r="AH84" i="1" a="1"/>
  <c r="AG329" i="1" a="1"/>
  <c r="AH55" i="1" a="1"/>
  <c r="AG300" i="1" a="1"/>
  <c r="AG598" i="1" a="1"/>
  <c r="AH464" i="1" a="1"/>
  <c r="AH423" i="1" a="1"/>
  <c r="AH372" i="1" a="1"/>
  <c r="AH536" i="1" a="1"/>
  <c r="AG588" i="1" a="1"/>
  <c r="AG652" i="1" a="1"/>
  <c r="AH441" i="1" a="1"/>
  <c r="AH490" i="1" a="1"/>
  <c r="AG306" i="1" a="1"/>
  <c r="AG126" i="1" a="1"/>
  <c r="AH231" i="1" a="1"/>
  <c r="AH262" i="1" a="1"/>
  <c r="AG13" i="1" a="1"/>
  <c r="AG550" i="1" a="1"/>
  <c r="AH97" i="1" a="1"/>
  <c r="AG370" i="1" a="1"/>
  <c r="AH275" i="1" a="1"/>
  <c r="AG188" i="1" a="1"/>
  <c r="AG635" i="1" a="1"/>
  <c r="AH246" i="1" a="1"/>
  <c r="AH387" i="1" a="1"/>
  <c r="AH287" i="1" a="1"/>
  <c r="AG354" i="1" a="1"/>
  <c r="AH563" i="1" a="1"/>
  <c r="AG666" i="1" a="1"/>
  <c r="AG114" i="1" a="1"/>
  <c r="AH284" i="1" a="1"/>
  <c r="AH639" i="1" a="1"/>
  <c r="AG272" i="1" a="1"/>
  <c r="AG380" i="1" a="1"/>
  <c r="AH643" i="1" a="1"/>
  <c r="AH625" i="1" a="1"/>
  <c r="AH339" i="1" a="1"/>
  <c r="AH540" i="1" a="1"/>
  <c r="AH180" i="1" a="1"/>
  <c r="AG87" i="1" a="1"/>
  <c r="AG232" i="1" a="1"/>
  <c r="AG3" i="1" a="1"/>
  <c r="AH187" i="1" a="1"/>
  <c r="AG171" i="1" a="1"/>
  <c r="AG32" i="1" a="1"/>
  <c r="AG597" i="1" a="1"/>
  <c r="AH650" i="1" a="1"/>
  <c r="AH106" i="1" a="1"/>
  <c r="AH123" i="1" a="1"/>
  <c r="AG466" i="1" a="1"/>
  <c r="AG629" i="1" a="1"/>
  <c r="AH90" i="1" a="1"/>
  <c r="AH238" i="1" a="1"/>
  <c r="AG141" i="1" a="1"/>
  <c r="AH616" i="1" a="1"/>
  <c r="AG593" i="1" a="1"/>
  <c r="AH151" i="1" a="1"/>
  <c r="AH364" i="1" a="1"/>
  <c r="AG332" i="1" a="1"/>
  <c r="AH483" i="1" a="1"/>
  <c r="AG328" i="1" a="1"/>
  <c r="AH338" i="1" a="1"/>
  <c r="AG364" i="1" a="1"/>
  <c r="AG485" i="1" a="1"/>
  <c r="AH318" i="1" a="1"/>
  <c r="AG56" i="1" a="1"/>
  <c r="AH406" i="1" a="1"/>
  <c r="AG416" i="1" a="1"/>
  <c r="AH477" i="1" a="1"/>
  <c r="AG326" i="1" a="1"/>
  <c r="AG460" i="1" a="1"/>
  <c r="AG263" i="1" a="1"/>
  <c r="AG8" i="1" a="1"/>
  <c r="AH647" i="1" a="1"/>
  <c r="AH304" i="1" a="1"/>
  <c r="AH210" i="1" a="1"/>
  <c r="AH72" i="1" a="1"/>
  <c r="AG85" i="1" a="1"/>
  <c r="AH414" i="1" a="1"/>
  <c r="AG467" i="1" a="1"/>
  <c r="AG556" i="1" a="1"/>
  <c r="AG4" i="1" a="1"/>
  <c r="AH206" i="1" a="1"/>
  <c r="AH190" i="1" a="1"/>
  <c r="AH161" i="1" a="1"/>
  <c r="AH585" i="1" a="1"/>
  <c r="AG169" i="1" a="1"/>
  <c r="AH641" i="1" a="1"/>
  <c r="AH168" i="1" a="1"/>
  <c r="AG311" i="1" a="1"/>
  <c r="AG99" i="1" a="1"/>
  <c r="AG168" i="1" a="1"/>
  <c r="AH86" i="1" a="1"/>
  <c r="AG405" i="1" a="1"/>
  <c r="AG319" i="1" a="1"/>
  <c r="AH223" i="1" a="1"/>
  <c r="AH95" i="1" a="1"/>
  <c r="AH669" i="1" a="1"/>
  <c r="AH545" i="1" a="1"/>
  <c r="AH99" i="1" a="1"/>
  <c r="AG217" i="1" a="1"/>
  <c r="AG361" i="1" a="1"/>
  <c r="AH202" i="1" a="1"/>
  <c r="AG231" i="1" a="1"/>
  <c r="AH528" i="1" a="1"/>
  <c r="AH527" i="1" a="1"/>
  <c r="AH532" i="1" a="1"/>
  <c r="AH628" i="1" a="1"/>
  <c r="AH301" i="1" a="1"/>
  <c r="AG207" i="1" a="1"/>
  <c r="AG504" i="1" a="1"/>
  <c r="AH165" i="1" a="1"/>
  <c r="AH606" i="1" a="1"/>
  <c r="AG426" i="1" a="1"/>
  <c r="AH293" i="1" a="1"/>
  <c r="AG128" i="1" a="1"/>
  <c r="AG647" i="1" a="1"/>
  <c r="AH138" i="1" a="1"/>
  <c r="AH8" i="1" a="1"/>
  <c r="AH504" i="1" a="1"/>
  <c r="AG439" i="1" a="1"/>
  <c r="AH237" i="1" a="1"/>
  <c r="AG339" i="1" a="1"/>
  <c r="AH351" i="1" a="1"/>
  <c r="AH10" i="1" a="1"/>
  <c r="AG360" i="1" a="1"/>
  <c r="AH129" i="1" a="1"/>
  <c r="AH283" i="1" a="1"/>
  <c r="AG516" i="1" a="1"/>
  <c r="AH313" i="1" a="1"/>
  <c r="AH385" i="1" a="1"/>
  <c r="AG335" i="1" a="1"/>
  <c r="AG68" i="1" a="1"/>
  <c r="AG66" i="1" a="1"/>
  <c r="AH371" i="1" a="1"/>
  <c r="AH35" i="1" a="1"/>
  <c r="AG420" i="1" a="1"/>
  <c r="AH50" i="1" a="1"/>
  <c r="AG318" i="1" a="1"/>
  <c r="AG535" i="1" a="1"/>
  <c r="AH212" i="1" a="1"/>
  <c r="AG448" i="1" a="1"/>
  <c r="AG415" i="1" a="1"/>
  <c r="AH356" i="1" a="1"/>
  <c r="AH599" i="1" a="1"/>
  <c r="AH449" i="1" a="1"/>
  <c r="AH637" i="1" a="1"/>
  <c r="AH325" i="1" a="1"/>
  <c r="AG301" i="1" a="1"/>
  <c r="AG599" i="1" a="1"/>
  <c r="AH23" i="1" a="1"/>
  <c r="AH321" i="1" a="1"/>
  <c r="AH640" i="1" a="1"/>
  <c r="AH189" i="1" a="1"/>
  <c r="AH282" i="1" a="1"/>
  <c r="AG344" i="1" a="1"/>
  <c r="AH516" i="1" a="1"/>
  <c r="AG596" i="1" a="1"/>
  <c r="AH93" i="1" a="1"/>
  <c r="AH554" i="1" a="1"/>
  <c r="AG79" i="1" a="1"/>
  <c r="AH515" i="1" a="1"/>
  <c r="AH69" i="1" a="1"/>
  <c r="AG385" i="1" a="1"/>
  <c r="AH269" i="1" a="1"/>
  <c r="AG665" i="1" a="1"/>
  <c r="AG71" i="1" a="1"/>
  <c r="AG119" i="1" a="1"/>
  <c r="AH6" i="1" a="1"/>
  <c r="AH40" i="1" a="1"/>
  <c r="AG273" i="1" a="1"/>
  <c r="AH169" i="1" a="1"/>
  <c r="AH370" i="1" a="1"/>
  <c r="AG558" i="1" a="1"/>
  <c r="AG551" i="1" a="1"/>
  <c r="AH221" i="1" a="1"/>
  <c r="AG471" i="1" a="1"/>
  <c r="AH481" i="1" a="1"/>
  <c r="AH539" i="1" a="1"/>
  <c r="AG146" i="1" a="1"/>
  <c r="AH5" i="1" a="1"/>
  <c r="AH553" i="1" a="1"/>
  <c r="AG150" i="1" a="1"/>
  <c r="AG419" i="1" a="1"/>
  <c r="AG372" i="1" a="1"/>
  <c r="AH229" i="1" a="1"/>
  <c r="AG600" i="1" a="1"/>
  <c r="AH64" i="1" a="1"/>
  <c r="AG227" i="1" a="1"/>
  <c r="AG464" i="1" a="1"/>
  <c r="AH41" i="1" a="1"/>
  <c r="AH107" i="1" a="1"/>
  <c r="AH390" i="1" a="1"/>
  <c r="AG223" i="1" a="1"/>
  <c r="AH558" i="1" a="1"/>
  <c r="AH101" i="1" a="1"/>
  <c r="AG561" i="1" a="1"/>
  <c r="AH251" i="1" a="1"/>
  <c r="AG620" i="1" a="1"/>
  <c r="AH474" i="1" a="1"/>
  <c r="AG316" i="1" a="1"/>
  <c r="AG414" i="1" a="1"/>
  <c r="AG48" i="1" a="1"/>
  <c r="AH43" i="1" a="1"/>
  <c r="AG69" i="1" a="1"/>
  <c r="AG500" i="1" a="1"/>
  <c r="AH16" i="1" a="1"/>
  <c r="AH654" i="1" a="1"/>
  <c r="AH430" i="1" a="1"/>
  <c r="AG486" i="1" a="1"/>
  <c r="AG353" i="1" a="1"/>
  <c r="AH435" i="1" a="1"/>
  <c r="AG118" i="1" a="1"/>
  <c r="AG601" i="1" a="1"/>
  <c r="AG603" i="1" a="1"/>
  <c r="AG110" i="1" a="1"/>
  <c r="AG478" i="1" a="1"/>
  <c r="AH590" i="1" a="1"/>
  <c r="AH140" i="1" a="1"/>
  <c r="AG657" i="1" a="1"/>
  <c r="AG664" i="1" a="1"/>
  <c r="AH584" i="1" a="1"/>
  <c r="AG139" i="1" a="1"/>
  <c r="AG315" i="1" a="1"/>
  <c r="AG173" i="1" a="1"/>
  <c r="AG282" i="1" a="1"/>
  <c r="AG513" i="1" a="1"/>
  <c r="AH466" i="1" a="1"/>
  <c r="AG505" i="1" a="1"/>
  <c r="AG565" i="1" a="1"/>
  <c r="AG619" i="1" a="1"/>
  <c r="AH117" i="1" a="1"/>
  <c r="AG260" i="1" a="1"/>
  <c r="AG545" i="1" a="1"/>
  <c r="AH495" i="1" a="1"/>
  <c r="AG661" i="1" a="1"/>
  <c r="AH81" i="1" a="1"/>
  <c r="AH601" i="1" a="1"/>
  <c r="AH426" i="1" a="1"/>
  <c r="AG27" i="1" a="1"/>
  <c r="AH353" i="1" a="1"/>
  <c r="AH512" i="1" a="1"/>
  <c r="AH460" i="1" a="1"/>
  <c r="AG440" i="1" a="1"/>
  <c r="AG502" i="1" a="1"/>
  <c r="AG536" i="1" a="1"/>
  <c r="AH446" i="1" a="1"/>
  <c r="AH224" i="1" a="1"/>
  <c r="AG649" i="1" a="1"/>
  <c r="AG314" i="1" a="1"/>
  <c r="AH354" i="1" a="1"/>
  <c r="AH71" i="1" a="1"/>
  <c r="AG639" i="1" a="1"/>
  <c r="AG424" i="1" a="1"/>
  <c r="AG183" i="1" a="1"/>
  <c r="AH597" i="1" a="1"/>
  <c r="AH87" i="1" a="1"/>
  <c r="AG234" i="1" a="1"/>
  <c r="AH254" i="1" a="1"/>
  <c r="AH570" i="1" a="1"/>
  <c r="AG313" i="1" a="1"/>
  <c r="AH368" i="1" a="1"/>
  <c r="AG281" i="1" a="1"/>
  <c r="AG342" i="1" a="1"/>
  <c r="AG276" i="1" a="1"/>
  <c r="AH219" i="1" a="1"/>
  <c r="AG567" i="1" a="1"/>
  <c r="AH396" i="1" a="1"/>
  <c r="AH561" i="1" a="1"/>
  <c r="AH96" i="1" a="1"/>
  <c r="AH535" i="1" a="1"/>
  <c r="AG397" i="1" a="1"/>
  <c r="AG178" i="1" a="1"/>
  <c r="AH323" i="1" a="1"/>
  <c r="AG208" i="1" a="1"/>
  <c r="AG503" i="1" a="1"/>
  <c r="AG38" i="1" a="1"/>
  <c r="AH648" i="1" a="1"/>
  <c r="AH620" i="1" a="1"/>
  <c r="AH242" i="1" a="1"/>
  <c r="AG437" i="1" a="1"/>
  <c r="AH443" i="1" a="1"/>
  <c r="AH94" i="1" a="1"/>
  <c r="AH655" i="1" a="1"/>
  <c r="AH319" i="1" a="1"/>
  <c r="AG459" i="1" a="1"/>
  <c r="AG275" i="1" a="1"/>
  <c r="AG345" i="1" a="1"/>
  <c r="AG584" i="1" a="1"/>
  <c r="AH25" i="1" a="1"/>
  <c r="AG383" i="1" a="1"/>
  <c r="AG499" i="1" a="1"/>
  <c r="AH222" i="1" a="1"/>
  <c r="AG106" i="1" a="1"/>
  <c r="AG259" i="1" a="1"/>
  <c r="AH622" i="1" a="1"/>
  <c r="AH569" i="1" a="1"/>
  <c r="AG285" i="1" a="1"/>
  <c r="AG92" i="1" a="1"/>
  <c r="AH245" i="1" a="1"/>
  <c r="AG26" i="1" a="1"/>
  <c r="AG454" i="1" a="1"/>
  <c r="AG456" i="1" a="1"/>
  <c r="AH653" i="1" a="1"/>
  <c r="AG252" i="1" a="1"/>
  <c r="AH523" i="1" a="1"/>
  <c r="AH478" i="1" a="1"/>
  <c r="AH664" i="1" a="1"/>
  <c r="AH232" i="1" a="1"/>
  <c r="AH121" i="1" a="1"/>
  <c r="AG564" i="1" a="1"/>
  <c r="AH453" i="1" a="1"/>
  <c r="AH471" i="1" a="1"/>
  <c r="AG388" i="1" a="1"/>
  <c r="AH294" i="1" a="1"/>
  <c r="AG387" i="1" a="1"/>
  <c r="AG568" i="1" a="1"/>
  <c r="AG389" i="1" a="1"/>
  <c r="AH77" i="1" a="1"/>
  <c r="AG413" i="1" a="1"/>
  <c r="AH134" i="1" a="1"/>
  <c r="AG642" i="1" a="1"/>
  <c r="AG455" i="1" a="1"/>
  <c r="AG254" i="1" a="1"/>
  <c r="AH472" i="1" a="1"/>
  <c r="AH220" i="1" a="1"/>
  <c r="AG82" i="1" a="1"/>
  <c r="AH421" i="1" a="1"/>
  <c r="AG590" i="1" a="1"/>
  <c r="AH489" i="1" a="1"/>
  <c r="AG331" i="1" a="1"/>
  <c r="AH135" i="1" a="1"/>
  <c r="AH160" i="1" a="1"/>
  <c r="AG327" i="1" a="1"/>
  <c r="AH124" i="1" a="1"/>
  <c r="AG637" i="1" a="1"/>
  <c r="AH280" i="1" a="1"/>
  <c r="AG474" i="1" a="1"/>
  <c r="AH470" i="1" a="1"/>
  <c r="AH289" i="1" a="1"/>
  <c r="AG450" i="1" a="1"/>
  <c r="AH326" i="1" a="1"/>
  <c r="AG636" i="1" a="1"/>
  <c r="AG236" i="1" a="1"/>
  <c r="AG298" i="1" a="1"/>
  <c r="AG10" i="1" a="1"/>
  <c r="AH405" i="1" a="1"/>
  <c r="AG398" i="1" a="1"/>
  <c r="AG394" i="1" a="1"/>
  <c r="AH68" i="1" a="1"/>
  <c r="AG421" i="1" a="1"/>
  <c r="AH600" i="1" a="1"/>
  <c r="AG212" i="1" a="1"/>
  <c r="AH29" i="1" a="1"/>
  <c r="AG427" i="1" a="1"/>
  <c r="AG189" i="1" a="1"/>
  <c r="AG31" i="1" a="1"/>
  <c r="AH548" i="1" a="1"/>
  <c r="AH636" i="1" a="1"/>
  <c r="AH314" i="1" a="1"/>
  <c r="AH519" i="1" a="1"/>
  <c r="AH595" i="1" a="1"/>
  <c r="AG74" i="1" a="1"/>
  <c r="AG80" i="1" a="1"/>
  <c r="AH227" i="1" a="1"/>
  <c r="AG650" i="1" a="1"/>
  <c r="AH404" i="1" a="1"/>
  <c r="AH12" i="1" a="1"/>
  <c r="AH302" i="1" a="1"/>
  <c r="AG433" i="1" a="1"/>
  <c r="AG484" i="1" a="1"/>
  <c r="AG371" i="1" a="1"/>
  <c r="AG526" i="1" a="1"/>
  <c r="AG369" i="1" a="1"/>
  <c r="AH247" i="1" a="1"/>
  <c r="AH85" i="1" a="1"/>
  <c r="AH88" i="1" a="1"/>
  <c r="AG122" i="1" a="1"/>
  <c r="AH217" i="1" a="1"/>
  <c r="AG228" i="1" a="1"/>
  <c r="AH109" i="1" a="1"/>
  <c r="AH492" i="1" a="1"/>
  <c r="AH36" i="1" a="1"/>
  <c r="AH559" i="1" a="1"/>
  <c r="AG124" i="1" a="1"/>
  <c r="AG243" i="1" a="1"/>
  <c r="AH381" i="1" a="1"/>
  <c r="AG277" i="1" a="1"/>
  <c r="AG245" i="1" a="1"/>
  <c r="AG557" i="1" a="1"/>
  <c r="AG654" i="1" a="1"/>
  <c r="AH108" i="1" a="1"/>
  <c r="AH239" i="1" a="1"/>
  <c r="AH607" i="1" a="1"/>
  <c r="AH183" i="1" a="1"/>
  <c r="AG375" i="1" a="1"/>
  <c r="AG573" i="1" a="1"/>
  <c r="AG614" i="1" a="1"/>
  <c r="AH598" i="1" a="1"/>
  <c r="AG554" i="1" a="1"/>
  <c r="AG190" i="1" a="1"/>
  <c r="AH522" i="1" a="1"/>
  <c r="AH604" i="1" a="1"/>
  <c r="AG216" i="1" a="1"/>
  <c r="AH244" i="1" a="1"/>
  <c r="AG508" i="1" a="1"/>
  <c r="AG423" i="1" a="1"/>
  <c r="AG616" i="1" a="1"/>
  <c r="AG379" i="1" a="1"/>
  <c r="AG102" i="1" a="1"/>
  <c r="AG133" i="1" a="1"/>
  <c r="AG115" i="1" a="1"/>
  <c r="AH459" i="1" a="1"/>
  <c r="AH369" i="1" a="1"/>
  <c r="AG145" i="1" a="1"/>
  <c r="AH566" i="1" a="1"/>
  <c r="AH256" i="1" a="1"/>
  <c r="AH537" i="1" a="1"/>
  <c r="AH482" i="1" a="1"/>
  <c r="AH211" i="1" a="1"/>
  <c r="AG229" i="1" a="1"/>
  <c r="AH649" i="1" a="1"/>
  <c r="AH488" i="1" a="1"/>
  <c r="AG210" i="1" a="1"/>
  <c r="AG481" i="1" a="1"/>
  <c r="AH26" i="1" a="1"/>
  <c r="AH524" i="1" a="1"/>
  <c r="AG53" i="1" a="1"/>
  <c r="AG472" i="1" a="1"/>
  <c r="AH332" i="1" a="1"/>
  <c r="AG553" i="1" a="1"/>
  <c r="AH278" i="1" a="1"/>
  <c r="AH447" i="1" a="1"/>
  <c r="AG435" i="1" a="1"/>
  <c r="AG646" i="1" a="1"/>
  <c r="AG91" i="1" a="1"/>
  <c r="AH556" i="1" a="1"/>
  <c r="AG595" i="1" a="1"/>
  <c r="AG211" i="1" a="1"/>
  <c r="AH363" i="1" a="1"/>
  <c r="AH171" i="1" a="1"/>
  <c r="AH230" i="1" a="1"/>
  <c r="AG125" i="1" a="1"/>
  <c r="AH551" i="1" a="1"/>
  <c r="AG668" i="1" a="1"/>
  <c r="AG179" i="1" a="1"/>
  <c r="AG312" i="1" a="1"/>
  <c r="AH178" i="1" a="1"/>
  <c r="AG407" i="1" a="1"/>
  <c r="AG294" i="1" a="1"/>
  <c r="AG105" i="1" a="1"/>
  <c r="AG90" i="1" a="1"/>
  <c r="AG159" i="1" a="1"/>
  <c r="AG61" i="1" a="1"/>
  <c r="AH209" i="1" a="1"/>
  <c r="AH299" i="1" a="1"/>
  <c r="AG195" i="1" a="1"/>
  <c r="AG88" i="1" a="1"/>
  <c r="AG651" i="1" a="1"/>
  <c r="AH508" i="1" a="1"/>
  <c r="AG67" i="1" a="1"/>
  <c r="AH204" i="1" a="1"/>
  <c r="AG350" i="1" a="1"/>
  <c r="AG197" i="1" a="1"/>
  <c r="AH417" i="1" a="1"/>
  <c r="AG157" i="1" a="1"/>
  <c r="AH395" i="1" a="1"/>
  <c r="AG366" i="1" a="1"/>
  <c r="AG544" i="1" a="1"/>
  <c r="AG541" i="1" a="1"/>
  <c r="AG613" i="1" a="1"/>
  <c r="AH207" i="1" a="1"/>
  <c r="AH608" i="1" a="1"/>
  <c r="AG113" i="1" a="1"/>
  <c r="AG156" i="1" a="1"/>
  <c r="AH432" i="1" a="1"/>
  <c r="AH226" i="1" a="1"/>
  <c r="AG57" i="1" a="1"/>
  <c r="AH191" i="1" a="1"/>
  <c r="AH496" i="1" a="1"/>
  <c r="AG365" i="1" a="1"/>
  <c r="AH574" i="1" a="1"/>
  <c r="AG64" i="1" a="1"/>
  <c r="AG140" i="1" a="1"/>
  <c r="AG523" i="1" a="1"/>
  <c r="AH564" i="1" a="1"/>
  <c r="AG488" i="1" a="1"/>
  <c r="AG75" i="1" a="1"/>
  <c r="AG182" i="1" a="1"/>
  <c r="AG462" i="1" a="1"/>
  <c r="AG359" i="1" a="1"/>
  <c r="AH397" i="1" a="1"/>
  <c r="AG612" i="1" a="1"/>
  <c r="AH18" i="1" a="1"/>
  <c r="AG98" i="1" a="1"/>
  <c r="AH32" i="1" a="1"/>
  <c r="AG239" i="1" a="1"/>
  <c r="AH573" i="1" a="1"/>
  <c r="AG571" i="1" a="1"/>
  <c r="AH197" i="1" a="1"/>
  <c r="AH311" i="1" a="1"/>
  <c r="AH172" i="1" a="1"/>
  <c r="AG625" i="1" a="1"/>
  <c r="AH658" i="1" a="1"/>
  <c r="AG242" i="1" a="1"/>
  <c r="AH412" i="1" a="1"/>
  <c r="AG84" i="1" a="1"/>
  <c r="AG214" i="1" a="1"/>
  <c r="AH261" i="1" a="1"/>
  <c r="AG129" i="1" a="1"/>
  <c r="AG506" i="1" a="1"/>
  <c r="AH580" i="1" a="1"/>
  <c r="AH42" i="1" a="1"/>
  <c r="AH529" i="1" a="1"/>
  <c r="AH75" i="1" a="1"/>
  <c r="AH505" i="1" a="1"/>
  <c r="AG62" i="1" a="1"/>
  <c r="AG347" i="1" a="1"/>
  <c r="AH260" i="1" a="1"/>
  <c r="AG610" i="1" a="1"/>
  <c r="AG667" i="1" a="1"/>
  <c r="AG101" i="1" a="1"/>
  <c r="AH613" i="1" a="1"/>
  <c r="AH205" i="1" a="1"/>
  <c r="AG569" i="1" a="1"/>
  <c r="AG533" i="1" a="1"/>
  <c r="AH181" i="1" a="1"/>
  <c r="AG320" i="1" a="1"/>
  <c r="AH143" i="1" a="1"/>
  <c r="AH507" i="1" a="1"/>
  <c r="AH581" i="1" a="1"/>
  <c r="AG204" i="1" a="1"/>
  <c r="AG28" i="1" a="1"/>
  <c r="AG465" i="1" a="1"/>
  <c r="AH253" i="1" a="1"/>
  <c r="AH163" i="1" a="1"/>
  <c r="AG39" i="1" a="1"/>
  <c r="AH623" i="1" a="1"/>
  <c r="AG43" i="1" a="1"/>
  <c r="AH632" i="1" a="1"/>
  <c r="AG287" i="1" a="1"/>
  <c r="AG268" i="1" a="1"/>
  <c r="AH185" i="1" a="1"/>
  <c r="AG241" i="1" a="1"/>
  <c r="AH155" i="1" a="1"/>
  <c r="AG615" i="1" a="1"/>
  <c r="AH543" i="1" a="1"/>
  <c r="AH579" i="1" a="1"/>
  <c r="AG531" i="1" a="1"/>
  <c r="AG325" i="1" a="1"/>
  <c r="AG404" i="1" a="1"/>
  <c r="AG302" i="1" a="1"/>
  <c r="AG235" i="1" a="1"/>
  <c r="AG468" i="1" a="1"/>
  <c r="AH510" i="1" a="1"/>
  <c r="AG644" i="1" a="1"/>
  <c r="AG490" i="1" a="1"/>
  <c r="AG392" i="1" a="1"/>
  <c r="AG443" i="1" a="1"/>
  <c r="AG34" i="1" a="1"/>
  <c r="AH248" i="1" a="1"/>
  <c r="AG221" i="1" a="1"/>
  <c r="AG93" i="1" a="1"/>
  <c r="AH51" i="1" a="1"/>
  <c r="AH361" i="1" a="1"/>
  <c r="AG378" i="1" a="1"/>
  <c r="AG117" i="1" a="1"/>
  <c r="AH373" i="1" a="1"/>
  <c r="AH479" i="1" a="1"/>
  <c r="AH334" i="1" a="1"/>
  <c r="AG391" i="1" a="1"/>
  <c r="AH276" i="1" a="1"/>
  <c r="AG230" i="1" a="1"/>
  <c r="AH384" i="1" a="1"/>
  <c r="AH651" i="1" a="1"/>
  <c r="AG655" i="1" a="1"/>
  <c r="AG131" i="1" a="1"/>
  <c r="AH309" i="1" a="1"/>
  <c r="AH243" i="1" a="1"/>
  <c r="AH433" i="1" a="1"/>
  <c r="AH534" i="1" a="1"/>
  <c r="AH112" i="1" a="1"/>
  <c r="AH656" i="1" a="1"/>
  <c r="AG445" i="1" a="1"/>
  <c r="AH533" i="1" a="1"/>
  <c r="AH308" i="1" a="1"/>
  <c r="AG607" i="1" a="1"/>
  <c r="AH305" i="1" a="1"/>
  <c r="AG151" i="1" a="1"/>
  <c r="AH132" i="1" a="1"/>
  <c r="AH295" i="1" a="1"/>
  <c r="AH158" i="1" a="1"/>
  <c r="AG77" i="1" a="1"/>
  <c r="AG475" i="1" a="1"/>
  <c r="AH149" i="1" a="1"/>
  <c r="AG103" i="1" a="1"/>
  <c r="AG349" i="1" a="1"/>
  <c r="AG296" i="1" a="1"/>
  <c r="AG238" i="1" a="1"/>
  <c r="AH666" i="1" a="1"/>
  <c r="AG52" i="1" a="1"/>
  <c r="AG522" i="1" a="1"/>
  <c r="AG321" i="1" a="1"/>
  <c r="AG191" i="1" a="1"/>
  <c r="AG225" i="1" a="1"/>
  <c r="AG587" i="1" a="1"/>
  <c r="AG37" i="1" a="1"/>
  <c r="AH422" i="1" a="1"/>
  <c r="AH571" i="1" a="1"/>
  <c r="AH46" i="1" a="1"/>
  <c r="AG547" i="1" a="1"/>
  <c r="AH157" i="1" a="1"/>
  <c r="AH525" i="1" a="1"/>
  <c r="AH491" i="1" a="1"/>
  <c r="AH65" i="1" a="1"/>
  <c r="AH596" i="1" a="1"/>
  <c r="AH521" i="1" a="1"/>
  <c r="AG154" i="1" a="1"/>
  <c r="AH271" i="1" a="1"/>
  <c r="AG621" i="1" a="1"/>
  <c r="AG662" i="1" a="1"/>
  <c r="AH113" i="1" a="1"/>
  <c r="AH184" i="1" a="1"/>
  <c r="AH186" i="1" a="1"/>
  <c r="AG15" i="1" a="1"/>
  <c r="AH468" i="1" a="1"/>
  <c r="AH462" i="1" a="1"/>
  <c r="AG6" i="1" a="1"/>
  <c r="AG627" i="1" a="1"/>
  <c r="AH494" i="1" a="1"/>
  <c r="AG42" i="1" a="1"/>
  <c r="AH646" i="1" a="1"/>
  <c r="AG72" i="1" a="1"/>
  <c r="AG476" i="1" a="1"/>
  <c r="AG357" i="1" a="1"/>
  <c r="AG515" i="1" a="1"/>
  <c r="AH458" i="1" a="1"/>
  <c r="AH147" i="1" a="1"/>
  <c r="AG264" i="1" a="1"/>
  <c r="AH513" i="1" a="1"/>
  <c r="AG444" i="1" a="1"/>
  <c r="AH322" i="1" a="1"/>
  <c r="AH402" i="1" a="1"/>
  <c r="AG656" i="1" a="1"/>
  <c r="AG527" i="1" a="1"/>
  <c r="AG337" i="1" a="1"/>
  <c r="AG451" i="1" a="1"/>
  <c r="AG399" i="1" a="1"/>
  <c r="AG626" i="1" a="1"/>
  <c r="AH33" i="1" a="1"/>
  <c r="AH401" i="1" a="1"/>
  <c r="AG498" i="1" a="1"/>
  <c r="AG107" i="1" a="1"/>
  <c r="AG438" i="1" a="1"/>
  <c r="AG44" i="1" a="1"/>
  <c r="AG525" i="1" a="1"/>
  <c r="AG346" i="1" a="1"/>
  <c r="AG274" i="1" a="1"/>
  <c r="AG162" i="1" a="1"/>
  <c r="AH549" i="1" a="1"/>
  <c r="AG186" i="1" a="1"/>
  <c r="AG142" i="1" a="1"/>
  <c r="AG215" i="1" a="1"/>
  <c r="AG546" i="1" a="1"/>
  <c r="AG348" i="1" a="1"/>
  <c r="AH203" i="1" a="1"/>
  <c r="AH4" i="1" a="1"/>
  <c r="AG203" i="1" a="1"/>
  <c r="AG417" i="1" a="1"/>
  <c r="AH131" i="1" a="1"/>
  <c r="AH484" i="1" a="1"/>
  <c r="AH153" i="1" a="1"/>
  <c r="AH473" i="1" a="1"/>
  <c r="AH427" i="1" a="1"/>
  <c r="AH602" i="1" a="1"/>
  <c r="AH336" i="1" a="1"/>
  <c r="AH520" i="1" a="1"/>
  <c r="AG436" i="1" a="1"/>
  <c r="AG170" i="1" a="1"/>
  <c r="AH102" i="1" a="1"/>
  <c r="AG377" i="1" a="1"/>
  <c r="AG611" i="1" a="1"/>
  <c r="AG233" i="1" a="1"/>
  <c r="AH467" i="1" a="1"/>
  <c r="AG81" i="1" a="1"/>
  <c r="AG112" i="1" a="1"/>
  <c r="AG574" i="1" a="1"/>
  <c r="AH420" i="1" a="1"/>
  <c r="AG412" i="1" a="1"/>
  <c r="AG5" i="1" a="1"/>
  <c r="AG218" i="1" a="1"/>
  <c r="AH431" i="1" a="1"/>
  <c r="AG368" i="1" a="1"/>
  <c r="AH624" i="1" a="1"/>
  <c r="AG23" i="1" a="1"/>
  <c r="AH28" i="1" a="1"/>
  <c r="AH611" i="1" a="1"/>
  <c r="AH376" i="1" a="1"/>
  <c r="AH578" i="1" a="1"/>
  <c r="AH375" i="1" a="1"/>
  <c r="AG543" i="1" a="1"/>
  <c r="AH120" i="1" a="1"/>
  <c r="AG529" i="1" a="1"/>
  <c r="AH200" i="1" a="1"/>
  <c r="AG136" i="1" a="1"/>
  <c r="AG255" i="1" a="1"/>
  <c r="AH416" i="1" a="1"/>
  <c r="AH342" i="1" a="1"/>
  <c r="AG278" i="1" a="1"/>
  <c r="AG659" i="1" a="1"/>
  <c r="AG434" i="1" a="1"/>
  <c r="AH241" i="1" a="1"/>
  <c r="AG55" i="1" a="1"/>
  <c r="AH236" i="1" a="1"/>
  <c r="AG60" i="1" a="1"/>
  <c r="AG643" i="1" a="1"/>
  <c r="AG40" i="1" a="1"/>
  <c r="AH34" i="1" a="1"/>
  <c r="AG249" i="1" a="1"/>
  <c r="AG579" i="1" a="1"/>
  <c r="AH67" i="1" a="1"/>
  <c r="AG469" i="1" a="1"/>
  <c r="AG132" i="1" a="1"/>
  <c r="AH277" i="1" a="1"/>
  <c r="AG582" i="1" a="1"/>
  <c r="AG9" i="1" a="1"/>
  <c r="AG123" i="1" a="1"/>
  <c r="AG374" i="1" a="1"/>
  <c r="AG334" i="1" a="1"/>
  <c r="AH48" i="1" a="1"/>
  <c r="AH27" i="1" a="1"/>
  <c r="AH233" i="1" a="1"/>
  <c r="AH445" i="1" a="1"/>
  <c r="AH74" i="1" a="1"/>
  <c r="AH487" i="1" a="1"/>
  <c r="AG343" i="1" a="1"/>
  <c r="AH455" i="1" a="1"/>
  <c r="AG492" i="1" a="1"/>
  <c r="AH419" i="1" a="1"/>
  <c r="AG59" i="1" a="1"/>
  <c r="AH258" i="1" a="1"/>
  <c r="AG172" i="1" a="1"/>
  <c r="AG196" i="1" a="1"/>
  <c r="AH177" i="1" a="1"/>
  <c r="AG271" i="1" a="1"/>
  <c r="AH568" i="1" a="1"/>
  <c r="AH57" i="1" a="1"/>
  <c r="AG669" i="1" a="1"/>
  <c r="AG528" i="1" a="1"/>
  <c r="AH150" i="1" a="1"/>
  <c r="AG617" i="1" a="1"/>
  <c r="AH413" i="1" a="1"/>
  <c r="AH166" i="1" a="1"/>
  <c r="AH328" i="1" a="1"/>
  <c r="AG147" i="1" a="1"/>
  <c r="AG201" i="1" a="1"/>
  <c r="AG570" i="1" a="1"/>
  <c r="AG576" i="1" a="1"/>
  <c r="AG164" i="1" a="1"/>
  <c r="AG284" i="1" a="1"/>
  <c r="AG479" i="1" a="1"/>
  <c r="AG524" i="1" a="1"/>
  <c r="AH58" i="1" a="1"/>
  <c r="AG382" i="1" a="1"/>
  <c r="AG563" i="1" a="1"/>
  <c r="AH307" i="1" a="1"/>
  <c r="AG447" i="1" a="1"/>
  <c r="AG633" i="1" a="1"/>
  <c r="AH555" i="1" a="1"/>
  <c r="AH379" i="1" a="1"/>
  <c r="AH194" i="1" a="1"/>
  <c r="AH268" i="1" a="1"/>
  <c r="AG121" i="1" a="1"/>
  <c r="AH668" i="1" a="1"/>
  <c r="AH3" i="1" a="1"/>
  <c r="AG355" i="1" a="1"/>
  <c r="AH411" i="1" a="1"/>
  <c r="AH497" i="1" a="1"/>
  <c r="AH403" i="1" a="1"/>
  <c r="AH31" i="1" a="1"/>
  <c r="AG432" i="1" a="1"/>
  <c r="AH80" i="1" a="1"/>
  <c r="AH626" i="1" a="1"/>
  <c r="AH587" i="1" a="1"/>
  <c r="AH418" i="1" a="1"/>
  <c r="AH588" i="1" a="1"/>
  <c r="AH635" i="1" a="1"/>
  <c r="AH357" i="1" a="1"/>
  <c r="AH164" i="1" a="1"/>
  <c r="AH619" i="1" a="1"/>
  <c r="AH434" i="1" a="1"/>
  <c r="AH285" i="1" a="1"/>
  <c r="AG279" i="1" a="1"/>
  <c r="AH213" i="1" a="1"/>
  <c r="AH498" i="1" a="1"/>
  <c r="AG181" i="1" a="1"/>
  <c r="AG493" i="1" a="1"/>
  <c r="AG402" i="1" a="1"/>
  <c r="AH614" i="1" a="1"/>
  <c r="AH331" i="1" a="1"/>
  <c r="AH266" i="1" a="1"/>
  <c r="AH408" i="1" a="1"/>
  <c r="AG161" i="1" a="1"/>
  <c r="AH312" i="1" a="1"/>
  <c r="AH615" i="1" a="1"/>
  <c r="AG58" i="1" a="1"/>
  <c r="AH335" i="1" a="1"/>
  <c r="AG324" i="1" a="1"/>
  <c r="AG261" i="1" a="1"/>
  <c r="AG653" i="1" a="1"/>
  <c r="AH630" i="1" a="1"/>
  <c r="AG623" i="1" a="1"/>
  <c r="AH425" i="1" a="1"/>
  <c r="AG496" i="1" a="1"/>
  <c r="AH288" i="1" a="1"/>
  <c r="AG422" i="1" a="1"/>
  <c r="AG292" i="1" a="1"/>
  <c r="AH399" i="1" a="1"/>
  <c r="AG520" i="1" a="1"/>
  <c r="AG199" i="1" a="1"/>
  <c r="AH60" i="1" a="1"/>
  <c r="AH365" i="1" a="1"/>
  <c r="AH142" i="1" a="1"/>
  <c r="AH13" i="1" a="1"/>
  <c r="AH78" i="1" a="1"/>
  <c r="AG425" i="1" a="1"/>
  <c r="AG184" i="1" a="1"/>
  <c r="AH509" i="1" a="1"/>
  <c r="AH193" i="1" a="1"/>
  <c r="AG295" i="1" a="1"/>
  <c r="AH45" i="1" a="1"/>
  <c r="AH358" i="1" a="1"/>
  <c r="AH22" i="1" a="1"/>
  <c r="AH273" i="1" a="1"/>
  <c r="AG265" i="1" a="1"/>
  <c r="AH660" i="1" a="1"/>
  <c r="AH37" i="1" a="1"/>
  <c r="AG149" i="1" a="1"/>
  <c r="AG442" i="1" a="1"/>
  <c r="AG494" i="1" a="1"/>
  <c r="AH62" i="1" a="1"/>
  <c r="AG20" i="1" a="1"/>
  <c r="AG609" i="1" a="1"/>
  <c r="AG166" i="1" a="1"/>
  <c r="AG257" i="1" a="1"/>
  <c r="AG288" i="1" a="1"/>
  <c r="AG509" i="1" a="1"/>
  <c r="AH424" i="1" a="1"/>
  <c r="AH225" i="1" a="1"/>
  <c r="AG70" i="1" a="1"/>
  <c r="AG367" i="1" a="1"/>
  <c r="AH389" i="1" a="1"/>
  <c r="AH642" i="1" a="1"/>
  <c r="AH144" i="1" a="1"/>
  <c r="AG2" i="1" a="1"/>
  <c r="AG175" i="1" a="1"/>
  <c r="AH486" i="1" a="1"/>
  <c r="AH609" i="1" a="1"/>
  <c r="AH440" i="1" a="1"/>
  <c r="AG244" i="1" a="1"/>
  <c r="AG441" i="1" a="1"/>
  <c r="AG97" i="1" a="1"/>
  <c r="AG403" i="1" a="1"/>
  <c r="AH234" i="1" a="1"/>
  <c r="AH557" i="1" a="1"/>
  <c r="AH436" i="1" a="1"/>
  <c r="AG461" i="1" a="1"/>
  <c r="AG237" i="1" a="1"/>
  <c r="AG356" i="1" a="1"/>
  <c r="AG538" i="1" a="1"/>
  <c r="AH439" i="1" a="1"/>
  <c r="AG194" i="1" a="1"/>
  <c r="AG89" i="1" a="1"/>
  <c r="AG384" i="1" a="1"/>
  <c r="AH502" i="1" a="1"/>
  <c r="AH475" i="1" a="1"/>
  <c r="AG138" i="1" a="1"/>
  <c r="AG297" i="1" a="1"/>
  <c r="AG586" i="1" a="1"/>
  <c r="AG491" i="1" a="1"/>
  <c r="AG630" i="1" a="1"/>
  <c r="AG200" i="1" a="1"/>
  <c r="AH586" i="1" a="1"/>
  <c r="AG363" i="1" a="1"/>
  <c r="AG24" i="1" a="1"/>
  <c r="AG109" i="1" a="1"/>
  <c r="AH350" i="1" a="1"/>
  <c r="AH61" i="1" a="1"/>
  <c r="AH54" i="1" a="1"/>
  <c r="AG400" i="1" a="1"/>
  <c r="AH652" i="1" a="1"/>
  <c r="AG256" i="1" a="1"/>
  <c r="AG532" i="1" a="1"/>
  <c r="AH337" i="1" a="1"/>
  <c r="AH300" i="1" a="1"/>
  <c r="AH52" i="1" a="1"/>
  <c r="AG78" i="1" a="1"/>
  <c r="AH2" i="1" a="1"/>
  <c r="AG137" i="1" a="1"/>
  <c r="AG341" i="1" a="1"/>
  <c r="AG338" i="1" a="1"/>
  <c r="AG253" i="1" a="1"/>
  <c r="AH589" i="1" a="1"/>
  <c r="AH393" i="1" a="1"/>
  <c r="AG458" i="1" a="1"/>
  <c r="AH137" i="1" a="1"/>
  <c r="AG591" i="1" a="1"/>
  <c r="AH352" i="1" a="1"/>
  <c r="AH583" i="1" a="1"/>
  <c r="AH437" i="1" a="1"/>
  <c r="AG530" i="1" a="1"/>
  <c r="AH281" i="1" a="1"/>
  <c r="AG248" i="1" a="1"/>
  <c r="AH192" i="1" a="1"/>
  <c r="AH366" i="1" a="1"/>
  <c r="AG658" i="1" a="1"/>
  <c r="AG163" i="1" a="1"/>
  <c r="AH631" i="1" a="1"/>
  <c r="AG280" i="1" a="1"/>
  <c r="AH398" i="1" a="1"/>
  <c r="AG258" i="1" a="1"/>
  <c r="AG431" i="1" a="1"/>
  <c r="AG247" i="1" a="1"/>
  <c r="AH249" i="1" a="1"/>
  <c r="AG487" i="1" a="1"/>
  <c r="AG307" i="1" a="1"/>
  <c r="AH9" i="1" a="1"/>
  <c r="AH663" i="1" a="1"/>
  <c r="AG193" i="1" a="1"/>
  <c r="AG73" i="1" a="1"/>
  <c r="AH139" i="1" a="1"/>
  <c r="AH347" i="1" a="1"/>
  <c r="AH115" i="1" a="1"/>
  <c r="AG49" i="1" a="1"/>
  <c r="AH380" i="1" a="1"/>
  <c r="AH122" i="1" a="1"/>
  <c r="AH20" i="1" a="1"/>
  <c r="AG663" i="1" a="1"/>
  <c r="AH388" i="1" a="1"/>
  <c r="AH392" i="1" a="1"/>
  <c r="AG362" i="1" a="1"/>
  <c r="AH442" i="1" a="1"/>
  <c r="AH343" i="1" a="1"/>
  <c r="AH450" i="1" a="1"/>
  <c r="AH627" i="1" a="1"/>
  <c r="AH320" i="1" a="1"/>
  <c r="AH208" i="1" a="1"/>
  <c r="AG540" i="1" a="1"/>
  <c r="AG17" i="1" a="1"/>
  <c r="AH63" i="1" a="1"/>
  <c r="AH493" i="1" a="1"/>
  <c r="AH118" i="1" a="1"/>
  <c r="AG21" i="1" a="1"/>
  <c r="AH360" i="1" a="1"/>
  <c r="AG305" i="1" a="1"/>
  <c r="AG606" i="1" a="1"/>
  <c r="AG104" i="1" a="1"/>
  <c r="AH17" i="1" a="1"/>
  <c r="AG134" i="1" a="1"/>
  <c r="AG336" i="1" a="1"/>
  <c r="AH98" i="1" a="1"/>
  <c r="AH201" i="1" a="1"/>
  <c r="AH167" i="1" a="1"/>
  <c r="AH265" i="1" a="1"/>
  <c r="AH59" i="1" a="1"/>
  <c r="AH503" i="1" a="1"/>
  <c r="AH367" i="1" a="1"/>
  <c r="AH297" i="1" a="1"/>
  <c r="AH499" i="1" a="1"/>
  <c r="AH665" i="1" a="1"/>
  <c r="AH272" i="1" a="1"/>
  <c r="AH198" i="1" a="1"/>
  <c r="AG628" i="1" a="1"/>
  <c r="AH562" i="1" a="1"/>
  <c r="AH452" i="1" a="1"/>
  <c r="AG497" i="1" a="1"/>
  <c r="AH550" i="1" a="1"/>
  <c r="AG50" i="1" a="1"/>
  <c r="AG219" i="1" a="1"/>
  <c r="AG624" i="1" a="1"/>
  <c r="AH141" i="1" a="1"/>
  <c r="AG390" i="1" a="1"/>
  <c r="AG580" i="1" a="1"/>
  <c r="AG452" i="1" a="1"/>
  <c r="AH567" i="1" a="1"/>
  <c r="AG428" i="1" a="1"/>
  <c r="AG270" i="1" a="1"/>
  <c r="AG304" i="1" a="1"/>
  <c r="AH577" i="1" a="1"/>
  <c r="AH49" i="1" a="1"/>
  <c r="AH136" i="1" a="1"/>
  <c r="AG581" i="1" a="1"/>
  <c r="AH133" i="1" a="1"/>
  <c r="AG406" i="1" a="1"/>
  <c r="AG202" i="1" a="1"/>
  <c r="AH7" i="1" a="1"/>
  <c r="AH605" i="1" a="1"/>
  <c r="AH476" i="1" a="1"/>
  <c r="AH257" i="1" a="1"/>
  <c r="AH89" i="1" a="1"/>
  <c r="AH438" i="1" a="1"/>
  <c r="AH333" i="1" a="1"/>
  <c r="AH530" i="1" a="1"/>
  <c r="AH14" i="1" a="1"/>
  <c r="AH317" i="1" a="1"/>
  <c r="AG246" i="1" a="1"/>
  <c r="AH386" i="1" a="1"/>
  <c r="AH92" i="1" a="1"/>
  <c r="AH394" i="1" a="1"/>
  <c r="AG602" i="1" a="1"/>
  <c r="AG135" i="1" a="1"/>
  <c r="AG453" i="1" a="1"/>
  <c r="AG594" i="1" a="1"/>
  <c r="AG51" i="1" a="1"/>
  <c r="AH348" i="1" a="1"/>
  <c r="AG63" i="1" a="1"/>
  <c r="AH146" i="1" a="1"/>
  <c r="AG418" i="1" a="1"/>
  <c r="AH279" i="1" a="1"/>
  <c r="AH70" i="1" a="1"/>
  <c r="AG76" i="1" a="1"/>
  <c r="AH461" i="1" a="1"/>
  <c r="AH114" i="1" a="1"/>
  <c r="AG94" i="1" a="1"/>
  <c r="AH292" i="1" a="1"/>
  <c r="AH195" i="1" a="1"/>
  <c r="AH448" i="1" a="1"/>
  <c r="AG358" i="1" a="1"/>
  <c r="AH667" i="1" a="1"/>
  <c r="AH340" i="1" a="1"/>
  <c r="AH329" i="1" a="1"/>
  <c r="AH617" i="1" a="1"/>
  <c r="AG470" i="1" a="1"/>
  <c r="AG155" i="1" a="1"/>
  <c r="AG16" i="1" a="1"/>
  <c r="AH324" i="1" a="1"/>
  <c r="AH645" i="1" a="1"/>
  <c r="AH480" i="1" a="1"/>
  <c r="AH103" i="1" a="1"/>
  <c r="AH576" i="1" a="1"/>
  <c r="AH298" i="1" a="1"/>
  <c r="AH546" i="1" a="1"/>
  <c r="AG583" i="1" a="1"/>
  <c r="AG548" i="1" a="1"/>
  <c r="AH638" i="1" a="1"/>
  <c r="AG192" i="1" a="1"/>
  <c r="AG641" i="1" a="1"/>
  <c r="AH130" i="1" a="1"/>
  <c r="AG323" i="1" a="1"/>
  <c r="AG144" i="1" a="1"/>
  <c r="AH603" i="1" a="1"/>
  <c r="AG640" i="1" a="1"/>
  <c r="AG262" i="1" a="1"/>
  <c r="AG507" i="1" a="1"/>
  <c r="AG618" i="1" a="1"/>
  <c r="AG473" i="1" a="1"/>
  <c r="AH456" i="1" a="1"/>
  <c r="AG111" i="1" a="1"/>
  <c r="AH73" i="1" a="1"/>
  <c r="AH73" i="1" l="1"/>
  <c r="AG111" i="1"/>
  <c r="AI111" i="1" s="1"/>
  <c r="AJ111" i="1" s="1"/>
  <c r="AL111" i="1" s="1"/>
  <c r="AH456" i="1"/>
  <c r="AG473" i="1"/>
  <c r="AG618" i="1"/>
  <c r="AI618" i="1" s="1"/>
  <c r="AJ618" i="1" s="1"/>
  <c r="AL618" i="1" s="1"/>
  <c r="AG507" i="1"/>
  <c r="AG262" i="1"/>
  <c r="AI262" i="1" s="1"/>
  <c r="AJ262" i="1" s="1"/>
  <c r="AL262" i="1" s="1"/>
  <c r="AG640" i="1"/>
  <c r="AI640" i="1" s="1"/>
  <c r="AJ640" i="1" s="1"/>
  <c r="AL640" i="1" s="1"/>
  <c r="AH603" i="1"/>
  <c r="AG144" i="1"/>
  <c r="AI144" i="1" s="1"/>
  <c r="AJ144" i="1" s="1"/>
  <c r="AL144" i="1" s="1"/>
  <c r="AG323" i="1"/>
  <c r="AI323" i="1" s="1"/>
  <c r="AJ323" i="1" s="1"/>
  <c r="AL323" i="1" s="1"/>
  <c r="AH130" i="1"/>
  <c r="AG641" i="1"/>
  <c r="AI641" i="1" s="1"/>
  <c r="AJ641" i="1" s="1"/>
  <c r="AL641" i="1" s="1"/>
  <c r="AG192" i="1"/>
  <c r="AI192" i="1" s="1"/>
  <c r="AJ192" i="1" s="1"/>
  <c r="AL192" i="1" s="1"/>
  <c r="AH638" i="1"/>
  <c r="AI638" i="1" s="1"/>
  <c r="AJ638" i="1" s="1"/>
  <c r="AL638" i="1" s="1"/>
  <c r="AG548" i="1"/>
  <c r="AI548" i="1" s="1"/>
  <c r="AJ548" i="1" s="1"/>
  <c r="AL548" i="1" s="1"/>
  <c r="AG583" i="1"/>
  <c r="AI583" i="1" s="1"/>
  <c r="AJ583" i="1" s="1"/>
  <c r="AL583" i="1" s="1"/>
  <c r="AH546" i="1"/>
  <c r="AH298" i="1"/>
  <c r="AH576" i="1"/>
  <c r="AI576" i="1" s="1"/>
  <c r="AJ576" i="1" s="1"/>
  <c r="AL576" i="1" s="1"/>
  <c r="AH103" i="1"/>
  <c r="AH480" i="1"/>
  <c r="AH645" i="1"/>
  <c r="AH324" i="1"/>
  <c r="AG16" i="1"/>
  <c r="AI16" i="1" s="1"/>
  <c r="AJ16" i="1" s="1"/>
  <c r="AL16" i="1" s="1"/>
  <c r="AG155" i="1"/>
  <c r="AG470" i="1"/>
  <c r="AI470" i="1" s="1"/>
  <c r="AJ470" i="1" s="1"/>
  <c r="AL470" i="1" s="1"/>
  <c r="AH617" i="1"/>
  <c r="AH329" i="1"/>
  <c r="AH340" i="1"/>
  <c r="AH667" i="1"/>
  <c r="AG358" i="1"/>
  <c r="AI358" i="1" s="1"/>
  <c r="AJ358" i="1" s="1"/>
  <c r="AL358" i="1" s="1"/>
  <c r="AH448" i="1"/>
  <c r="AH195" i="1"/>
  <c r="AH292" i="1"/>
  <c r="AG94" i="1"/>
  <c r="AI94" i="1" s="1"/>
  <c r="AJ94" i="1" s="1"/>
  <c r="AL94" i="1" s="1"/>
  <c r="AH114" i="1"/>
  <c r="AH461" i="1"/>
  <c r="AG76" i="1"/>
  <c r="AH70" i="1"/>
  <c r="AH279" i="1"/>
  <c r="AG418" i="1"/>
  <c r="AH146" i="1"/>
  <c r="AI146" i="1" s="1"/>
  <c r="AJ146" i="1" s="1"/>
  <c r="AL146" i="1" s="1"/>
  <c r="AG63" i="1"/>
  <c r="AH348" i="1"/>
  <c r="AG51" i="1"/>
  <c r="AG594" i="1"/>
  <c r="AI594" i="1" s="1"/>
  <c r="AJ594" i="1" s="1"/>
  <c r="AL594" i="1" s="1"/>
  <c r="AG453" i="1"/>
  <c r="AI453" i="1" s="1"/>
  <c r="AJ453" i="1" s="1"/>
  <c r="AL453" i="1" s="1"/>
  <c r="AG135" i="1"/>
  <c r="AI135" i="1" s="1"/>
  <c r="AJ135" i="1" s="1"/>
  <c r="AL135" i="1" s="1"/>
  <c r="AG602" i="1"/>
  <c r="AI602" i="1" s="1"/>
  <c r="AJ602" i="1" s="1"/>
  <c r="AL602" i="1" s="1"/>
  <c r="AH394" i="1"/>
  <c r="AI394" i="1" s="1"/>
  <c r="AJ394" i="1" s="1"/>
  <c r="AL394" i="1" s="1"/>
  <c r="AH92" i="1"/>
  <c r="AI92" i="1" s="1"/>
  <c r="AJ92" i="1" s="1"/>
  <c r="AL92" i="1" s="1"/>
  <c r="AH386" i="1"/>
  <c r="AI386" i="1" s="1"/>
  <c r="AJ386" i="1" s="1"/>
  <c r="AL386" i="1" s="1"/>
  <c r="AG246" i="1"/>
  <c r="AI246" i="1" s="1"/>
  <c r="AJ246" i="1" s="1"/>
  <c r="AL246" i="1" s="1"/>
  <c r="AH317" i="1"/>
  <c r="AH14" i="1"/>
  <c r="AI14" i="1" s="1"/>
  <c r="AJ14" i="1" s="1"/>
  <c r="AL14" i="1" s="1"/>
  <c r="AH530" i="1"/>
  <c r="AI530" i="1" s="1"/>
  <c r="AJ530" i="1" s="1"/>
  <c r="AL530" i="1" s="1"/>
  <c r="AH333" i="1"/>
  <c r="AH438" i="1"/>
  <c r="AI438" i="1" s="1"/>
  <c r="AJ438" i="1" s="1"/>
  <c r="AL438" i="1" s="1"/>
  <c r="AH89" i="1"/>
  <c r="AI89" i="1" s="1"/>
  <c r="AJ89" i="1" s="1"/>
  <c r="AL89" i="1" s="1"/>
  <c r="AH257" i="1"/>
  <c r="AH476" i="1"/>
  <c r="AH605" i="1"/>
  <c r="AH7" i="1"/>
  <c r="AG202" i="1"/>
  <c r="AG406" i="1"/>
  <c r="AH133" i="1"/>
  <c r="AI133" i="1" s="1"/>
  <c r="AJ133" i="1" s="1"/>
  <c r="AL133" i="1" s="1"/>
  <c r="AG581" i="1"/>
  <c r="AH136" i="1"/>
  <c r="AH49" i="1"/>
  <c r="AI49" i="1" s="1"/>
  <c r="AJ49" i="1" s="1"/>
  <c r="AL49" i="1" s="1"/>
  <c r="AH577" i="1"/>
  <c r="AG304" i="1"/>
  <c r="AG270" i="1"/>
  <c r="AI270" i="1" s="1"/>
  <c r="AJ270" i="1" s="1"/>
  <c r="AL270" i="1" s="1"/>
  <c r="AG428" i="1"/>
  <c r="AI428" i="1" s="1"/>
  <c r="AJ428" i="1" s="1"/>
  <c r="AL428" i="1" s="1"/>
  <c r="AH567" i="1"/>
  <c r="AI567" i="1" s="1"/>
  <c r="AJ567" i="1" s="1"/>
  <c r="AL567" i="1" s="1"/>
  <c r="AG452" i="1"/>
  <c r="AI452" i="1" s="1"/>
  <c r="AJ452" i="1" s="1"/>
  <c r="AL452" i="1" s="1"/>
  <c r="AG580" i="1"/>
  <c r="AI580" i="1" s="1"/>
  <c r="AJ580" i="1" s="1"/>
  <c r="AL580" i="1" s="1"/>
  <c r="AG390" i="1"/>
  <c r="AI390" i="1" s="1"/>
  <c r="AJ390" i="1" s="1"/>
  <c r="AL390" i="1" s="1"/>
  <c r="AH141" i="1"/>
  <c r="AG624" i="1"/>
  <c r="AI624" i="1" s="1"/>
  <c r="AJ624" i="1" s="1"/>
  <c r="AL624" i="1" s="1"/>
  <c r="AG219" i="1"/>
  <c r="AG50" i="1"/>
  <c r="AH550" i="1"/>
  <c r="AG497" i="1"/>
  <c r="AH452" i="1"/>
  <c r="AH562" i="1"/>
  <c r="AG628" i="1"/>
  <c r="AI628" i="1" s="1"/>
  <c r="AJ628" i="1" s="1"/>
  <c r="AL628" i="1" s="1"/>
  <c r="AH198" i="1"/>
  <c r="AI198" i="1" s="1"/>
  <c r="AJ198" i="1" s="1"/>
  <c r="AL198" i="1" s="1"/>
  <c r="AH272" i="1"/>
  <c r="AI272" i="1" s="1"/>
  <c r="AJ272" i="1" s="1"/>
  <c r="AL272" i="1" s="1"/>
  <c r="AH665" i="1"/>
  <c r="AH499" i="1"/>
  <c r="AH297" i="1"/>
  <c r="AH367" i="1"/>
  <c r="AH503" i="1"/>
  <c r="AH59" i="1"/>
  <c r="AH265" i="1"/>
  <c r="AH167" i="1"/>
  <c r="AI167" i="1" s="1"/>
  <c r="AJ167" i="1" s="1"/>
  <c r="AL167" i="1" s="1"/>
  <c r="AH201" i="1"/>
  <c r="AI201" i="1" s="1"/>
  <c r="AJ201" i="1" s="1"/>
  <c r="AL201" i="1" s="1"/>
  <c r="AH98" i="1"/>
  <c r="AG336" i="1"/>
  <c r="AI336" i="1" s="1"/>
  <c r="AJ336" i="1" s="1"/>
  <c r="AL336" i="1" s="1"/>
  <c r="AG134" i="1"/>
  <c r="AH17" i="1"/>
  <c r="AG104" i="1"/>
  <c r="AG606" i="1"/>
  <c r="AG305" i="1"/>
  <c r="AH360" i="1"/>
  <c r="AG21" i="1"/>
  <c r="AH118" i="1"/>
  <c r="AI118" i="1" s="1"/>
  <c r="AJ118" i="1" s="1"/>
  <c r="AL118" i="1" s="1"/>
  <c r="AH493" i="1"/>
  <c r="AI493" i="1" s="1"/>
  <c r="AJ493" i="1" s="1"/>
  <c r="AL493" i="1" s="1"/>
  <c r="AH63" i="1"/>
  <c r="AG17" i="1"/>
  <c r="AG540" i="1"/>
  <c r="AI540" i="1" s="1"/>
  <c r="AJ540" i="1" s="1"/>
  <c r="AL540" i="1" s="1"/>
  <c r="AH208" i="1"/>
  <c r="AI208" i="1" s="1"/>
  <c r="AJ208" i="1" s="1"/>
  <c r="AL208" i="1" s="1"/>
  <c r="AH320" i="1"/>
  <c r="AH627" i="1"/>
  <c r="AH450" i="1"/>
  <c r="AI450" i="1" s="1"/>
  <c r="AJ450" i="1" s="1"/>
  <c r="AL450" i="1" s="1"/>
  <c r="AH343" i="1"/>
  <c r="AH442" i="1"/>
  <c r="AG362" i="1"/>
  <c r="AI362" i="1" s="1"/>
  <c r="AJ362" i="1" s="1"/>
  <c r="AL362" i="1" s="1"/>
  <c r="AH392" i="1"/>
  <c r="AI392" i="1" s="1"/>
  <c r="AJ392" i="1" s="1"/>
  <c r="AL392" i="1" s="1"/>
  <c r="AH388" i="1"/>
  <c r="AG663" i="1"/>
  <c r="AH20" i="1"/>
  <c r="AH122" i="1"/>
  <c r="AH380" i="1"/>
  <c r="AG49" i="1"/>
  <c r="AH115" i="1"/>
  <c r="AI115" i="1" s="1"/>
  <c r="AJ115" i="1" s="1"/>
  <c r="AL115" i="1" s="1"/>
  <c r="AH347" i="1"/>
  <c r="AH139" i="1"/>
  <c r="AI139" i="1" s="1"/>
  <c r="AJ139" i="1" s="1"/>
  <c r="AL139" i="1" s="1"/>
  <c r="AG73" i="1"/>
  <c r="AI73" i="1" s="1"/>
  <c r="AJ73" i="1" s="1"/>
  <c r="AL73" i="1" s="1"/>
  <c r="AG193" i="1"/>
  <c r="AH663" i="1"/>
  <c r="AH9" i="1"/>
  <c r="AG307" i="1"/>
  <c r="AG487" i="1"/>
  <c r="AH249" i="1"/>
  <c r="AG247" i="1"/>
  <c r="AI247" i="1" s="1"/>
  <c r="AJ247" i="1" s="1"/>
  <c r="AL247" i="1" s="1"/>
  <c r="AG431" i="1"/>
  <c r="AI431" i="1" s="1"/>
  <c r="AJ431" i="1" s="1"/>
  <c r="AL431" i="1" s="1"/>
  <c r="AG258" i="1"/>
  <c r="AH398" i="1"/>
  <c r="AI398" i="1" s="1"/>
  <c r="AJ398" i="1" s="1"/>
  <c r="AL398" i="1" s="1"/>
  <c r="AG280" i="1"/>
  <c r="AI280" i="1" s="1"/>
  <c r="AJ280" i="1" s="1"/>
  <c r="AL280" i="1" s="1"/>
  <c r="AH631" i="1"/>
  <c r="AG163" i="1"/>
  <c r="AI163" i="1" s="1"/>
  <c r="AJ163" i="1" s="1"/>
  <c r="AL163" i="1" s="1"/>
  <c r="AG658" i="1"/>
  <c r="AH366" i="1"/>
  <c r="AH192" i="1"/>
  <c r="AG248" i="1"/>
  <c r="AH281" i="1"/>
  <c r="AG530" i="1"/>
  <c r="AH437" i="1"/>
  <c r="AH583" i="1"/>
  <c r="AH352" i="1"/>
  <c r="AI352" i="1" s="1"/>
  <c r="AJ352" i="1" s="1"/>
  <c r="AL352" i="1" s="1"/>
  <c r="AG591" i="1"/>
  <c r="AI591" i="1" s="1"/>
  <c r="AJ591" i="1" s="1"/>
  <c r="AL591" i="1" s="1"/>
  <c r="AH137" i="1"/>
  <c r="AG458" i="1"/>
  <c r="AI458" i="1" s="1"/>
  <c r="AJ458" i="1" s="1"/>
  <c r="AL458" i="1" s="1"/>
  <c r="AH393" i="1"/>
  <c r="AI393" i="1" s="1"/>
  <c r="AJ393" i="1" s="1"/>
  <c r="AL393" i="1" s="1"/>
  <c r="AH589" i="1"/>
  <c r="AG253" i="1"/>
  <c r="AI253" i="1" s="1"/>
  <c r="AJ253" i="1" s="1"/>
  <c r="AL253" i="1" s="1"/>
  <c r="AG338" i="1"/>
  <c r="AI338" i="1" s="1"/>
  <c r="AJ338" i="1" s="1"/>
  <c r="AL338" i="1" s="1"/>
  <c r="AG341" i="1"/>
  <c r="AI341" i="1" s="1"/>
  <c r="AJ341" i="1" s="1"/>
  <c r="AL341" i="1" s="1"/>
  <c r="AG137" i="1"/>
  <c r="AH2" i="1"/>
  <c r="AG78" i="1"/>
  <c r="AH52" i="1"/>
  <c r="AH300" i="1"/>
  <c r="AH337" i="1"/>
  <c r="AG532" i="1"/>
  <c r="AI532" i="1" s="1"/>
  <c r="AJ532" i="1" s="1"/>
  <c r="AL532" i="1" s="1"/>
  <c r="AG256" i="1"/>
  <c r="AH652" i="1"/>
  <c r="AG400" i="1"/>
  <c r="AH54" i="1"/>
  <c r="AH61" i="1"/>
  <c r="AI61" i="1" s="1"/>
  <c r="AJ61" i="1" s="1"/>
  <c r="AL61" i="1" s="1"/>
  <c r="AH350" i="1"/>
  <c r="AG109" i="1"/>
  <c r="AG24" i="1"/>
  <c r="AG363" i="1"/>
  <c r="AI363" i="1" s="1"/>
  <c r="AJ363" i="1" s="1"/>
  <c r="AL363" i="1" s="1"/>
  <c r="AH586" i="1"/>
  <c r="AG200" i="1"/>
  <c r="AI200" i="1" s="1"/>
  <c r="AJ200" i="1" s="1"/>
  <c r="AL200" i="1" s="1"/>
  <c r="AG630" i="1"/>
  <c r="AI630" i="1" s="1"/>
  <c r="AJ630" i="1" s="1"/>
  <c r="AL630" i="1" s="1"/>
  <c r="AG491" i="1"/>
  <c r="AI491" i="1" s="1"/>
  <c r="AJ491" i="1" s="1"/>
  <c r="AL491" i="1" s="1"/>
  <c r="AG586" i="1"/>
  <c r="AG297" i="1"/>
  <c r="AG138" i="1"/>
  <c r="AI138" i="1" s="1"/>
  <c r="AJ138" i="1" s="1"/>
  <c r="AL138" i="1" s="1"/>
  <c r="AH475" i="1"/>
  <c r="AH502" i="1"/>
  <c r="AG384" i="1"/>
  <c r="AG89" i="1"/>
  <c r="AG194" i="1"/>
  <c r="AH439" i="1"/>
  <c r="AG538" i="1"/>
  <c r="AI538" i="1" s="1"/>
  <c r="AJ538" i="1" s="1"/>
  <c r="AL538" i="1" s="1"/>
  <c r="AG356" i="1"/>
  <c r="AI356" i="1" s="1"/>
  <c r="AJ356" i="1" s="1"/>
  <c r="AL356" i="1" s="1"/>
  <c r="AG237" i="1"/>
  <c r="AG461" i="1"/>
  <c r="AH436" i="1"/>
  <c r="AI436" i="1" s="1"/>
  <c r="AJ436" i="1" s="1"/>
  <c r="AL436" i="1" s="1"/>
  <c r="AH557" i="1"/>
  <c r="AI557" i="1" s="1"/>
  <c r="AJ557" i="1" s="1"/>
  <c r="AL557" i="1" s="1"/>
  <c r="AH234" i="1"/>
  <c r="AG403" i="1"/>
  <c r="AI403" i="1" s="1"/>
  <c r="AJ403" i="1" s="1"/>
  <c r="AL403" i="1" s="1"/>
  <c r="AG97" i="1"/>
  <c r="AI97" i="1" s="1"/>
  <c r="AJ97" i="1" s="1"/>
  <c r="AL97" i="1" s="1"/>
  <c r="AG441" i="1"/>
  <c r="AI441" i="1" s="1"/>
  <c r="AJ441" i="1" s="1"/>
  <c r="AL441" i="1" s="1"/>
  <c r="AG244" i="1"/>
  <c r="AI244" i="1" s="1"/>
  <c r="AJ244" i="1" s="1"/>
  <c r="AL244" i="1" s="1"/>
  <c r="AH440" i="1"/>
  <c r="AH609" i="1"/>
  <c r="AH486" i="1"/>
  <c r="AG175" i="1"/>
  <c r="AI175" i="1" s="1"/>
  <c r="AJ175" i="1" s="1"/>
  <c r="AL175" i="1" s="1"/>
  <c r="AG2" i="1"/>
  <c r="AH144" i="1"/>
  <c r="AH642" i="1"/>
  <c r="AH389" i="1"/>
  <c r="AG367" i="1"/>
  <c r="AG70" i="1"/>
  <c r="AH225" i="1"/>
  <c r="AH424" i="1"/>
  <c r="AI424" i="1" s="1"/>
  <c r="AJ424" i="1" s="1"/>
  <c r="AL424" i="1" s="1"/>
  <c r="AG509" i="1"/>
  <c r="AI509" i="1" s="1"/>
  <c r="AJ509" i="1" s="1"/>
  <c r="AL509" i="1" s="1"/>
  <c r="AG288" i="1"/>
  <c r="AI288" i="1" s="1"/>
  <c r="AJ288" i="1" s="1"/>
  <c r="AL288" i="1" s="1"/>
  <c r="AG257" i="1"/>
  <c r="AI257" i="1" s="1"/>
  <c r="AJ257" i="1" s="1"/>
  <c r="AL257" i="1" s="1"/>
  <c r="AG166" i="1"/>
  <c r="AG609" i="1"/>
  <c r="AI609" i="1" s="1"/>
  <c r="AJ609" i="1" s="1"/>
  <c r="AL609" i="1" s="1"/>
  <c r="AG20" i="1"/>
  <c r="AI20" i="1" s="1"/>
  <c r="AJ20" i="1" s="1"/>
  <c r="AL20" i="1" s="1"/>
  <c r="AH62" i="1"/>
  <c r="AG494" i="1"/>
  <c r="AI494" i="1" s="1"/>
  <c r="AJ494" i="1" s="1"/>
  <c r="AL494" i="1" s="1"/>
  <c r="AG442" i="1"/>
  <c r="AG149" i="1"/>
  <c r="AH37" i="1"/>
  <c r="AH660" i="1"/>
  <c r="AG265" i="1"/>
  <c r="AH273" i="1"/>
  <c r="AH22" i="1"/>
  <c r="AH358" i="1"/>
  <c r="AH45" i="1"/>
  <c r="AG295" i="1"/>
  <c r="AI295" i="1" s="1"/>
  <c r="AJ295" i="1" s="1"/>
  <c r="AL295" i="1" s="1"/>
  <c r="AH193" i="1"/>
  <c r="AH509" i="1"/>
  <c r="AG184" i="1"/>
  <c r="AG425" i="1"/>
  <c r="AI425" i="1" s="1"/>
  <c r="AJ425" i="1" s="1"/>
  <c r="AL425" i="1" s="1"/>
  <c r="AH78" i="1"/>
  <c r="AH13" i="1"/>
  <c r="AH142" i="1"/>
  <c r="AH365" i="1"/>
  <c r="AH60" i="1"/>
  <c r="AG199" i="1"/>
  <c r="AI199" i="1" s="1"/>
  <c r="AJ199" i="1" s="1"/>
  <c r="AL199" i="1" s="1"/>
  <c r="AG520" i="1"/>
  <c r="AH399" i="1"/>
  <c r="AG292" i="1"/>
  <c r="AG422" i="1"/>
  <c r="AH288" i="1"/>
  <c r="AG496" i="1"/>
  <c r="AH425" i="1"/>
  <c r="AG623" i="1"/>
  <c r="AI623" i="1" s="1"/>
  <c r="AJ623" i="1" s="1"/>
  <c r="AL623" i="1" s="1"/>
  <c r="AH630" i="1"/>
  <c r="AG653" i="1"/>
  <c r="AG261" i="1"/>
  <c r="AG324" i="1"/>
  <c r="AI324" i="1" s="1"/>
  <c r="AJ324" i="1" s="1"/>
  <c r="AL324" i="1" s="1"/>
  <c r="AH335" i="1"/>
  <c r="AG58" i="1"/>
  <c r="AI58" i="1" s="1"/>
  <c r="AJ58" i="1" s="1"/>
  <c r="AL58" i="1" s="1"/>
  <c r="AH615" i="1"/>
  <c r="AH312" i="1"/>
  <c r="AG161" i="1"/>
  <c r="AH408" i="1"/>
  <c r="AH266" i="1"/>
  <c r="AI266" i="1" s="1"/>
  <c r="AJ266" i="1" s="1"/>
  <c r="AL266" i="1" s="1"/>
  <c r="AH331" i="1"/>
  <c r="AH614" i="1"/>
  <c r="AG402" i="1"/>
  <c r="AG493" i="1"/>
  <c r="AG181" i="1"/>
  <c r="AH498" i="1"/>
  <c r="AH213" i="1"/>
  <c r="AG279" i="1"/>
  <c r="AH285" i="1"/>
  <c r="AH434" i="1"/>
  <c r="AH619" i="1"/>
  <c r="AH164" i="1"/>
  <c r="AH357" i="1"/>
  <c r="AH635" i="1"/>
  <c r="AH588" i="1"/>
  <c r="AH418" i="1"/>
  <c r="AH587" i="1"/>
  <c r="AH626" i="1"/>
  <c r="AH80" i="1"/>
  <c r="AI80" i="1" s="1"/>
  <c r="AJ80" i="1" s="1"/>
  <c r="AL80" i="1" s="1"/>
  <c r="AG432" i="1"/>
  <c r="AH31" i="1"/>
  <c r="AI31" i="1" s="1"/>
  <c r="AJ31" i="1" s="1"/>
  <c r="AL31" i="1" s="1"/>
  <c r="AH403" i="1"/>
  <c r="AH497" i="1"/>
  <c r="AH411" i="1"/>
  <c r="AG355" i="1"/>
  <c r="AH3" i="1"/>
  <c r="AH668" i="1"/>
  <c r="AG121" i="1"/>
  <c r="AI121" i="1" s="1"/>
  <c r="AJ121" i="1" s="1"/>
  <c r="AL121" i="1" s="1"/>
  <c r="AH268" i="1"/>
  <c r="AH194" i="1"/>
  <c r="AH379" i="1"/>
  <c r="AI379" i="1" s="1"/>
  <c r="AJ379" i="1" s="1"/>
  <c r="AL379" i="1" s="1"/>
  <c r="AH555" i="1"/>
  <c r="AG633" i="1"/>
  <c r="AI633" i="1" s="1"/>
  <c r="AJ633" i="1" s="1"/>
  <c r="AL633" i="1" s="1"/>
  <c r="AG447" i="1"/>
  <c r="AI447" i="1" s="1"/>
  <c r="AJ447" i="1" s="1"/>
  <c r="AL447" i="1" s="1"/>
  <c r="AH307" i="1"/>
  <c r="AG563" i="1"/>
  <c r="AI563" i="1" s="1"/>
  <c r="AJ563" i="1" s="1"/>
  <c r="AL563" i="1" s="1"/>
  <c r="AG382" i="1"/>
  <c r="AI382" i="1" s="1"/>
  <c r="AJ382" i="1" s="1"/>
  <c r="AL382" i="1" s="1"/>
  <c r="AH58" i="1"/>
  <c r="AG524" i="1"/>
  <c r="AI524" i="1" s="1"/>
  <c r="AJ524" i="1" s="1"/>
  <c r="AL524" i="1" s="1"/>
  <c r="AG479" i="1"/>
  <c r="AI479" i="1" s="1"/>
  <c r="AJ479" i="1" s="1"/>
  <c r="AL479" i="1" s="1"/>
  <c r="AG284" i="1"/>
  <c r="AI284" i="1" s="1"/>
  <c r="AJ284" i="1" s="1"/>
  <c r="AL284" i="1" s="1"/>
  <c r="AG164" i="1"/>
  <c r="AG576" i="1"/>
  <c r="AG570" i="1"/>
  <c r="AG201" i="1"/>
  <c r="AG147" i="1"/>
  <c r="AH328" i="1"/>
  <c r="AH166" i="1"/>
  <c r="AH413" i="1"/>
  <c r="AG617" i="1"/>
  <c r="AH150" i="1"/>
  <c r="AG528" i="1"/>
  <c r="AI528" i="1" s="1"/>
  <c r="AJ528" i="1" s="1"/>
  <c r="AL528" i="1" s="1"/>
  <c r="AG669" i="1"/>
  <c r="AI669" i="1" s="1"/>
  <c r="AJ669" i="1" s="1"/>
  <c r="AL669" i="1" s="1"/>
  <c r="AH57" i="1"/>
  <c r="AH568" i="1"/>
  <c r="AG271" i="1"/>
  <c r="AI271" i="1" s="1"/>
  <c r="AJ271" i="1" s="1"/>
  <c r="AL271" i="1" s="1"/>
  <c r="AH177" i="1"/>
  <c r="AI177" i="1" s="1"/>
  <c r="AJ177" i="1" s="1"/>
  <c r="AL177" i="1" s="1"/>
  <c r="AG196" i="1"/>
  <c r="AI196" i="1" s="1"/>
  <c r="AJ196" i="1" s="1"/>
  <c r="AL196" i="1" s="1"/>
  <c r="AG172" i="1"/>
  <c r="AH258" i="1"/>
  <c r="AG59" i="1"/>
  <c r="AI59" i="1" s="1"/>
  <c r="AJ59" i="1" s="1"/>
  <c r="AL59" i="1" s="1"/>
  <c r="AH419" i="1"/>
  <c r="AG492" i="1"/>
  <c r="AH455" i="1"/>
  <c r="AI455" i="1" s="1"/>
  <c r="AJ455" i="1" s="1"/>
  <c r="AL455" i="1" s="1"/>
  <c r="AG343" i="1"/>
  <c r="AH487" i="1"/>
  <c r="AH74" i="1"/>
  <c r="AH445" i="1"/>
  <c r="AH233" i="1"/>
  <c r="AH27" i="1"/>
  <c r="AH48" i="1"/>
  <c r="AG334" i="1"/>
  <c r="AI334" i="1" s="1"/>
  <c r="AJ334" i="1" s="1"/>
  <c r="AL334" i="1" s="1"/>
  <c r="AG374" i="1"/>
  <c r="AG123" i="1"/>
  <c r="AI123" i="1" s="1"/>
  <c r="AJ123" i="1" s="1"/>
  <c r="AL123" i="1" s="1"/>
  <c r="AG9" i="1"/>
  <c r="AG582" i="1"/>
  <c r="AI582" i="1" s="1"/>
  <c r="AJ582" i="1" s="1"/>
  <c r="AL582" i="1" s="1"/>
  <c r="AH277" i="1"/>
  <c r="AI277" i="1" s="1"/>
  <c r="AJ277" i="1" s="1"/>
  <c r="AL277" i="1" s="1"/>
  <c r="AG132" i="1"/>
  <c r="AG469" i="1"/>
  <c r="AI469" i="1" s="1"/>
  <c r="AJ469" i="1" s="1"/>
  <c r="AL469" i="1" s="1"/>
  <c r="AH67" i="1"/>
  <c r="AG579" i="1"/>
  <c r="AI579" i="1" s="1"/>
  <c r="AJ579" i="1" s="1"/>
  <c r="AL579" i="1" s="1"/>
  <c r="AG249" i="1"/>
  <c r="AH34" i="1"/>
  <c r="AG40" i="1"/>
  <c r="AG643" i="1"/>
  <c r="AI643" i="1" s="1"/>
  <c r="AJ643" i="1" s="1"/>
  <c r="AL643" i="1" s="1"/>
  <c r="AG60" i="1"/>
  <c r="AH236" i="1"/>
  <c r="AG55" i="1"/>
  <c r="AH241" i="1"/>
  <c r="AG434" i="1"/>
  <c r="AG659" i="1"/>
  <c r="AI659" i="1" s="1"/>
  <c r="AJ659" i="1" s="1"/>
  <c r="AL659" i="1" s="1"/>
  <c r="AG278" i="1"/>
  <c r="AH342" i="1"/>
  <c r="AI342" i="1" s="1"/>
  <c r="AJ342" i="1" s="1"/>
  <c r="AL342" i="1" s="1"/>
  <c r="AH416" i="1"/>
  <c r="AG255" i="1"/>
  <c r="AG136" i="1"/>
  <c r="AI136" i="1" s="1"/>
  <c r="AJ136" i="1" s="1"/>
  <c r="AL136" i="1" s="1"/>
  <c r="AH200" i="1"/>
  <c r="AG529" i="1"/>
  <c r="AI529" i="1" s="1"/>
  <c r="AJ529" i="1" s="1"/>
  <c r="AL529" i="1" s="1"/>
  <c r="AH120" i="1"/>
  <c r="AG543" i="1"/>
  <c r="AI543" i="1" s="1"/>
  <c r="AJ543" i="1" s="1"/>
  <c r="AL543" i="1" s="1"/>
  <c r="AH375" i="1"/>
  <c r="AH578" i="1"/>
  <c r="AH376" i="1"/>
  <c r="AH611" i="1"/>
  <c r="AH28" i="1"/>
  <c r="AG23" i="1"/>
  <c r="AI23" i="1" s="1"/>
  <c r="AJ23" i="1" s="1"/>
  <c r="AL23" i="1" s="1"/>
  <c r="AH624" i="1"/>
  <c r="AG368" i="1"/>
  <c r="AI368" i="1" s="1"/>
  <c r="AJ368" i="1" s="1"/>
  <c r="AL368" i="1" s="1"/>
  <c r="AH431" i="1"/>
  <c r="AG218" i="1"/>
  <c r="AG5" i="1"/>
  <c r="AI5" i="1" s="1"/>
  <c r="AJ5" i="1" s="1"/>
  <c r="AL5" i="1" s="1"/>
  <c r="AG412" i="1"/>
  <c r="AH420" i="1"/>
  <c r="AI420" i="1" s="1"/>
  <c r="AJ420" i="1" s="1"/>
  <c r="AL420" i="1" s="1"/>
  <c r="AG574" i="1"/>
  <c r="AG112" i="1"/>
  <c r="AG81" i="1"/>
  <c r="AI81" i="1" s="1"/>
  <c r="AJ81" i="1" s="1"/>
  <c r="AL81" i="1" s="1"/>
  <c r="AH467" i="1"/>
  <c r="AG233" i="1"/>
  <c r="AI233" i="1" s="1"/>
  <c r="AJ233" i="1" s="1"/>
  <c r="AL233" i="1" s="1"/>
  <c r="AG611" i="1"/>
  <c r="AI611" i="1" s="1"/>
  <c r="AJ611" i="1" s="1"/>
  <c r="AL611" i="1" s="1"/>
  <c r="AG377" i="1"/>
  <c r="AI377" i="1" s="1"/>
  <c r="AJ377" i="1" s="1"/>
  <c r="AL377" i="1" s="1"/>
  <c r="AH102" i="1"/>
  <c r="AI102" i="1" s="1"/>
  <c r="AJ102" i="1" s="1"/>
  <c r="AL102" i="1" s="1"/>
  <c r="AG170" i="1"/>
  <c r="AI170" i="1" s="1"/>
  <c r="AJ170" i="1" s="1"/>
  <c r="AL170" i="1" s="1"/>
  <c r="AG436" i="1"/>
  <c r="AH520" i="1"/>
  <c r="AH336" i="1"/>
  <c r="AH602" i="1"/>
  <c r="AH427" i="1"/>
  <c r="AH473" i="1"/>
  <c r="AH153" i="1"/>
  <c r="AH484" i="1"/>
  <c r="AH131" i="1"/>
  <c r="AG417" i="1"/>
  <c r="AG203" i="1"/>
  <c r="AI203" i="1" s="1"/>
  <c r="AJ203" i="1" s="1"/>
  <c r="AL203" i="1" s="1"/>
  <c r="AH4" i="1"/>
  <c r="AI4" i="1" s="1"/>
  <c r="AJ4" i="1" s="1"/>
  <c r="AL4" i="1" s="1"/>
  <c r="AH203" i="1"/>
  <c r="AG348" i="1"/>
  <c r="AI348" i="1" s="1"/>
  <c r="AJ348" i="1" s="1"/>
  <c r="AL348" i="1" s="1"/>
  <c r="AG546" i="1"/>
  <c r="AG215" i="1"/>
  <c r="AG142" i="1"/>
  <c r="AI142" i="1" s="1"/>
  <c r="AJ142" i="1" s="1"/>
  <c r="AL142" i="1" s="1"/>
  <c r="AG186" i="1"/>
  <c r="AI186" i="1" s="1"/>
  <c r="AJ186" i="1" s="1"/>
  <c r="AL186" i="1" s="1"/>
  <c r="AH549" i="1"/>
  <c r="AI549" i="1" s="1"/>
  <c r="AJ549" i="1" s="1"/>
  <c r="AL549" i="1" s="1"/>
  <c r="AG162" i="1"/>
  <c r="AI162" i="1" s="1"/>
  <c r="AJ162" i="1" s="1"/>
  <c r="AL162" i="1" s="1"/>
  <c r="AG274" i="1"/>
  <c r="AI274" i="1" s="1"/>
  <c r="AJ274" i="1" s="1"/>
  <c r="AL274" i="1" s="1"/>
  <c r="AG346" i="1"/>
  <c r="AI346" i="1" s="1"/>
  <c r="AJ346" i="1" s="1"/>
  <c r="AL346" i="1" s="1"/>
  <c r="AG525" i="1"/>
  <c r="AG44" i="1"/>
  <c r="AI44" i="1" s="1"/>
  <c r="AJ44" i="1" s="1"/>
  <c r="AL44" i="1" s="1"/>
  <c r="AG438" i="1"/>
  <c r="AG107" i="1"/>
  <c r="AI107" i="1" s="1"/>
  <c r="AJ107" i="1" s="1"/>
  <c r="AL107" i="1" s="1"/>
  <c r="AG498" i="1"/>
  <c r="AI498" i="1" s="1"/>
  <c r="AJ498" i="1" s="1"/>
  <c r="AL498" i="1" s="1"/>
  <c r="AH401" i="1"/>
  <c r="AH33" i="1"/>
  <c r="AG626" i="1"/>
  <c r="AG399" i="1"/>
  <c r="AI399" i="1" s="1"/>
  <c r="AJ399" i="1" s="1"/>
  <c r="AL399" i="1" s="1"/>
  <c r="AG451" i="1"/>
  <c r="AG337" i="1"/>
  <c r="AI337" i="1" s="1"/>
  <c r="AJ337" i="1" s="1"/>
  <c r="AL337" i="1" s="1"/>
  <c r="AG527" i="1"/>
  <c r="AI527" i="1" s="1"/>
  <c r="AJ527" i="1" s="1"/>
  <c r="AL527" i="1" s="1"/>
  <c r="AG656" i="1"/>
  <c r="AH402" i="1"/>
  <c r="AI402" i="1" s="1"/>
  <c r="AJ402" i="1" s="1"/>
  <c r="AL402" i="1" s="1"/>
  <c r="AH322" i="1"/>
  <c r="AG444" i="1"/>
  <c r="AI444" i="1" s="1"/>
  <c r="AJ444" i="1" s="1"/>
  <c r="AL444" i="1" s="1"/>
  <c r="AH513" i="1"/>
  <c r="AI513" i="1" s="1"/>
  <c r="AJ513" i="1" s="1"/>
  <c r="AL513" i="1" s="1"/>
  <c r="AG264" i="1"/>
  <c r="AI264" i="1" s="1"/>
  <c r="AJ264" i="1" s="1"/>
  <c r="AL264" i="1" s="1"/>
  <c r="AH147" i="1"/>
  <c r="AH458" i="1"/>
  <c r="AG515" i="1"/>
  <c r="AI515" i="1" s="1"/>
  <c r="AJ515" i="1" s="1"/>
  <c r="AL515" i="1" s="1"/>
  <c r="AG357" i="1"/>
  <c r="AG476" i="1"/>
  <c r="AI476" i="1" s="1"/>
  <c r="AJ476" i="1" s="1"/>
  <c r="AL476" i="1" s="1"/>
  <c r="AG72" i="1"/>
  <c r="AI72" i="1" s="1"/>
  <c r="AJ72" i="1" s="1"/>
  <c r="AL72" i="1" s="1"/>
  <c r="AH646" i="1"/>
  <c r="AG42" i="1"/>
  <c r="AI42" i="1" s="1"/>
  <c r="AJ42" i="1" s="1"/>
  <c r="AL42" i="1" s="1"/>
  <c r="AH494" i="1"/>
  <c r="AG627" i="1"/>
  <c r="AG6" i="1"/>
  <c r="AI6" i="1" s="1"/>
  <c r="AJ6" i="1" s="1"/>
  <c r="AL6" i="1" s="1"/>
  <c r="AH462" i="1"/>
  <c r="AH468" i="1"/>
  <c r="AG15" i="1"/>
  <c r="AI15" i="1" s="1"/>
  <c r="AJ15" i="1" s="1"/>
  <c r="AL15" i="1" s="1"/>
  <c r="AH186" i="1"/>
  <c r="AH184" i="1"/>
  <c r="AH113" i="1"/>
  <c r="AG662" i="1"/>
  <c r="AI662" i="1" s="1"/>
  <c r="AJ662" i="1" s="1"/>
  <c r="AL662" i="1" s="1"/>
  <c r="AG621" i="1"/>
  <c r="AI621" i="1" s="1"/>
  <c r="AJ621" i="1" s="1"/>
  <c r="AL621" i="1" s="1"/>
  <c r="AH271" i="1"/>
  <c r="AG154" i="1"/>
  <c r="AI154" i="1" s="1"/>
  <c r="AJ154" i="1" s="1"/>
  <c r="AL154" i="1" s="1"/>
  <c r="AH521" i="1"/>
  <c r="AH596" i="1"/>
  <c r="AH65" i="1"/>
  <c r="AH491" i="1"/>
  <c r="AH525" i="1"/>
  <c r="AH157" i="1"/>
  <c r="AG547" i="1"/>
  <c r="AH46" i="1"/>
  <c r="AH571" i="1"/>
  <c r="AH422" i="1"/>
  <c r="AG37" i="1"/>
  <c r="AI37" i="1" s="1"/>
  <c r="AJ37" i="1" s="1"/>
  <c r="AL37" i="1" s="1"/>
  <c r="AG587" i="1"/>
  <c r="AG225" i="1"/>
  <c r="AI225" i="1" s="1"/>
  <c r="AJ225" i="1" s="1"/>
  <c r="AL225" i="1" s="1"/>
  <c r="AG191" i="1"/>
  <c r="AI191" i="1" s="1"/>
  <c r="AJ191" i="1" s="1"/>
  <c r="AL191" i="1" s="1"/>
  <c r="AG321" i="1"/>
  <c r="AI321" i="1" s="1"/>
  <c r="AJ321" i="1" s="1"/>
  <c r="AL321" i="1" s="1"/>
  <c r="AG522" i="1"/>
  <c r="AI522" i="1" s="1"/>
  <c r="AJ522" i="1" s="1"/>
  <c r="AL522" i="1" s="1"/>
  <c r="AG52" i="1"/>
  <c r="AH666" i="1"/>
  <c r="AG238" i="1"/>
  <c r="AG296" i="1"/>
  <c r="AI296" i="1" s="1"/>
  <c r="AJ296" i="1" s="1"/>
  <c r="AL296" i="1" s="1"/>
  <c r="AG349" i="1"/>
  <c r="AG103" i="1"/>
  <c r="AI103" i="1" s="1"/>
  <c r="AJ103" i="1" s="1"/>
  <c r="AL103" i="1" s="1"/>
  <c r="AH149" i="1"/>
  <c r="AG475" i="1"/>
  <c r="AI475" i="1" s="1"/>
  <c r="AJ475" i="1" s="1"/>
  <c r="AL475" i="1" s="1"/>
  <c r="AG77" i="1"/>
  <c r="AI77" i="1" s="1"/>
  <c r="AJ77" i="1" s="1"/>
  <c r="AL77" i="1" s="1"/>
  <c r="AH158" i="1"/>
  <c r="AH295" i="1"/>
  <c r="AH132" i="1"/>
  <c r="AG151" i="1"/>
  <c r="AH305" i="1"/>
  <c r="AG607" i="1"/>
  <c r="AI607" i="1" s="1"/>
  <c r="AJ607" i="1" s="1"/>
  <c r="AL607" i="1" s="1"/>
  <c r="AH308" i="1"/>
  <c r="AH533" i="1"/>
  <c r="AG445" i="1"/>
  <c r="AI445" i="1" s="1"/>
  <c r="AJ445" i="1" s="1"/>
  <c r="AL445" i="1" s="1"/>
  <c r="AH656" i="1"/>
  <c r="AH112" i="1"/>
  <c r="AH534" i="1"/>
  <c r="AH433" i="1"/>
  <c r="AH243" i="1"/>
  <c r="AH309" i="1"/>
  <c r="AG131" i="1"/>
  <c r="AG655" i="1"/>
  <c r="AI655" i="1" s="1"/>
  <c r="AJ655" i="1" s="1"/>
  <c r="AL655" i="1" s="1"/>
  <c r="AH651" i="1"/>
  <c r="AH384" i="1"/>
  <c r="AG230" i="1"/>
  <c r="AI230" i="1" s="1"/>
  <c r="AJ230" i="1" s="1"/>
  <c r="AL230" i="1" s="1"/>
  <c r="AH276" i="1"/>
  <c r="AG391" i="1"/>
  <c r="AI391" i="1" s="1"/>
  <c r="AJ391" i="1" s="1"/>
  <c r="AL391" i="1" s="1"/>
  <c r="AH334" i="1"/>
  <c r="AH479" i="1"/>
  <c r="AH373" i="1"/>
  <c r="AI373" i="1" s="1"/>
  <c r="AJ373" i="1" s="1"/>
  <c r="AL373" i="1" s="1"/>
  <c r="AG117" i="1"/>
  <c r="AI117" i="1" s="1"/>
  <c r="AJ117" i="1" s="1"/>
  <c r="AL117" i="1" s="1"/>
  <c r="AG378" i="1"/>
  <c r="AH361" i="1"/>
  <c r="AH51" i="1"/>
  <c r="AG93" i="1"/>
  <c r="AG221" i="1"/>
  <c r="AI221" i="1" s="1"/>
  <c r="AJ221" i="1" s="1"/>
  <c r="AL221" i="1" s="1"/>
  <c r="AH248" i="1"/>
  <c r="AI248" i="1" s="1"/>
  <c r="AJ248" i="1" s="1"/>
  <c r="AL248" i="1" s="1"/>
  <c r="AG34" i="1"/>
  <c r="AI34" i="1" s="1"/>
  <c r="AJ34" i="1" s="1"/>
  <c r="AL34" i="1" s="1"/>
  <c r="AG443" i="1"/>
  <c r="AI443" i="1" s="1"/>
  <c r="AJ443" i="1" s="1"/>
  <c r="AL443" i="1" s="1"/>
  <c r="AG392" i="1"/>
  <c r="AG490" i="1"/>
  <c r="AI490" i="1" s="1"/>
  <c r="AJ490" i="1" s="1"/>
  <c r="AL490" i="1" s="1"/>
  <c r="AG644" i="1"/>
  <c r="AI644" i="1" s="1"/>
  <c r="AJ644" i="1" s="1"/>
  <c r="AL644" i="1" s="1"/>
  <c r="AH510" i="1"/>
  <c r="AG468" i="1"/>
  <c r="AG235" i="1"/>
  <c r="AI235" i="1" s="1"/>
  <c r="AJ235" i="1" s="1"/>
  <c r="AL235" i="1" s="1"/>
  <c r="AG302" i="1"/>
  <c r="AG404" i="1"/>
  <c r="AI404" i="1" s="1"/>
  <c r="AJ404" i="1" s="1"/>
  <c r="AL404" i="1" s="1"/>
  <c r="AG325" i="1"/>
  <c r="AG531" i="1"/>
  <c r="AH579" i="1"/>
  <c r="AH543" i="1"/>
  <c r="AG615" i="1"/>
  <c r="AH155" i="1"/>
  <c r="AG241" i="1"/>
  <c r="AH185" i="1"/>
  <c r="AI185" i="1" s="1"/>
  <c r="AJ185" i="1" s="1"/>
  <c r="AL185" i="1" s="1"/>
  <c r="AG268" i="1"/>
  <c r="AI268" i="1" s="1"/>
  <c r="AJ268" i="1" s="1"/>
  <c r="AL268" i="1" s="1"/>
  <c r="AG287" i="1"/>
  <c r="AH632" i="1"/>
  <c r="AI632" i="1" s="1"/>
  <c r="AJ632" i="1" s="1"/>
  <c r="AL632" i="1" s="1"/>
  <c r="AG43" i="1"/>
  <c r="AH623" i="1"/>
  <c r="AG39" i="1"/>
  <c r="AI39" i="1" s="1"/>
  <c r="AJ39" i="1" s="1"/>
  <c r="AL39" i="1" s="1"/>
  <c r="AH163" i="1"/>
  <c r="AH253" i="1"/>
  <c r="AG465" i="1"/>
  <c r="AG28" i="1"/>
  <c r="AI28" i="1" s="1"/>
  <c r="AJ28" i="1" s="1"/>
  <c r="AL28" i="1" s="1"/>
  <c r="AG204" i="1"/>
  <c r="AH581" i="1"/>
  <c r="AH507" i="1"/>
  <c r="AH143" i="1"/>
  <c r="AG320" i="1"/>
  <c r="AI320" i="1" s="1"/>
  <c r="AJ320" i="1" s="1"/>
  <c r="AL320" i="1" s="1"/>
  <c r="AH181" i="1"/>
  <c r="AG533" i="1"/>
  <c r="AG569" i="1"/>
  <c r="AI569" i="1" s="1"/>
  <c r="AJ569" i="1" s="1"/>
  <c r="AL569" i="1" s="1"/>
  <c r="AH205" i="1"/>
  <c r="AI205" i="1" s="1"/>
  <c r="AJ205" i="1" s="1"/>
  <c r="AL205" i="1" s="1"/>
  <c r="AH613" i="1"/>
  <c r="AI613" i="1" s="1"/>
  <c r="AJ613" i="1" s="1"/>
  <c r="AL613" i="1" s="1"/>
  <c r="AG101" i="1"/>
  <c r="AI101" i="1" s="1"/>
  <c r="AJ101" i="1" s="1"/>
  <c r="AL101" i="1" s="1"/>
  <c r="AG667" i="1"/>
  <c r="AI667" i="1" s="1"/>
  <c r="AJ667" i="1" s="1"/>
  <c r="AL667" i="1" s="1"/>
  <c r="AG610" i="1"/>
  <c r="AI610" i="1" s="1"/>
  <c r="AJ610" i="1" s="1"/>
  <c r="AL610" i="1" s="1"/>
  <c r="AH260" i="1"/>
  <c r="AI260" i="1" s="1"/>
  <c r="AJ260" i="1" s="1"/>
  <c r="AL260" i="1" s="1"/>
  <c r="AG347" i="1"/>
  <c r="AG62" i="1"/>
  <c r="AH505" i="1"/>
  <c r="AH75" i="1"/>
  <c r="AH529" i="1"/>
  <c r="AH42" i="1"/>
  <c r="AH580" i="1"/>
  <c r="AG506" i="1"/>
  <c r="AG129" i="1"/>
  <c r="AI129" i="1" s="1"/>
  <c r="AJ129" i="1" s="1"/>
  <c r="AL129" i="1" s="1"/>
  <c r="AH261" i="1"/>
  <c r="AG214" i="1"/>
  <c r="AG84" i="1"/>
  <c r="AI84" i="1" s="1"/>
  <c r="AJ84" i="1" s="1"/>
  <c r="AL84" i="1" s="1"/>
  <c r="AH412" i="1"/>
  <c r="AG242" i="1"/>
  <c r="AI242" i="1" s="1"/>
  <c r="AJ242" i="1" s="1"/>
  <c r="AL242" i="1" s="1"/>
  <c r="AH658" i="1"/>
  <c r="AG625" i="1"/>
  <c r="AI625" i="1" s="1"/>
  <c r="AJ625" i="1" s="1"/>
  <c r="AL625" i="1" s="1"/>
  <c r="AH172" i="1"/>
  <c r="AH311" i="1"/>
  <c r="AH197" i="1"/>
  <c r="AG571" i="1"/>
  <c r="AH573" i="1"/>
  <c r="AG239" i="1"/>
  <c r="AH32" i="1"/>
  <c r="AG98" i="1"/>
  <c r="AH18" i="1"/>
  <c r="AI18" i="1" s="1"/>
  <c r="AJ18" i="1" s="1"/>
  <c r="AL18" i="1" s="1"/>
  <c r="AG612" i="1"/>
  <c r="AI612" i="1" s="1"/>
  <c r="AJ612" i="1" s="1"/>
  <c r="AL612" i="1" s="1"/>
  <c r="AH397" i="1"/>
  <c r="AG359" i="1"/>
  <c r="AG462" i="1"/>
  <c r="AG182" i="1"/>
  <c r="AI182" i="1" s="1"/>
  <c r="AJ182" i="1" s="1"/>
  <c r="AL182" i="1" s="1"/>
  <c r="AG75" i="1"/>
  <c r="AI75" i="1" s="1"/>
  <c r="AJ75" i="1" s="1"/>
  <c r="AL75" i="1" s="1"/>
  <c r="AG488" i="1"/>
  <c r="AI488" i="1" s="1"/>
  <c r="AJ488" i="1" s="1"/>
  <c r="AL488" i="1" s="1"/>
  <c r="AH564" i="1"/>
  <c r="AI564" i="1" s="1"/>
  <c r="AJ564" i="1" s="1"/>
  <c r="AL564" i="1" s="1"/>
  <c r="AG523" i="1"/>
  <c r="AI523" i="1" s="1"/>
  <c r="AJ523" i="1" s="1"/>
  <c r="AL523" i="1" s="1"/>
  <c r="AG140" i="1"/>
  <c r="AI140" i="1" s="1"/>
  <c r="AJ140" i="1" s="1"/>
  <c r="AL140" i="1" s="1"/>
  <c r="AG64" i="1"/>
  <c r="AH574" i="1"/>
  <c r="AG365" i="1"/>
  <c r="AI365" i="1" s="1"/>
  <c r="AJ365" i="1" s="1"/>
  <c r="AL365" i="1" s="1"/>
  <c r="AH496" i="1"/>
  <c r="AI496" i="1" s="1"/>
  <c r="AJ496" i="1" s="1"/>
  <c r="AL496" i="1" s="1"/>
  <c r="AH191" i="1"/>
  <c r="AG57" i="1"/>
  <c r="AH226" i="1"/>
  <c r="AI226" i="1" s="1"/>
  <c r="AJ226" i="1" s="1"/>
  <c r="AL226" i="1" s="1"/>
  <c r="AH432" i="1"/>
  <c r="AG156" i="1"/>
  <c r="AG113" i="1"/>
  <c r="AH608" i="1"/>
  <c r="AH207" i="1"/>
  <c r="AG613" i="1"/>
  <c r="AG541" i="1"/>
  <c r="AI541" i="1" s="1"/>
  <c r="AJ541" i="1" s="1"/>
  <c r="AL541" i="1" s="1"/>
  <c r="AG544" i="1"/>
  <c r="AG366" i="1"/>
  <c r="AI366" i="1" s="1"/>
  <c r="AJ366" i="1" s="1"/>
  <c r="AL366" i="1" s="1"/>
  <c r="AH395" i="1"/>
  <c r="AG157" i="1"/>
  <c r="AI157" i="1" s="1"/>
  <c r="AJ157" i="1" s="1"/>
  <c r="AL157" i="1" s="1"/>
  <c r="AH417" i="1"/>
  <c r="AI417" i="1" s="1"/>
  <c r="AJ417" i="1" s="1"/>
  <c r="AL417" i="1" s="1"/>
  <c r="AG197" i="1"/>
  <c r="AG350" i="1"/>
  <c r="AI350" i="1" s="1"/>
  <c r="AJ350" i="1" s="1"/>
  <c r="AL350" i="1" s="1"/>
  <c r="AH204" i="1"/>
  <c r="AI204" i="1" s="1"/>
  <c r="AJ204" i="1" s="1"/>
  <c r="AL204" i="1" s="1"/>
  <c r="AG67" i="1"/>
  <c r="AI67" i="1" s="1"/>
  <c r="AJ67" i="1" s="1"/>
  <c r="AL67" i="1" s="1"/>
  <c r="AH508" i="1"/>
  <c r="AG651" i="1"/>
  <c r="AG88" i="1"/>
  <c r="AG195" i="1"/>
  <c r="AH299" i="1"/>
  <c r="AH209" i="1"/>
  <c r="AI209" i="1" s="1"/>
  <c r="AJ209" i="1" s="1"/>
  <c r="AL209" i="1" s="1"/>
  <c r="AG61" i="1"/>
  <c r="AG159" i="1"/>
  <c r="AI159" i="1" s="1"/>
  <c r="AJ159" i="1" s="1"/>
  <c r="AL159" i="1" s="1"/>
  <c r="AG90" i="1"/>
  <c r="AG105" i="1"/>
  <c r="AI105" i="1" s="1"/>
  <c r="AJ105" i="1" s="1"/>
  <c r="AL105" i="1" s="1"/>
  <c r="AG294" i="1"/>
  <c r="AG407" i="1"/>
  <c r="AI407" i="1" s="1"/>
  <c r="AJ407" i="1" s="1"/>
  <c r="AL407" i="1" s="1"/>
  <c r="AH178" i="1"/>
  <c r="AG312" i="1"/>
  <c r="AG179" i="1"/>
  <c r="AI179" i="1" s="1"/>
  <c r="AJ179" i="1" s="1"/>
  <c r="AL179" i="1" s="1"/>
  <c r="AG668" i="1"/>
  <c r="AI668" i="1" s="1"/>
  <c r="AJ668" i="1" s="1"/>
  <c r="AL668" i="1" s="1"/>
  <c r="AH551" i="1"/>
  <c r="AG125" i="1"/>
  <c r="AI125" i="1" s="1"/>
  <c r="AJ125" i="1" s="1"/>
  <c r="AL125" i="1" s="1"/>
  <c r="AH230" i="1"/>
  <c r="AH171" i="1"/>
  <c r="AH363" i="1"/>
  <c r="AG211" i="1"/>
  <c r="AG595" i="1"/>
  <c r="AI595" i="1" s="1"/>
  <c r="AJ595" i="1" s="1"/>
  <c r="AL595" i="1" s="1"/>
  <c r="AH556" i="1"/>
  <c r="AG91" i="1"/>
  <c r="AG646" i="1"/>
  <c r="AG435" i="1"/>
  <c r="AI435" i="1" s="1"/>
  <c r="AJ435" i="1" s="1"/>
  <c r="AL435" i="1" s="1"/>
  <c r="AH447" i="1"/>
  <c r="AH278" i="1"/>
  <c r="AG553" i="1"/>
  <c r="AI553" i="1" s="1"/>
  <c r="AJ553" i="1" s="1"/>
  <c r="AL553" i="1" s="1"/>
  <c r="AH332" i="1"/>
  <c r="AG472" i="1"/>
  <c r="AG53" i="1"/>
  <c r="AI53" i="1" s="1"/>
  <c r="AJ53" i="1" s="1"/>
  <c r="AL53" i="1" s="1"/>
  <c r="AH524" i="1"/>
  <c r="AH26" i="1"/>
  <c r="AG481" i="1"/>
  <c r="AI481" i="1" s="1"/>
  <c r="AJ481" i="1" s="1"/>
  <c r="AL481" i="1" s="1"/>
  <c r="AG210" i="1"/>
  <c r="AH488" i="1"/>
  <c r="AH649" i="1"/>
  <c r="AG229" i="1"/>
  <c r="AI229" i="1" s="1"/>
  <c r="AJ229" i="1" s="1"/>
  <c r="AL229" i="1" s="1"/>
  <c r="AH211" i="1"/>
  <c r="AH482" i="1"/>
  <c r="AH537" i="1"/>
  <c r="AH256" i="1"/>
  <c r="AH566" i="1"/>
  <c r="AI566" i="1" s="1"/>
  <c r="AJ566" i="1" s="1"/>
  <c r="AL566" i="1" s="1"/>
  <c r="AG145" i="1"/>
  <c r="AH369" i="1"/>
  <c r="AH459" i="1"/>
  <c r="AG115" i="1"/>
  <c r="AG133" i="1"/>
  <c r="AG102" i="1"/>
  <c r="AG379" i="1"/>
  <c r="AG616" i="1"/>
  <c r="AG423" i="1"/>
  <c r="AG508" i="1"/>
  <c r="AH244" i="1"/>
  <c r="AG216" i="1"/>
  <c r="AI216" i="1" s="1"/>
  <c r="AJ216" i="1" s="1"/>
  <c r="AL216" i="1" s="1"/>
  <c r="AH604" i="1"/>
  <c r="AH522" i="1"/>
  <c r="AG190" i="1"/>
  <c r="AI190" i="1" s="1"/>
  <c r="AJ190" i="1" s="1"/>
  <c r="AL190" i="1" s="1"/>
  <c r="AG554" i="1"/>
  <c r="AI554" i="1" s="1"/>
  <c r="AJ554" i="1" s="1"/>
  <c r="AL554" i="1" s="1"/>
  <c r="AH598" i="1"/>
  <c r="AG614" i="1"/>
  <c r="AG573" i="1"/>
  <c r="AI573" i="1" s="1"/>
  <c r="AJ573" i="1" s="1"/>
  <c r="AL573" i="1" s="1"/>
  <c r="AG375" i="1"/>
  <c r="AH183" i="1"/>
  <c r="AH607" i="1"/>
  <c r="AH239" i="1"/>
  <c r="AI239" i="1" s="1"/>
  <c r="AJ239" i="1" s="1"/>
  <c r="AL239" i="1" s="1"/>
  <c r="AH108" i="1"/>
  <c r="AG654" i="1"/>
  <c r="AI654" i="1" s="1"/>
  <c r="AJ654" i="1" s="1"/>
  <c r="AL654" i="1" s="1"/>
  <c r="AG557" i="1"/>
  <c r="AG245" i="1"/>
  <c r="AI245" i="1" s="1"/>
  <c r="AJ245" i="1" s="1"/>
  <c r="AL245" i="1" s="1"/>
  <c r="AG277" i="1"/>
  <c r="AH381" i="1"/>
  <c r="AI381" i="1" s="1"/>
  <c r="AJ381" i="1" s="1"/>
  <c r="AL381" i="1" s="1"/>
  <c r="AG243" i="1"/>
  <c r="AG124" i="1"/>
  <c r="AI124" i="1" s="1"/>
  <c r="AJ124" i="1" s="1"/>
  <c r="AL124" i="1" s="1"/>
  <c r="AH559" i="1"/>
  <c r="AH36" i="1"/>
  <c r="AH492" i="1"/>
  <c r="AH109" i="1"/>
  <c r="AI109" i="1" s="1"/>
  <c r="AJ109" i="1" s="1"/>
  <c r="AL109" i="1" s="1"/>
  <c r="AG228" i="1"/>
  <c r="AI228" i="1" s="1"/>
  <c r="AJ228" i="1" s="1"/>
  <c r="AL228" i="1" s="1"/>
  <c r="AH217" i="1"/>
  <c r="AG122" i="1"/>
  <c r="AI122" i="1" s="1"/>
  <c r="AJ122" i="1" s="1"/>
  <c r="AL122" i="1" s="1"/>
  <c r="AH88" i="1"/>
  <c r="AH85" i="1"/>
  <c r="AH247" i="1"/>
  <c r="AG369" i="1"/>
  <c r="AG526" i="1"/>
  <c r="AG371" i="1"/>
  <c r="AG484" i="1"/>
  <c r="AI484" i="1" s="1"/>
  <c r="AJ484" i="1" s="1"/>
  <c r="AL484" i="1" s="1"/>
  <c r="AG433" i="1"/>
  <c r="AH302" i="1"/>
  <c r="AH12" i="1"/>
  <c r="AH404" i="1"/>
  <c r="AG650" i="1"/>
  <c r="AI650" i="1" s="1"/>
  <c r="AJ650" i="1" s="1"/>
  <c r="AL650" i="1" s="1"/>
  <c r="AH227" i="1"/>
  <c r="AG80" i="1"/>
  <c r="AG74" i="1"/>
  <c r="AH595" i="1"/>
  <c r="AH519" i="1"/>
  <c r="AH314" i="1"/>
  <c r="AH636" i="1"/>
  <c r="AH548" i="1"/>
  <c r="AG31" i="1"/>
  <c r="AG189" i="1"/>
  <c r="AI189" i="1" s="1"/>
  <c r="AJ189" i="1" s="1"/>
  <c r="AL189" i="1" s="1"/>
  <c r="AG427" i="1"/>
  <c r="AI427" i="1" s="1"/>
  <c r="AJ427" i="1" s="1"/>
  <c r="AL427" i="1" s="1"/>
  <c r="AH29" i="1"/>
  <c r="AG212" i="1"/>
  <c r="AI212" i="1" s="1"/>
  <c r="AJ212" i="1" s="1"/>
  <c r="AL212" i="1" s="1"/>
  <c r="AH600" i="1"/>
  <c r="AG421" i="1"/>
  <c r="AH68" i="1"/>
  <c r="AG394" i="1"/>
  <c r="AG398" i="1"/>
  <c r="AH405" i="1"/>
  <c r="AG10" i="1"/>
  <c r="AG298" i="1"/>
  <c r="AG236" i="1"/>
  <c r="AG636" i="1"/>
  <c r="AI636" i="1" s="1"/>
  <c r="AJ636" i="1" s="1"/>
  <c r="AL636" i="1" s="1"/>
  <c r="AH326" i="1"/>
  <c r="AG450" i="1"/>
  <c r="AH289" i="1"/>
  <c r="AH470" i="1"/>
  <c r="AG474" i="1"/>
  <c r="AH280" i="1"/>
  <c r="AG637" i="1"/>
  <c r="AH124" i="1"/>
  <c r="AG327" i="1"/>
  <c r="AI327" i="1" s="1"/>
  <c r="AJ327" i="1" s="1"/>
  <c r="AL327" i="1" s="1"/>
  <c r="AH160" i="1"/>
  <c r="AH135" i="1"/>
  <c r="AG331" i="1"/>
  <c r="AH489" i="1"/>
  <c r="AG590" i="1"/>
  <c r="AH421" i="1"/>
  <c r="AI421" i="1" s="1"/>
  <c r="AJ421" i="1" s="1"/>
  <c r="AL421" i="1" s="1"/>
  <c r="AG82" i="1"/>
  <c r="AI82" i="1" s="1"/>
  <c r="AJ82" i="1" s="1"/>
  <c r="AL82" i="1" s="1"/>
  <c r="AH220" i="1"/>
  <c r="AH472" i="1"/>
  <c r="AG254" i="1"/>
  <c r="AI254" i="1" s="1"/>
  <c r="AJ254" i="1" s="1"/>
  <c r="AL254" i="1" s="1"/>
  <c r="AG455" i="1"/>
  <c r="AG642" i="1"/>
  <c r="AH134" i="1"/>
  <c r="AG413" i="1"/>
  <c r="AI413" i="1" s="1"/>
  <c r="AJ413" i="1" s="1"/>
  <c r="AL413" i="1" s="1"/>
  <c r="AH77" i="1"/>
  <c r="AG389" i="1"/>
  <c r="AG568" i="1"/>
  <c r="AG387" i="1"/>
  <c r="AH294" i="1"/>
  <c r="AG388" i="1"/>
  <c r="AI388" i="1" s="1"/>
  <c r="AJ388" i="1" s="1"/>
  <c r="AL388" i="1" s="1"/>
  <c r="AH471" i="1"/>
  <c r="AH453" i="1"/>
  <c r="AG564" i="1"/>
  <c r="AH121" i="1"/>
  <c r="AH232" i="1"/>
  <c r="AH664" i="1"/>
  <c r="AH478" i="1"/>
  <c r="AH523" i="1"/>
  <c r="AG252" i="1"/>
  <c r="AH653" i="1"/>
  <c r="AG456" i="1"/>
  <c r="AI456" i="1" s="1"/>
  <c r="AJ456" i="1" s="1"/>
  <c r="AL456" i="1" s="1"/>
  <c r="AG454" i="1"/>
  <c r="AG26" i="1"/>
  <c r="AI26" i="1" s="1"/>
  <c r="AJ26" i="1" s="1"/>
  <c r="AL26" i="1" s="1"/>
  <c r="AH245" i="1"/>
  <c r="AG92" i="1"/>
  <c r="AG285" i="1"/>
  <c r="AH569" i="1"/>
  <c r="AH622" i="1"/>
  <c r="AG259" i="1"/>
  <c r="AI259" i="1" s="1"/>
  <c r="AJ259" i="1" s="1"/>
  <c r="AL259" i="1" s="1"/>
  <c r="AG106" i="1"/>
  <c r="AI106" i="1" s="1"/>
  <c r="AJ106" i="1" s="1"/>
  <c r="AL106" i="1" s="1"/>
  <c r="AH222" i="1"/>
  <c r="AG499" i="1"/>
  <c r="AG383" i="1"/>
  <c r="AI383" i="1" s="1"/>
  <c r="AJ383" i="1" s="1"/>
  <c r="AL383" i="1" s="1"/>
  <c r="AH25" i="1"/>
  <c r="AG584" i="1"/>
  <c r="AG345" i="1"/>
  <c r="AG275" i="1"/>
  <c r="AI275" i="1" s="1"/>
  <c r="AJ275" i="1" s="1"/>
  <c r="AL275" i="1" s="1"/>
  <c r="AG459" i="1"/>
  <c r="AI459" i="1" s="1"/>
  <c r="AJ459" i="1" s="1"/>
  <c r="AL459" i="1" s="1"/>
  <c r="AH319" i="1"/>
  <c r="AH655" i="1"/>
  <c r="AH94" i="1"/>
  <c r="AH443" i="1"/>
  <c r="AG437" i="1"/>
  <c r="AI437" i="1" s="1"/>
  <c r="AJ437" i="1" s="1"/>
  <c r="AL437" i="1" s="1"/>
  <c r="AH242" i="1"/>
  <c r="AH620" i="1"/>
  <c r="AH648" i="1"/>
  <c r="AG38" i="1"/>
  <c r="AI38" i="1" s="1"/>
  <c r="AJ38" i="1" s="1"/>
  <c r="AL38" i="1" s="1"/>
  <c r="AG503" i="1"/>
  <c r="AG208" i="1"/>
  <c r="AH323" i="1"/>
  <c r="AG178" i="1"/>
  <c r="AI178" i="1" s="1"/>
  <c r="AJ178" i="1" s="1"/>
  <c r="AL178" i="1" s="1"/>
  <c r="AG397" i="1"/>
  <c r="AI397" i="1" s="1"/>
  <c r="AJ397" i="1" s="1"/>
  <c r="AL397" i="1" s="1"/>
  <c r="AH535" i="1"/>
  <c r="AH96" i="1"/>
  <c r="AH561" i="1"/>
  <c r="AH396" i="1"/>
  <c r="AG567" i="1"/>
  <c r="AH219" i="1"/>
  <c r="AG276" i="1"/>
  <c r="AG342" i="1"/>
  <c r="AG281" i="1"/>
  <c r="AI281" i="1" s="1"/>
  <c r="AJ281" i="1" s="1"/>
  <c r="AL281" i="1" s="1"/>
  <c r="AH368" i="1"/>
  <c r="AG313" i="1"/>
  <c r="AH570" i="1"/>
  <c r="AI570" i="1" s="1"/>
  <c r="AJ570" i="1" s="1"/>
  <c r="AL570" i="1" s="1"/>
  <c r="AH254" i="1"/>
  <c r="AG234" i="1"/>
  <c r="AH87" i="1"/>
  <c r="AI87" i="1" s="1"/>
  <c r="AJ87" i="1" s="1"/>
  <c r="AL87" i="1" s="1"/>
  <c r="AH597" i="1"/>
  <c r="AG183" i="1"/>
  <c r="AI183" i="1" s="1"/>
  <c r="AJ183" i="1" s="1"/>
  <c r="AL183" i="1" s="1"/>
  <c r="AG424" i="1"/>
  <c r="AG639" i="1"/>
  <c r="AI639" i="1" s="1"/>
  <c r="AJ639" i="1" s="1"/>
  <c r="AL639" i="1" s="1"/>
  <c r="AH71" i="1"/>
  <c r="AH354" i="1"/>
  <c r="AG314" i="1"/>
  <c r="AG649" i="1"/>
  <c r="AH224" i="1"/>
  <c r="AH446" i="1"/>
  <c r="AG536" i="1"/>
  <c r="AI536" i="1" s="1"/>
  <c r="AJ536" i="1" s="1"/>
  <c r="AL536" i="1" s="1"/>
  <c r="AG502" i="1"/>
  <c r="AI502" i="1" s="1"/>
  <c r="AJ502" i="1" s="1"/>
  <c r="AL502" i="1" s="1"/>
  <c r="AG440" i="1"/>
  <c r="AH460" i="1"/>
  <c r="AH512" i="1"/>
  <c r="AH353" i="1"/>
  <c r="AI353" i="1" s="1"/>
  <c r="AJ353" i="1" s="1"/>
  <c r="AL353" i="1" s="1"/>
  <c r="AG27" i="1"/>
  <c r="AH426" i="1"/>
  <c r="AH601" i="1"/>
  <c r="AI601" i="1" s="1"/>
  <c r="AJ601" i="1" s="1"/>
  <c r="AL601" i="1" s="1"/>
  <c r="AH81" i="1"/>
  <c r="AG661" i="1"/>
  <c r="AI661" i="1" s="1"/>
  <c r="AJ661" i="1" s="1"/>
  <c r="AL661" i="1" s="1"/>
  <c r="AH495" i="1"/>
  <c r="AG545" i="1"/>
  <c r="AI545" i="1" s="1"/>
  <c r="AJ545" i="1" s="1"/>
  <c r="AL545" i="1" s="1"/>
  <c r="AG260" i="1"/>
  <c r="AH117" i="1"/>
  <c r="AG619" i="1"/>
  <c r="AG565" i="1"/>
  <c r="AI565" i="1" s="1"/>
  <c r="AJ565" i="1" s="1"/>
  <c r="AL565" i="1" s="1"/>
  <c r="AG505" i="1"/>
  <c r="AI505" i="1" s="1"/>
  <c r="AJ505" i="1" s="1"/>
  <c r="AL505" i="1" s="1"/>
  <c r="AH466" i="1"/>
  <c r="AI466" i="1" s="1"/>
  <c r="AJ466" i="1" s="1"/>
  <c r="AL466" i="1" s="1"/>
  <c r="AG513" i="1"/>
  <c r="AG282" i="1"/>
  <c r="AI282" i="1" s="1"/>
  <c r="AJ282" i="1" s="1"/>
  <c r="AL282" i="1" s="1"/>
  <c r="AG173" i="1"/>
  <c r="AI173" i="1" s="1"/>
  <c r="AJ173" i="1" s="1"/>
  <c r="AL173" i="1" s="1"/>
  <c r="AG315" i="1"/>
  <c r="AG139" i="1"/>
  <c r="AH584" i="1"/>
  <c r="AG664" i="1"/>
  <c r="AI664" i="1" s="1"/>
  <c r="AJ664" i="1" s="1"/>
  <c r="AL664" i="1" s="1"/>
  <c r="AG657" i="1"/>
  <c r="AI657" i="1" s="1"/>
  <c r="AJ657" i="1" s="1"/>
  <c r="AL657" i="1" s="1"/>
  <c r="AH140" i="1"/>
  <c r="AH590" i="1"/>
  <c r="AI590" i="1" s="1"/>
  <c r="AJ590" i="1" s="1"/>
  <c r="AL590" i="1" s="1"/>
  <c r="AG478" i="1"/>
  <c r="AG110" i="1"/>
  <c r="AG603" i="1"/>
  <c r="AG601" i="1"/>
  <c r="AG118" i="1"/>
  <c r="AH435" i="1"/>
  <c r="AG353" i="1"/>
  <c r="AG486" i="1"/>
  <c r="AH430" i="1"/>
  <c r="AH654" i="1"/>
  <c r="AH16" i="1"/>
  <c r="AG500" i="1"/>
  <c r="AI500" i="1" s="1"/>
  <c r="AJ500" i="1" s="1"/>
  <c r="AL500" i="1" s="1"/>
  <c r="AG69" i="1"/>
  <c r="AI69" i="1" s="1"/>
  <c r="AJ69" i="1" s="1"/>
  <c r="AL69" i="1" s="1"/>
  <c r="AH43" i="1"/>
  <c r="AG48" i="1"/>
  <c r="AI48" i="1" s="1"/>
  <c r="AJ48" i="1" s="1"/>
  <c r="AL48" i="1" s="1"/>
  <c r="AG414" i="1"/>
  <c r="AI414" i="1" s="1"/>
  <c r="AJ414" i="1" s="1"/>
  <c r="AL414" i="1" s="1"/>
  <c r="AG316" i="1"/>
  <c r="AI316" i="1" s="1"/>
  <c r="AJ316" i="1" s="1"/>
  <c r="AL316" i="1" s="1"/>
  <c r="AH474" i="1"/>
  <c r="AI474" i="1" s="1"/>
  <c r="AJ474" i="1" s="1"/>
  <c r="AL474" i="1" s="1"/>
  <c r="AG620" i="1"/>
  <c r="AI620" i="1" s="1"/>
  <c r="AJ620" i="1" s="1"/>
  <c r="AL620" i="1" s="1"/>
  <c r="AH251" i="1"/>
  <c r="AG561" i="1"/>
  <c r="AI561" i="1" s="1"/>
  <c r="AJ561" i="1" s="1"/>
  <c r="AL561" i="1" s="1"/>
  <c r="AH101" i="1"/>
  <c r="AH558" i="1"/>
  <c r="AI558" i="1" s="1"/>
  <c r="AJ558" i="1" s="1"/>
  <c r="AL558" i="1" s="1"/>
  <c r="AG223" i="1"/>
  <c r="AH390" i="1"/>
  <c r="AH107" i="1"/>
  <c r="AH41" i="1"/>
  <c r="AI41" i="1" s="1"/>
  <c r="AJ41" i="1" s="1"/>
  <c r="AL41" i="1" s="1"/>
  <c r="AG464" i="1"/>
  <c r="AI464" i="1" s="1"/>
  <c r="AJ464" i="1" s="1"/>
  <c r="AL464" i="1" s="1"/>
  <c r="AG227" i="1"/>
  <c r="AI227" i="1" s="1"/>
  <c r="AJ227" i="1" s="1"/>
  <c r="AL227" i="1" s="1"/>
  <c r="AH64" i="1"/>
  <c r="AG600" i="1"/>
  <c r="AI600" i="1" s="1"/>
  <c r="AJ600" i="1" s="1"/>
  <c r="AL600" i="1" s="1"/>
  <c r="AH229" i="1"/>
  <c r="AG372" i="1"/>
  <c r="AI372" i="1" s="1"/>
  <c r="AJ372" i="1" s="1"/>
  <c r="AL372" i="1" s="1"/>
  <c r="AG419" i="1"/>
  <c r="AG150" i="1"/>
  <c r="AI150" i="1" s="1"/>
  <c r="AJ150" i="1" s="1"/>
  <c r="AL150" i="1" s="1"/>
  <c r="AH553" i="1"/>
  <c r="AH5" i="1"/>
  <c r="AG146" i="1"/>
  <c r="AH539" i="1"/>
  <c r="AH481" i="1"/>
  <c r="AG471" i="1"/>
  <c r="AH221" i="1"/>
  <c r="AG551" i="1"/>
  <c r="AI551" i="1" s="1"/>
  <c r="AJ551" i="1" s="1"/>
  <c r="AL551" i="1" s="1"/>
  <c r="AG558" i="1"/>
  <c r="AH370" i="1"/>
  <c r="AH169" i="1"/>
  <c r="AG273" i="1"/>
  <c r="AI273" i="1" s="1"/>
  <c r="AJ273" i="1" s="1"/>
  <c r="AL273" i="1" s="1"/>
  <c r="AH40" i="1"/>
  <c r="AI40" i="1" s="1"/>
  <c r="AJ40" i="1" s="1"/>
  <c r="AL40" i="1" s="1"/>
  <c r="AH6" i="1"/>
  <c r="AG119" i="1"/>
  <c r="AG71" i="1"/>
  <c r="AG665" i="1"/>
  <c r="AH269" i="1"/>
  <c r="AG385" i="1"/>
  <c r="AH69" i="1"/>
  <c r="AH515" i="1"/>
  <c r="AG79" i="1"/>
  <c r="AI79" i="1" s="1"/>
  <c r="AJ79" i="1" s="1"/>
  <c r="AL79" i="1" s="1"/>
  <c r="AH554" i="1"/>
  <c r="AH93" i="1"/>
  <c r="AG596" i="1"/>
  <c r="AI596" i="1" s="1"/>
  <c r="AJ596" i="1" s="1"/>
  <c r="AL596" i="1" s="1"/>
  <c r="AH516" i="1"/>
  <c r="AI516" i="1" s="1"/>
  <c r="AJ516" i="1" s="1"/>
  <c r="AL516" i="1" s="1"/>
  <c r="AG344" i="1"/>
  <c r="AI344" i="1" s="1"/>
  <c r="AJ344" i="1" s="1"/>
  <c r="AL344" i="1" s="1"/>
  <c r="AH282" i="1"/>
  <c r="AH189" i="1"/>
  <c r="AH640" i="1"/>
  <c r="AH321" i="1"/>
  <c r="AH23" i="1"/>
  <c r="AG599" i="1"/>
  <c r="AG301" i="1"/>
  <c r="AH325" i="1"/>
  <c r="AI325" i="1" s="1"/>
  <c r="AJ325" i="1" s="1"/>
  <c r="AL325" i="1" s="1"/>
  <c r="AH637" i="1"/>
  <c r="AI637" i="1" s="1"/>
  <c r="AJ637" i="1" s="1"/>
  <c r="AL637" i="1" s="1"/>
  <c r="AH449" i="1"/>
  <c r="AH599" i="1"/>
  <c r="AH356" i="1"/>
  <c r="AG415" i="1"/>
  <c r="AI415" i="1" s="1"/>
  <c r="AJ415" i="1" s="1"/>
  <c r="AL415" i="1" s="1"/>
  <c r="AG448" i="1"/>
  <c r="AI448" i="1" s="1"/>
  <c r="AJ448" i="1" s="1"/>
  <c r="AL448" i="1" s="1"/>
  <c r="AH212" i="1"/>
  <c r="AG535" i="1"/>
  <c r="AG318" i="1"/>
  <c r="AH50" i="1"/>
  <c r="AI50" i="1" s="1"/>
  <c r="AJ50" i="1" s="1"/>
  <c r="AL50" i="1" s="1"/>
  <c r="AG420" i="1"/>
  <c r="AH35" i="1"/>
  <c r="AH371" i="1"/>
  <c r="AI371" i="1" s="1"/>
  <c r="AJ371" i="1" s="1"/>
  <c r="AL371" i="1" s="1"/>
  <c r="AG66" i="1"/>
  <c r="AI66" i="1" s="1"/>
  <c r="AJ66" i="1" s="1"/>
  <c r="AL66" i="1" s="1"/>
  <c r="AG68" i="1"/>
  <c r="AI68" i="1" s="1"/>
  <c r="AJ68" i="1" s="1"/>
  <c r="AL68" i="1" s="1"/>
  <c r="AG335" i="1"/>
  <c r="AH385" i="1"/>
  <c r="AH313" i="1"/>
  <c r="AG516" i="1"/>
  <c r="AH283" i="1"/>
  <c r="AH129" i="1"/>
  <c r="AG360" i="1"/>
  <c r="AH10" i="1"/>
  <c r="AI10" i="1" s="1"/>
  <c r="AJ10" i="1" s="1"/>
  <c r="AL10" i="1" s="1"/>
  <c r="AH351" i="1"/>
  <c r="AG339" i="1"/>
  <c r="AI339" i="1" s="1"/>
  <c r="AJ339" i="1" s="1"/>
  <c r="AL339" i="1" s="1"/>
  <c r="AH237" i="1"/>
  <c r="AI237" i="1" s="1"/>
  <c r="AJ237" i="1" s="1"/>
  <c r="AL237" i="1" s="1"/>
  <c r="AG439" i="1"/>
  <c r="AH504" i="1"/>
  <c r="AI504" i="1" s="1"/>
  <c r="AJ504" i="1" s="1"/>
  <c r="AL504" i="1" s="1"/>
  <c r="AH8" i="1"/>
  <c r="AI8" i="1" s="1"/>
  <c r="AJ8" i="1" s="1"/>
  <c r="AL8" i="1" s="1"/>
  <c r="AH138" i="1"/>
  <c r="AG647" i="1"/>
  <c r="AG128" i="1"/>
  <c r="AH293" i="1"/>
  <c r="AG426" i="1"/>
  <c r="AH606" i="1"/>
  <c r="AH165" i="1"/>
  <c r="AG504" i="1"/>
  <c r="AG207" i="1"/>
  <c r="AI207" i="1" s="1"/>
  <c r="AJ207" i="1" s="1"/>
  <c r="AL207" i="1" s="1"/>
  <c r="AH301" i="1"/>
  <c r="AH628" i="1"/>
  <c r="AH532" i="1"/>
  <c r="AH527" i="1"/>
  <c r="AH528" i="1"/>
  <c r="AG231" i="1"/>
  <c r="AI231" i="1" s="1"/>
  <c r="AJ231" i="1" s="1"/>
  <c r="AL231" i="1" s="1"/>
  <c r="AH202" i="1"/>
  <c r="AG361" i="1"/>
  <c r="AI361" i="1" s="1"/>
  <c r="AJ361" i="1" s="1"/>
  <c r="AL361" i="1" s="1"/>
  <c r="AG217" i="1"/>
  <c r="AI217" i="1" s="1"/>
  <c r="AJ217" i="1" s="1"/>
  <c r="AL217" i="1" s="1"/>
  <c r="AH99" i="1"/>
  <c r="AH545" i="1"/>
  <c r="AH669" i="1"/>
  <c r="AH95" i="1"/>
  <c r="AH223" i="1"/>
  <c r="AG319" i="1"/>
  <c r="AG405" i="1"/>
  <c r="AI405" i="1" s="1"/>
  <c r="AJ405" i="1" s="1"/>
  <c r="AL405" i="1" s="1"/>
  <c r="AH86" i="1"/>
  <c r="AG168" i="1"/>
  <c r="AI168" i="1" s="1"/>
  <c r="AJ168" i="1" s="1"/>
  <c r="AL168" i="1" s="1"/>
  <c r="AG99" i="1"/>
  <c r="AI99" i="1" s="1"/>
  <c r="AJ99" i="1" s="1"/>
  <c r="AL99" i="1" s="1"/>
  <c r="AG311" i="1"/>
  <c r="AH168" i="1"/>
  <c r="AH641" i="1"/>
  <c r="AG169" i="1"/>
  <c r="AI169" i="1" s="1"/>
  <c r="AJ169" i="1" s="1"/>
  <c r="AL169" i="1" s="1"/>
  <c r="AH585" i="1"/>
  <c r="AH161" i="1"/>
  <c r="AH190" i="1"/>
  <c r="AH206" i="1"/>
  <c r="AG4" i="1"/>
  <c r="AG556" i="1"/>
  <c r="AG467" i="1"/>
  <c r="AI467" i="1" s="1"/>
  <c r="AJ467" i="1" s="1"/>
  <c r="AL467" i="1" s="1"/>
  <c r="AH414" i="1"/>
  <c r="AG85" i="1"/>
  <c r="AI85" i="1" s="1"/>
  <c r="AJ85" i="1" s="1"/>
  <c r="AL85" i="1" s="1"/>
  <c r="AH72" i="1"/>
  <c r="AH210" i="1"/>
  <c r="AH304" i="1"/>
  <c r="AH647" i="1"/>
  <c r="AG8" i="1"/>
  <c r="AG263" i="1"/>
  <c r="AI263" i="1" s="1"/>
  <c r="AJ263" i="1" s="1"/>
  <c r="AL263" i="1" s="1"/>
  <c r="AG460" i="1"/>
  <c r="AG326" i="1"/>
  <c r="AI326" i="1" s="1"/>
  <c r="AJ326" i="1" s="1"/>
  <c r="AL326" i="1" s="1"/>
  <c r="AH477" i="1"/>
  <c r="AG416" i="1"/>
  <c r="AH406" i="1"/>
  <c r="AG56" i="1"/>
  <c r="AI56" i="1" s="1"/>
  <c r="AJ56" i="1" s="1"/>
  <c r="AL56" i="1" s="1"/>
  <c r="AH318" i="1"/>
  <c r="AI318" i="1" s="1"/>
  <c r="AJ318" i="1" s="1"/>
  <c r="AL318" i="1" s="1"/>
  <c r="AG485" i="1"/>
  <c r="AG364" i="1"/>
  <c r="AI364" i="1" s="1"/>
  <c r="AJ364" i="1" s="1"/>
  <c r="AL364" i="1" s="1"/>
  <c r="AH338" i="1"/>
  <c r="AG328" i="1"/>
  <c r="AI328" i="1" s="1"/>
  <c r="AJ328" i="1" s="1"/>
  <c r="AL328" i="1" s="1"/>
  <c r="AH483" i="1"/>
  <c r="AG332" i="1"/>
  <c r="AI332" i="1" s="1"/>
  <c r="AJ332" i="1" s="1"/>
  <c r="AL332" i="1" s="1"/>
  <c r="AH364" i="1"/>
  <c r="AH151" i="1"/>
  <c r="AG593" i="1"/>
  <c r="AH616" i="1"/>
  <c r="AI616" i="1" s="1"/>
  <c r="AJ616" i="1" s="1"/>
  <c r="AL616" i="1" s="1"/>
  <c r="AG141" i="1"/>
  <c r="AH238" i="1"/>
  <c r="AH90" i="1"/>
  <c r="AI90" i="1" s="1"/>
  <c r="AJ90" i="1" s="1"/>
  <c r="AL90" i="1" s="1"/>
  <c r="AG629" i="1"/>
  <c r="AI629" i="1" s="1"/>
  <c r="AJ629" i="1" s="1"/>
  <c r="AL629" i="1" s="1"/>
  <c r="AG466" i="1"/>
  <c r="AH123" i="1"/>
  <c r="AH106" i="1"/>
  <c r="AH650" i="1"/>
  <c r="AG597" i="1"/>
  <c r="AG32" i="1"/>
  <c r="AG171" i="1"/>
  <c r="AI171" i="1" s="1"/>
  <c r="AJ171" i="1" s="1"/>
  <c r="AL171" i="1" s="1"/>
  <c r="AH187" i="1"/>
  <c r="AG3" i="1"/>
  <c r="AI3" i="1" s="1"/>
  <c r="AJ3" i="1" s="1"/>
  <c r="AL3" i="1" s="1"/>
  <c r="AG232" i="1"/>
  <c r="AG87" i="1"/>
  <c r="AH180" i="1"/>
  <c r="AH540" i="1"/>
  <c r="AH339" i="1"/>
  <c r="AH625" i="1"/>
  <c r="AH643" i="1"/>
  <c r="AG380" i="1"/>
  <c r="AI380" i="1" s="1"/>
  <c r="AJ380" i="1" s="1"/>
  <c r="AL380" i="1" s="1"/>
  <c r="AG272" i="1"/>
  <c r="AH639" i="1"/>
  <c r="AH284" i="1"/>
  <c r="AG114" i="1"/>
  <c r="AG666" i="1"/>
  <c r="AH563" i="1"/>
  <c r="AG354" i="1"/>
  <c r="AI354" i="1" s="1"/>
  <c r="AJ354" i="1" s="1"/>
  <c r="AL354" i="1" s="1"/>
  <c r="AH287" i="1"/>
  <c r="AH387" i="1"/>
  <c r="AI387" i="1" s="1"/>
  <c r="AJ387" i="1" s="1"/>
  <c r="AL387" i="1" s="1"/>
  <c r="AH246" i="1"/>
  <c r="AG635" i="1"/>
  <c r="AG188" i="1"/>
  <c r="AH275" i="1"/>
  <c r="AG370" i="1"/>
  <c r="AH97" i="1"/>
  <c r="AG550" i="1"/>
  <c r="AG13" i="1"/>
  <c r="AH262" i="1"/>
  <c r="AH231" i="1"/>
  <c r="AG126" i="1"/>
  <c r="AI126" i="1" s="1"/>
  <c r="AJ126" i="1" s="1"/>
  <c r="AL126" i="1" s="1"/>
  <c r="AG306" i="1"/>
  <c r="AH490" i="1"/>
  <c r="AH441" i="1"/>
  <c r="AG652" i="1"/>
  <c r="AI652" i="1" s="1"/>
  <c r="AJ652" i="1" s="1"/>
  <c r="AL652" i="1" s="1"/>
  <c r="AG588" i="1"/>
  <c r="AH536" i="1"/>
  <c r="AH372" i="1"/>
  <c r="AH423" i="1"/>
  <c r="AI423" i="1" s="1"/>
  <c r="AJ423" i="1" s="1"/>
  <c r="AL423" i="1" s="1"/>
  <c r="AH464" i="1"/>
  <c r="AG598" i="1"/>
  <c r="AI598" i="1" s="1"/>
  <c r="AJ598" i="1" s="1"/>
  <c r="AL598" i="1" s="1"/>
  <c r="AG300" i="1"/>
  <c r="AI300" i="1" s="1"/>
  <c r="AJ300" i="1" s="1"/>
  <c r="AL300" i="1" s="1"/>
  <c r="AH55" i="1"/>
  <c r="AG329" i="1"/>
  <c r="AI329" i="1" s="1"/>
  <c r="AJ329" i="1" s="1"/>
  <c r="AL329" i="1" s="1"/>
  <c r="AH84" i="1"/>
  <c r="AG54" i="1"/>
  <c r="AH469" i="1"/>
  <c r="AH76" i="1"/>
  <c r="AH621" i="1"/>
  <c r="AG130" i="1"/>
  <c r="AG167" i="1"/>
  <c r="AH409" i="1"/>
  <c r="AI409" i="1" s="1"/>
  <c r="AJ409" i="1" s="1"/>
  <c r="AL409" i="1" s="1"/>
  <c r="AG511" i="1"/>
  <c r="AI511" i="1" s="1"/>
  <c r="AJ511" i="1" s="1"/>
  <c r="AL511" i="1" s="1"/>
  <c r="AG267" i="1"/>
  <c r="AG575" i="1"/>
  <c r="AI575" i="1" s="1"/>
  <c r="AJ575" i="1" s="1"/>
  <c r="AL575" i="1" s="1"/>
  <c r="AG542" i="1"/>
  <c r="AI542" i="1" s="1"/>
  <c r="AJ542" i="1" s="1"/>
  <c r="AL542" i="1" s="1"/>
  <c r="AH128" i="1"/>
  <c r="AG19" i="1"/>
  <c r="AI19" i="1" s="1"/>
  <c r="AJ19" i="1" s="1"/>
  <c r="AL19" i="1" s="1"/>
  <c r="AG148" i="1"/>
  <c r="AG209" i="1"/>
  <c r="AH255" i="1"/>
  <c r="AH451" i="1"/>
  <c r="AH457" i="1"/>
  <c r="AG592" i="1"/>
  <c r="AG386" i="1"/>
  <c r="AG143" i="1"/>
  <c r="AH662" i="1"/>
  <c r="AG578" i="1"/>
  <c r="AI578" i="1" s="1"/>
  <c r="AJ578" i="1" s="1"/>
  <c r="AL578" i="1" s="1"/>
  <c r="AG376" i="1"/>
  <c r="AI376" i="1" s="1"/>
  <c r="AJ376" i="1" s="1"/>
  <c r="AL376" i="1" s="1"/>
  <c r="AH30" i="1"/>
  <c r="AG430" i="1"/>
  <c r="AI430" i="1" s="1"/>
  <c r="AJ430" i="1" s="1"/>
  <c r="AL430" i="1" s="1"/>
  <c r="AG411" i="1"/>
  <c r="AI411" i="1" s="1"/>
  <c r="AJ411" i="1" s="1"/>
  <c r="AL411" i="1" s="1"/>
  <c r="AH463" i="1"/>
  <c r="AH215" i="1"/>
  <c r="AH47" i="1"/>
  <c r="AG250" i="1"/>
  <c r="AI250" i="1" s="1"/>
  <c r="AJ250" i="1" s="1"/>
  <c r="AL250" i="1" s="1"/>
  <c r="AG96" i="1"/>
  <c r="AH345" i="1"/>
  <c r="AI345" i="1" s="1"/>
  <c r="AJ345" i="1" s="1"/>
  <c r="AL345" i="1" s="1"/>
  <c r="AG648" i="1"/>
  <c r="AG645" i="1"/>
  <c r="AI645" i="1" s="1"/>
  <c r="AJ645" i="1" s="1"/>
  <c r="AL645" i="1" s="1"/>
  <c r="AH291" i="1"/>
  <c r="AH111" i="1"/>
  <c r="AG226" i="1"/>
  <c r="AH511" i="1"/>
  <c r="AH429" i="1"/>
  <c r="AH44" i="1"/>
  <c r="AG589" i="1"/>
  <c r="AG86" i="1"/>
  <c r="AI86" i="1" s="1"/>
  <c r="AJ86" i="1" s="1"/>
  <c r="AL86" i="1" s="1"/>
  <c r="AH127" i="1"/>
  <c r="AG286" i="1"/>
  <c r="AG14" i="1"/>
  <c r="AH330" i="1"/>
  <c r="AH582" i="1"/>
  <c r="AH541" i="1"/>
  <c r="AH104" i="1"/>
  <c r="AG463" i="1"/>
  <c r="AI463" i="1" s="1"/>
  <c r="AJ463" i="1" s="1"/>
  <c r="AL463" i="1" s="1"/>
  <c r="AG446" i="1"/>
  <c r="AI446" i="1" s="1"/>
  <c r="AJ446" i="1" s="1"/>
  <c r="AL446" i="1" s="1"/>
  <c r="AG408" i="1"/>
  <c r="AH355" i="1"/>
  <c r="AH644" i="1"/>
  <c r="AG289" i="1"/>
  <c r="AI289" i="1" s="1"/>
  <c r="AJ289" i="1" s="1"/>
  <c r="AL289" i="1" s="1"/>
  <c r="AG160" i="1"/>
  <c r="AG449" i="1"/>
  <c r="AH267" i="1"/>
  <c r="AH264" i="1"/>
  <c r="AH100" i="1"/>
  <c r="AG308" i="1"/>
  <c r="AH377" i="1"/>
  <c r="AG213" i="1"/>
  <c r="AI213" i="1" s="1"/>
  <c r="AJ213" i="1" s="1"/>
  <c r="AL213" i="1" s="1"/>
  <c r="AG395" i="1"/>
  <c r="AH110" i="1"/>
  <c r="AI110" i="1" s="1"/>
  <c r="AJ110" i="1" s="1"/>
  <c r="AL110" i="1" s="1"/>
  <c r="AG293" i="1"/>
  <c r="AI293" i="1" s="1"/>
  <c r="AJ293" i="1" s="1"/>
  <c r="AL293" i="1" s="1"/>
  <c r="AH610" i="1"/>
  <c r="AH252" i="1"/>
  <c r="AG100" i="1"/>
  <c r="AH218" i="1"/>
  <c r="AH444" i="1"/>
  <c r="AG585" i="1"/>
  <c r="AI585" i="1" s="1"/>
  <c r="AJ585" i="1" s="1"/>
  <c r="AL585" i="1" s="1"/>
  <c r="AH274" i="1"/>
  <c r="AG351" i="1"/>
  <c r="AI351" i="1" s="1"/>
  <c r="AJ351" i="1" s="1"/>
  <c r="AL351" i="1" s="1"/>
  <c r="AG41" i="1"/>
  <c r="AH199" i="1"/>
  <c r="AH159" i="1"/>
  <c r="AH410" i="1"/>
  <c r="AH21" i="1"/>
  <c r="AI21" i="1" s="1"/>
  <c r="AJ21" i="1" s="1"/>
  <c r="AL21" i="1" s="1"/>
  <c r="AG514" i="1"/>
  <c r="AI514" i="1" s="1"/>
  <c r="AJ514" i="1" s="1"/>
  <c r="AL514" i="1" s="1"/>
  <c r="AG266" i="1"/>
  <c r="AG127" i="1"/>
  <c r="AI127" i="1" s="1"/>
  <c r="AJ127" i="1" s="1"/>
  <c r="AL127" i="1" s="1"/>
  <c r="AG251" i="1"/>
  <c r="AH156" i="1"/>
  <c r="AI156" i="1" s="1"/>
  <c r="AJ156" i="1" s="1"/>
  <c r="AL156" i="1" s="1"/>
  <c r="AG429" i="1"/>
  <c r="AI429" i="1" s="1"/>
  <c r="AJ429" i="1" s="1"/>
  <c r="AL429" i="1" s="1"/>
  <c r="AG518" i="1"/>
  <c r="AH188" i="1"/>
  <c r="AI188" i="1" s="1"/>
  <c r="AJ188" i="1" s="1"/>
  <c r="AL188" i="1" s="1"/>
  <c r="AH485" i="1"/>
  <c r="AI485" i="1" s="1"/>
  <c r="AJ485" i="1" s="1"/>
  <c r="AL485" i="1" s="1"/>
  <c r="AG604" i="1"/>
  <c r="AG322" i="1"/>
  <c r="AH24" i="1"/>
  <c r="AG165" i="1"/>
  <c r="AI165" i="1" s="1"/>
  <c r="AJ165" i="1" s="1"/>
  <c r="AL165" i="1" s="1"/>
  <c r="AG269" i="1"/>
  <c r="AI269" i="1" s="1"/>
  <c r="AJ269" i="1" s="1"/>
  <c r="AL269" i="1" s="1"/>
  <c r="AH506" i="1"/>
  <c r="AI506" i="1" s="1"/>
  <c r="AJ506" i="1" s="1"/>
  <c r="AL506" i="1" s="1"/>
  <c r="AG176" i="1"/>
  <c r="AI176" i="1" s="1"/>
  <c r="AJ176" i="1" s="1"/>
  <c r="AL176" i="1" s="1"/>
  <c r="AH176" i="1"/>
  <c r="AH56" i="1"/>
  <c r="AG566" i="1"/>
  <c r="AG552" i="1"/>
  <c r="AI552" i="1" s="1"/>
  <c r="AJ552" i="1" s="1"/>
  <c r="AL552" i="1" s="1"/>
  <c r="AH263" i="1"/>
  <c r="AH145" i="1"/>
  <c r="AH634" i="1"/>
  <c r="AH591" i="1"/>
  <c r="AG46" i="1"/>
  <c r="AG483" i="1"/>
  <c r="AI483" i="1" s="1"/>
  <c r="AJ483" i="1" s="1"/>
  <c r="AL483" i="1" s="1"/>
  <c r="AG519" i="1"/>
  <c r="AI519" i="1" s="1"/>
  <c r="AJ519" i="1" s="1"/>
  <c r="AL519" i="1" s="1"/>
  <c r="AH303" i="1"/>
  <c r="AH216" i="1"/>
  <c r="AH327" i="1"/>
  <c r="AH148" i="1"/>
  <c r="AI148" i="1" s="1"/>
  <c r="AJ148" i="1" s="1"/>
  <c r="AL148" i="1" s="1"/>
  <c r="AG634" i="1"/>
  <c r="AI634" i="1" s="1"/>
  <c r="AJ634" i="1" s="1"/>
  <c r="AL634" i="1" s="1"/>
  <c r="AG158" i="1"/>
  <c r="AH170" i="1"/>
  <c r="AH316" i="1"/>
  <c r="AH162" i="1"/>
  <c r="AG30" i="1"/>
  <c r="AI30" i="1" s="1"/>
  <c r="AJ30" i="1" s="1"/>
  <c r="AL30" i="1" s="1"/>
  <c r="AG7" i="1"/>
  <c r="AG495" i="1"/>
  <c r="AI495" i="1" s="1"/>
  <c r="AJ495" i="1" s="1"/>
  <c r="AL495" i="1" s="1"/>
  <c r="AG120" i="1"/>
  <c r="AI120" i="1" s="1"/>
  <c r="AJ120" i="1" s="1"/>
  <c r="AL120" i="1" s="1"/>
  <c r="AH618" i="1"/>
  <c r="AG512" i="1"/>
  <c r="AG381" i="1"/>
  <c r="AH286" i="1"/>
  <c r="AH383" i="1"/>
  <c r="AH465" i="1"/>
  <c r="AH661" i="1"/>
  <c r="AG152" i="1"/>
  <c r="AI152" i="1" s="1"/>
  <c r="AJ152" i="1" s="1"/>
  <c r="AL152" i="1" s="1"/>
  <c r="AH315" i="1"/>
  <c r="AI315" i="1" s="1"/>
  <c r="AJ315" i="1" s="1"/>
  <c r="AL315" i="1" s="1"/>
  <c r="AH116" i="1"/>
  <c r="AG396" i="1"/>
  <c r="AH15" i="1"/>
  <c r="AG489" i="1"/>
  <c r="AG622" i="1"/>
  <c r="AI622" i="1" s="1"/>
  <c r="AJ622" i="1" s="1"/>
  <c r="AL622" i="1" s="1"/>
  <c r="AH593" i="1"/>
  <c r="AH517" i="1"/>
  <c r="AG510" i="1"/>
  <c r="AH544" i="1"/>
  <c r="AH250" i="1"/>
  <c r="AH341" i="1"/>
  <c r="AG12" i="1"/>
  <c r="AI12" i="1" s="1"/>
  <c r="AJ12" i="1" s="1"/>
  <c r="AL12" i="1" s="1"/>
  <c r="AG409" i="1"/>
  <c r="AH53" i="1"/>
  <c r="AH514" i="1"/>
  <c r="AG33" i="1"/>
  <c r="AH565" i="1"/>
  <c r="AH500" i="1"/>
  <c r="AH66" i="1"/>
  <c r="AG224" i="1"/>
  <c r="AI224" i="1" s="1"/>
  <c r="AJ224" i="1" s="1"/>
  <c r="AL224" i="1" s="1"/>
  <c r="AG205" i="1"/>
  <c r="AH126" i="1"/>
  <c r="AH125" i="1"/>
  <c r="AH592" i="1"/>
  <c r="AI592" i="1" s="1"/>
  <c r="AJ592" i="1" s="1"/>
  <c r="AL592" i="1" s="1"/>
  <c r="AG291" i="1"/>
  <c r="AI291" i="1" s="1"/>
  <c r="AJ291" i="1" s="1"/>
  <c r="AL291" i="1" s="1"/>
  <c r="AH349" i="1"/>
  <c r="AG177" i="1"/>
  <c r="AG560" i="1"/>
  <c r="AH560" i="1"/>
  <c r="AI560" i="1" s="1"/>
  <c r="AJ560" i="1" s="1"/>
  <c r="AL560" i="1" s="1"/>
  <c r="AH182" i="1"/>
  <c r="AH542" i="1"/>
  <c r="AH391" i="1"/>
  <c r="AG290" i="1"/>
  <c r="AH382" i="1"/>
  <c r="AG198" i="1"/>
  <c r="AG65" i="1"/>
  <c r="AI65" i="1" s="1"/>
  <c r="AJ65" i="1" s="1"/>
  <c r="AL65" i="1" s="1"/>
  <c r="AG555" i="1"/>
  <c r="AG457" i="1"/>
  <c r="AI457" i="1" s="1"/>
  <c r="AJ457" i="1" s="1"/>
  <c r="AL457" i="1" s="1"/>
  <c r="AH629" i="1"/>
  <c r="AH11" i="1"/>
  <c r="AG317" i="1"/>
  <c r="AG631" i="1"/>
  <c r="AG206" i="1"/>
  <c r="AI206" i="1" s="1"/>
  <c r="AJ206" i="1" s="1"/>
  <c r="AL206" i="1" s="1"/>
  <c r="AG29" i="1"/>
  <c r="AG36" i="1"/>
  <c r="AI36" i="1" s="1"/>
  <c r="AJ36" i="1" s="1"/>
  <c r="AL36" i="1" s="1"/>
  <c r="AH454" i="1"/>
  <c r="AI454" i="1" s="1"/>
  <c r="AJ454" i="1" s="1"/>
  <c r="AL454" i="1" s="1"/>
  <c r="AG330" i="1"/>
  <c r="AI330" i="1" s="1"/>
  <c r="AJ330" i="1" s="1"/>
  <c r="AL330" i="1" s="1"/>
  <c r="AH400" i="1"/>
  <c r="AI400" i="1" s="1"/>
  <c r="AJ400" i="1" s="1"/>
  <c r="AL400" i="1" s="1"/>
  <c r="AG537" i="1"/>
  <c r="AI537" i="1" s="1"/>
  <c r="AJ537" i="1" s="1"/>
  <c r="AL537" i="1" s="1"/>
  <c r="AH119" i="1"/>
  <c r="AG352" i="1"/>
  <c r="AH270" i="1"/>
  <c r="AH259" i="1"/>
  <c r="AH346" i="1"/>
  <c r="AH359" i="1"/>
  <c r="AH531" i="1"/>
  <c r="AH378" i="1"/>
  <c r="AG310" i="1"/>
  <c r="AG299" i="1"/>
  <c r="AI299" i="1" s="1"/>
  <c r="AJ299" i="1" s="1"/>
  <c r="AL299" i="1" s="1"/>
  <c r="AG303" i="1"/>
  <c r="AI303" i="1" s="1"/>
  <c r="AJ303" i="1" s="1"/>
  <c r="AL303" i="1" s="1"/>
  <c r="AH518" i="1"/>
  <c r="AG174" i="1"/>
  <c r="AI174" i="1" s="1"/>
  <c r="AJ174" i="1" s="1"/>
  <c r="AL174" i="1" s="1"/>
  <c r="AH428" i="1"/>
  <c r="AG220" i="1"/>
  <c r="AH526" i="1"/>
  <c r="AI526" i="1" s="1"/>
  <c r="AJ526" i="1" s="1"/>
  <c r="AL526" i="1" s="1"/>
  <c r="AG482" i="1"/>
  <c r="AH91" i="1"/>
  <c r="AG477" i="1"/>
  <c r="AH538" i="1"/>
  <c r="AG521" i="1"/>
  <c r="AI521" i="1" s="1"/>
  <c r="AJ521" i="1" s="1"/>
  <c r="AL521" i="1" s="1"/>
  <c r="AG562" i="1"/>
  <c r="AI562" i="1" s="1"/>
  <c r="AJ562" i="1" s="1"/>
  <c r="AL562" i="1" s="1"/>
  <c r="AH196" i="1"/>
  <c r="AG632" i="1"/>
  <c r="AH175" i="1"/>
  <c r="AG517" i="1"/>
  <c r="AG47" i="1"/>
  <c r="AI47" i="1" s="1"/>
  <c r="AJ47" i="1" s="1"/>
  <c r="AL47" i="1" s="1"/>
  <c r="AG501" i="1"/>
  <c r="AH633" i="1"/>
  <c r="AH39" i="1"/>
  <c r="AG180" i="1"/>
  <c r="AI180" i="1" s="1"/>
  <c r="AJ180" i="1" s="1"/>
  <c r="AL180" i="1" s="1"/>
  <c r="AH290" i="1"/>
  <c r="AI290" i="1" s="1"/>
  <c r="AJ290" i="1" s="1"/>
  <c r="AL290" i="1" s="1"/>
  <c r="AG25" i="1"/>
  <c r="AI25" i="1" s="1"/>
  <c r="AJ25" i="1" s="1"/>
  <c r="AL25" i="1" s="1"/>
  <c r="AH38" i="1"/>
  <c r="AH154" i="1"/>
  <c r="AH82" i="1"/>
  <c r="AH79" i="1"/>
  <c r="AG283" i="1"/>
  <c r="AG401" i="1"/>
  <c r="AI401" i="1" s="1"/>
  <c r="AJ401" i="1" s="1"/>
  <c r="AL401" i="1" s="1"/>
  <c r="AG95" i="1"/>
  <c r="AI95" i="1" s="1"/>
  <c r="AJ95" i="1" s="1"/>
  <c r="AL95" i="1" s="1"/>
  <c r="AH547" i="1"/>
  <c r="AI547" i="1" s="1"/>
  <c r="AJ547" i="1" s="1"/>
  <c r="AL547" i="1" s="1"/>
  <c r="AG83" i="1"/>
  <c r="AI83" i="1" s="1"/>
  <c r="AJ83" i="1" s="1"/>
  <c r="AL83" i="1" s="1"/>
  <c r="AG559" i="1"/>
  <c r="AI559" i="1" s="1"/>
  <c r="AJ559" i="1" s="1"/>
  <c r="AL559" i="1" s="1"/>
  <c r="AH659" i="1"/>
  <c r="AG153" i="1"/>
  <c r="AG340" i="1"/>
  <c r="AH235" i="1"/>
  <c r="AH83" i="1"/>
  <c r="AH572" i="1"/>
  <c r="AH296" i="1"/>
  <c r="AG222" i="1"/>
  <c r="AI222" i="1" s="1"/>
  <c r="AJ222" i="1" s="1"/>
  <c r="AL222" i="1" s="1"/>
  <c r="AH657" i="1"/>
  <c r="AH344" i="1"/>
  <c r="AG539" i="1"/>
  <c r="AH306" i="1"/>
  <c r="AG660" i="1"/>
  <c r="AI660" i="1" s="1"/>
  <c r="AJ660" i="1" s="1"/>
  <c r="AL660" i="1" s="1"/>
  <c r="AG410" i="1"/>
  <c r="AI410" i="1" s="1"/>
  <c r="AJ410" i="1" s="1"/>
  <c r="AL410" i="1" s="1"/>
  <c r="AH594" i="1"/>
  <c r="AG393" i="1"/>
  <c r="AG309" i="1"/>
  <c r="AI309" i="1" s="1"/>
  <c r="AJ309" i="1" s="1"/>
  <c r="AL309" i="1" s="1"/>
  <c r="AH415" i="1"/>
  <c r="AH310" i="1"/>
  <c r="AG22" i="1"/>
  <c r="AG572" i="1"/>
  <c r="AI572" i="1" s="1"/>
  <c r="AJ572" i="1" s="1"/>
  <c r="AL572" i="1" s="1"/>
  <c r="AG480" i="1"/>
  <c r="AG373" i="1"/>
  <c r="AH152" i="1"/>
  <c r="AH407" i="1"/>
  <c r="AG608" i="1"/>
  <c r="AI608" i="1" s="1"/>
  <c r="AJ608" i="1" s="1"/>
  <c r="AL608" i="1" s="1"/>
  <c r="AG45" i="1"/>
  <c r="AH179" i="1"/>
  <c r="AG638" i="1"/>
  <c r="AG577" i="1"/>
  <c r="AI577" i="1" s="1"/>
  <c r="AJ577" i="1" s="1"/>
  <c r="AL577" i="1" s="1"/>
  <c r="AH214" i="1"/>
  <c r="AG35" i="1"/>
  <c r="AH612" i="1"/>
  <c r="AG534" i="1"/>
  <c r="AH19" i="1"/>
  <c r="AH240" i="1"/>
  <c r="AH374" i="1"/>
  <c r="AI374" i="1" s="1"/>
  <c r="AJ374" i="1" s="1"/>
  <c r="AL374" i="1" s="1"/>
  <c r="AG240" i="1"/>
  <c r="AI240" i="1" s="1"/>
  <c r="AJ240" i="1" s="1"/>
  <c r="AL240" i="1" s="1"/>
  <c r="AH105" i="1"/>
  <c r="AH552" i="1"/>
  <c r="AG11" i="1"/>
  <c r="AG108" i="1"/>
  <c r="AH228" i="1"/>
  <c r="AG333" i="1"/>
  <c r="AH575" i="1"/>
  <c r="AG549" i="1"/>
  <c r="AG185" i="1"/>
  <c r="AH362" i="1"/>
  <c r="AH501" i="1"/>
  <c r="AI501" i="1" s="1"/>
  <c r="AJ501" i="1" s="1"/>
  <c r="AL501" i="1" s="1"/>
  <c r="AG116" i="1"/>
  <c r="AI116" i="1" s="1"/>
  <c r="AJ116" i="1" s="1"/>
  <c r="AL116" i="1" s="1"/>
  <c r="AG187" i="1"/>
  <c r="AH174" i="1"/>
  <c r="AG18" i="1"/>
  <c r="AH173" i="1"/>
  <c r="AG605" i="1"/>
  <c r="AI605" i="1" s="1"/>
  <c r="AJ605" i="1" s="1"/>
  <c r="AL605" i="1" s="1"/>
  <c r="S88" i="2"/>
  <c r="Y88" i="2"/>
  <c r="AA88" i="2" s="1"/>
  <c r="AI215" i="1"/>
  <c r="AJ215" i="1" s="1"/>
  <c r="AL215" i="1" s="1"/>
  <c r="AI214" i="1"/>
  <c r="AJ214" i="1" s="1"/>
  <c r="AL214" i="1" s="1"/>
  <c r="AI160" i="1"/>
  <c r="AJ160" i="1" s="1"/>
  <c r="AL160" i="1" s="1"/>
  <c r="AI647" i="1"/>
  <c r="AJ647" i="1" s="1"/>
  <c r="AL647" i="1" s="1"/>
  <c r="AI649" i="1"/>
  <c r="AJ649" i="1" s="1"/>
  <c r="AL649" i="1" s="1"/>
  <c r="AI360" i="1"/>
  <c r="AJ360" i="1" s="1"/>
  <c r="AL360" i="1" s="1"/>
  <c r="AI218" i="1"/>
  <c r="AJ218" i="1" s="1"/>
  <c r="AL218" i="1" s="1"/>
  <c r="AI385" i="1"/>
  <c r="AJ385" i="1" s="1"/>
  <c r="AL385" i="1" s="1"/>
  <c r="AI665" i="1"/>
  <c r="AJ665" i="1" s="1"/>
  <c r="AL665" i="1" s="1"/>
  <c r="AI267" i="1"/>
  <c r="AJ267" i="1" s="1"/>
  <c r="AL267" i="1" s="1"/>
  <c r="AI482" i="1"/>
  <c r="AJ482" i="1" s="1"/>
  <c r="AL482" i="1" s="1"/>
  <c r="AI432" i="1"/>
  <c r="AJ432" i="1" s="1"/>
  <c r="AL432" i="1" s="1"/>
  <c r="AI449" i="1"/>
  <c r="AJ449" i="1" s="1"/>
  <c r="AL449" i="1" s="1"/>
  <c r="AI96" i="1"/>
  <c r="AJ96" i="1" s="1"/>
  <c r="AL96" i="1" s="1"/>
  <c r="AI202" i="1"/>
  <c r="AJ202" i="1" s="1"/>
  <c r="AL202" i="1" s="1"/>
  <c r="AI211" i="1"/>
  <c r="AJ211" i="1" s="1"/>
  <c r="AL211" i="1" s="1"/>
  <c r="AI151" i="1"/>
  <c r="AJ151" i="1" s="1"/>
  <c r="AL151" i="1" s="1"/>
  <c r="AI55" i="1"/>
  <c r="AJ55" i="1" s="1"/>
  <c r="AL55" i="1" s="1"/>
  <c r="AI134" i="1"/>
  <c r="AJ134" i="1" s="1"/>
  <c r="AL134" i="1" s="1"/>
  <c r="AI359" i="1"/>
  <c r="AJ359" i="1" s="1"/>
  <c r="AL359" i="1" s="1"/>
  <c r="AI310" i="1"/>
  <c r="AJ310" i="1" s="1"/>
  <c r="AL310" i="1" s="1"/>
  <c r="AI220" i="1"/>
  <c r="AJ220" i="1" s="1"/>
  <c r="AL220" i="1" s="1"/>
  <c r="AI335" i="1"/>
  <c r="AJ335" i="1" s="1"/>
  <c r="AL335" i="1" s="1"/>
  <c r="AI251" i="1"/>
  <c r="AJ251" i="1" s="1"/>
  <c r="AL251" i="1" s="1"/>
  <c r="AI556" i="1"/>
  <c r="AJ556" i="1" s="1"/>
  <c r="AL556" i="1" s="1"/>
  <c r="AI369" i="1"/>
  <c r="AJ369" i="1" s="1"/>
  <c r="AL369" i="1" s="1"/>
  <c r="AI370" i="1"/>
  <c r="AJ370" i="1" s="1"/>
  <c r="AL370" i="1" s="1"/>
  <c r="AI27" i="1"/>
  <c r="AJ27" i="1" s="1"/>
  <c r="AL27" i="1" s="1"/>
  <c r="AI478" i="1"/>
  <c r="AJ478" i="1" s="1"/>
  <c r="AL478" i="1" s="1"/>
  <c r="AI599" i="1"/>
  <c r="AJ599" i="1" s="1"/>
  <c r="AL599" i="1" s="1"/>
  <c r="AI587" i="1"/>
  <c r="AJ587" i="1" s="1"/>
  <c r="AL587" i="1" s="1"/>
  <c r="AI635" i="1"/>
  <c r="AJ635" i="1" s="1"/>
  <c r="AL635" i="1" s="1"/>
  <c r="AI492" i="1"/>
  <c r="AJ492" i="1" s="1"/>
  <c r="AL492" i="1" s="1"/>
  <c r="AI166" i="1"/>
  <c r="AJ166" i="1" s="1"/>
  <c r="AL166" i="1" s="1"/>
  <c r="AI255" i="1"/>
  <c r="AJ255" i="1" s="1"/>
  <c r="AL255" i="1" s="1"/>
  <c r="AI535" i="1"/>
  <c r="AJ535" i="1" s="1"/>
  <c r="AL535" i="1" s="1"/>
  <c r="AI238" i="1"/>
  <c r="AJ238" i="1" s="1"/>
  <c r="AL238" i="1" s="1"/>
  <c r="AI100" i="1"/>
  <c r="AJ100" i="1" s="1"/>
  <c r="AL100" i="1" s="1"/>
  <c r="AI614" i="1"/>
  <c r="AJ614" i="1" s="1"/>
  <c r="AL614" i="1" s="1"/>
  <c r="AI406" i="1"/>
  <c r="AJ406" i="1" s="1"/>
  <c r="AL406" i="1" s="1"/>
  <c r="AI510" i="1"/>
  <c r="AJ510" i="1" s="1"/>
  <c r="AL510" i="1" s="1"/>
  <c r="AI355" i="1"/>
  <c r="AJ355" i="1" s="1"/>
  <c r="AL355" i="1" s="1"/>
  <c r="AI517" i="1"/>
  <c r="AJ517" i="1" s="1"/>
  <c r="AL517" i="1" s="1"/>
  <c r="AI487" i="1"/>
  <c r="AJ487" i="1" s="1"/>
  <c r="AL487" i="1" s="1"/>
  <c r="AI653" i="1"/>
  <c r="AJ653" i="1" s="1"/>
  <c r="AL653" i="1" s="1"/>
  <c r="AI74" i="1"/>
  <c r="AJ74" i="1" s="1"/>
  <c r="AL74" i="1" s="1"/>
  <c r="AI24" i="1"/>
  <c r="AJ24" i="1" s="1"/>
  <c r="AL24" i="1" s="1"/>
  <c r="AI252" i="1"/>
  <c r="AJ252" i="1" s="1"/>
  <c r="AL252" i="1" s="1"/>
  <c r="AI471" i="1"/>
  <c r="AJ471" i="1" s="1"/>
  <c r="AL471" i="1" s="1"/>
  <c r="AI489" i="1"/>
  <c r="AJ489" i="1" s="1"/>
  <c r="AL489" i="1" s="1"/>
  <c r="AI604" i="1"/>
  <c r="AJ604" i="1" s="1"/>
  <c r="AL604" i="1" s="1"/>
  <c r="AI32" i="1"/>
  <c r="AJ32" i="1" s="1"/>
  <c r="AL32" i="1" s="1"/>
  <c r="AI597" i="1"/>
  <c r="AJ597" i="1" s="1"/>
  <c r="AL597" i="1" s="1"/>
  <c r="AI465" i="1"/>
  <c r="AJ465" i="1" s="1"/>
  <c r="AL465" i="1" s="1"/>
  <c r="AI54" i="1"/>
  <c r="AJ54" i="1" s="1"/>
  <c r="AL54" i="1" s="1"/>
  <c r="AI219" i="1"/>
  <c r="AJ219" i="1" s="1"/>
  <c r="AL219" i="1" s="1"/>
  <c r="AI357" i="1"/>
  <c r="AJ357" i="1" s="1"/>
  <c r="AL357" i="1" s="1"/>
  <c r="AI480" i="1"/>
  <c r="AJ480" i="1" s="1"/>
  <c r="AL480" i="1" s="1"/>
  <c r="AI396" i="1"/>
  <c r="AJ396" i="1" s="1"/>
  <c r="AL396" i="1" s="1"/>
  <c r="AI426" i="1"/>
  <c r="AJ426" i="1" s="1"/>
  <c r="AL426" i="1" s="1"/>
  <c r="AI460" i="1"/>
  <c r="AJ460" i="1" s="1"/>
  <c r="AL460" i="1" s="1"/>
  <c r="AI232" i="1"/>
  <c r="AJ232" i="1" s="1"/>
  <c r="AL232" i="1" s="1"/>
  <c r="AI477" i="1"/>
  <c r="AJ477" i="1" s="1"/>
  <c r="AL477" i="1" s="1"/>
  <c r="AI518" i="1"/>
  <c r="AJ518" i="1" s="1"/>
  <c r="AL518" i="1" s="1"/>
  <c r="AI149" i="1"/>
  <c r="AJ149" i="1" s="1"/>
  <c r="AL149" i="1" s="1"/>
  <c r="AI440" i="1"/>
  <c r="AJ440" i="1" s="1"/>
  <c r="AL440" i="1" s="1"/>
  <c r="AI302" i="1"/>
  <c r="AJ302" i="1" s="1"/>
  <c r="AL302" i="1" s="1"/>
  <c r="AI22" i="1"/>
  <c r="AJ22" i="1" s="1"/>
  <c r="AL22" i="1" s="1"/>
  <c r="AI128" i="1"/>
  <c r="AJ128" i="1" s="1"/>
  <c r="AL128" i="1" s="1"/>
  <c r="AC165" i="2"/>
  <c r="Y54" i="2"/>
  <c r="AA54" i="2" s="1"/>
  <c r="AC83" i="2"/>
  <c r="S33" i="2"/>
  <c r="Q248" i="2"/>
  <c r="Y35" i="2"/>
  <c r="AA35" i="2" s="1"/>
  <c r="Q10" i="2"/>
  <c r="Q35" i="2"/>
  <c r="S251" i="2"/>
  <c r="Y276" i="2"/>
  <c r="AA276" i="2" s="1"/>
  <c r="AA33" i="2"/>
  <c r="Z260" i="2"/>
  <c r="AA260" i="2"/>
  <c r="Z257" i="2"/>
  <c r="Y217" i="2"/>
  <c r="AA217" i="2" s="1"/>
  <c r="S23" i="2"/>
  <c r="S217" i="2"/>
  <c r="S53" i="2"/>
  <c r="Z31" i="2"/>
  <c r="AC31" i="2"/>
  <c r="AF31" i="2" s="1"/>
  <c r="AG31" i="2" s="1"/>
  <c r="Q208" i="2"/>
  <c r="Y208" i="2"/>
  <c r="AC208" i="2" s="1"/>
  <c r="AF208" i="2" s="1"/>
  <c r="AG208" i="2" s="1"/>
  <c r="Y74" i="2"/>
  <c r="AA74" i="2" s="1"/>
  <c r="AA28" i="2"/>
  <c r="AC38" i="2"/>
  <c r="AF38" i="2" s="1"/>
  <c r="AG38" i="2" s="1"/>
  <c r="AA108" i="2"/>
  <c r="Q218" i="2"/>
  <c r="Y218" i="2"/>
  <c r="AA218" i="2" s="1"/>
  <c r="S264" i="2"/>
  <c r="Y21" i="2"/>
  <c r="Z21" i="2" s="1"/>
  <c r="Y251" i="2"/>
  <c r="Z251" i="2" s="1"/>
  <c r="Y13" i="2"/>
  <c r="Z13" i="2" s="1"/>
  <c r="Q21" i="2"/>
  <c r="Q19" i="2"/>
  <c r="S285" i="2"/>
  <c r="S236" i="2"/>
  <c r="AC121" i="2"/>
  <c r="S63" i="2"/>
  <c r="AC257" i="2"/>
  <c r="AF257" i="2" s="1"/>
  <c r="AG257" i="2" s="1"/>
  <c r="S13" i="2"/>
  <c r="Y250" i="2"/>
  <c r="AA250" i="2" s="1"/>
  <c r="Q236" i="2"/>
  <c r="Q33" i="2"/>
  <c r="AA38" i="2"/>
  <c r="S250" i="2"/>
  <c r="AC33" i="2"/>
  <c r="AF33" i="2" s="1"/>
  <c r="AG33" i="2" s="1"/>
  <c r="Y109" i="2"/>
  <c r="AA109" i="2" s="1"/>
  <c r="AC29" i="2"/>
  <c r="AF29" i="2" s="1"/>
  <c r="AG29" i="2" s="1"/>
  <c r="Z29" i="2"/>
  <c r="AA29" i="2"/>
  <c r="Y123" i="2"/>
  <c r="AA123" i="2" s="1"/>
  <c r="S9" i="2"/>
  <c r="AC98" i="2"/>
  <c r="Y219" i="2"/>
  <c r="AA219" i="2" s="1"/>
  <c r="AC210" i="2"/>
  <c r="AF210" i="2" s="1"/>
  <c r="AG210" i="2" s="1"/>
  <c r="S219" i="2"/>
  <c r="AA246" i="2"/>
  <c r="AA210" i="2"/>
  <c r="S138" i="2"/>
  <c r="Y190" i="2"/>
  <c r="AA190" i="2" s="1"/>
  <c r="Y114" i="2"/>
  <c r="AA114" i="2" s="1"/>
  <c r="Y10" i="2"/>
  <c r="AA10" i="2" s="1"/>
  <c r="Q29" i="2"/>
  <c r="S29" i="2"/>
  <c r="AC63" i="2"/>
  <c r="AA45" i="2"/>
  <c r="AC236" i="2"/>
  <c r="AF236" i="2" s="1"/>
  <c r="AG236" i="2" s="1"/>
  <c r="Z236" i="2"/>
  <c r="S188" i="2"/>
  <c r="S276" i="2"/>
  <c r="S248" i="2"/>
  <c r="S19" i="2"/>
  <c r="Y9" i="2"/>
  <c r="Z9" i="2" s="1"/>
  <c r="S182" i="2"/>
  <c r="S192" i="2"/>
  <c r="S34" i="2"/>
  <c r="AC116" i="2"/>
  <c r="Y253" i="2"/>
  <c r="AA253" i="2" s="1"/>
  <c r="Z34" i="2"/>
  <c r="S116" i="2"/>
  <c r="S253" i="2"/>
  <c r="Y151" i="2"/>
  <c r="AA151" i="2" s="1"/>
  <c r="S43" i="2"/>
  <c r="Y226" i="2"/>
  <c r="AA226" i="2" s="1"/>
  <c r="AA17" i="2"/>
  <c r="Q43" i="2"/>
  <c r="Y71" i="2"/>
  <c r="S71" i="2"/>
  <c r="Q41" i="2"/>
  <c r="S226" i="2"/>
  <c r="S41" i="2"/>
  <c r="Y178" i="2"/>
  <c r="AA178" i="2" s="1"/>
  <c r="S237" i="2"/>
  <c r="Y237" i="2"/>
  <c r="Y56" i="2"/>
  <c r="AA56" i="2" s="1"/>
  <c r="S56" i="2"/>
  <c r="Q222" i="2"/>
  <c r="Y285" i="2"/>
  <c r="AA285" i="2" s="1"/>
  <c r="Y15" i="2"/>
  <c r="Q15" i="2"/>
  <c r="Q34" i="2"/>
  <c r="S167" i="2"/>
  <c r="AC167" i="2"/>
  <c r="Y287" i="2"/>
  <c r="AC287" i="2" s="1"/>
  <c r="AF287" i="2" s="1"/>
  <c r="AG287" i="2" s="1"/>
  <c r="Y222" i="2"/>
  <c r="AA43" i="2"/>
  <c r="Q287" i="2"/>
  <c r="AC106" i="2"/>
  <c r="S103" i="2"/>
  <c r="Q23" i="2"/>
  <c r="AC155" i="2"/>
  <c r="AC131" i="2"/>
  <c r="AC53" i="2"/>
  <c r="AC215" i="2"/>
  <c r="AF215" i="2" s="1"/>
  <c r="AG215" i="2" s="1"/>
  <c r="AC188" i="2"/>
  <c r="Y206" i="2"/>
  <c r="AA206" i="2" s="1"/>
  <c r="AC246" i="2"/>
  <c r="AF246" i="2" s="1"/>
  <c r="AG246" i="2" s="1"/>
  <c r="Y275" i="2"/>
  <c r="AA275" i="2" s="1"/>
  <c r="AC193" i="2"/>
  <c r="Y169" i="2"/>
  <c r="AA169" i="2" s="1"/>
  <c r="S298" i="2"/>
  <c r="Y298" i="2"/>
  <c r="Q51" i="2"/>
  <c r="S51" i="2"/>
  <c r="Y51" i="2"/>
  <c r="S65" i="2"/>
  <c r="AC43" i="2"/>
  <c r="AF43" i="2" s="1"/>
  <c r="AG43" i="2" s="1"/>
  <c r="AC233" i="2"/>
  <c r="AC288" i="2"/>
  <c r="AF288" i="2" s="1"/>
  <c r="AG288" i="2" s="1"/>
  <c r="AC86" i="2"/>
  <c r="Y186" i="2"/>
  <c r="S186" i="2"/>
  <c r="Y20" i="2"/>
  <c r="S20" i="2"/>
  <c r="Y59" i="2"/>
  <c r="AA59" i="2" s="1"/>
  <c r="S59" i="2"/>
  <c r="Q20" i="2"/>
  <c r="S26" i="2"/>
  <c r="Y173" i="2"/>
  <c r="AA173" i="2" s="1"/>
  <c r="S143" i="2"/>
  <c r="Y143" i="2"/>
  <c r="AA143" i="2" s="1"/>
  <c r="AC203" i="2"/>
  <c r="S48" i="2"/>
  <c r="AC50" i="2"/>
  <c r="AF50" i="2" s="1"/>
  <c r="AG50" i="2" s="1"/>
  <c r="AC197" i="2"/>
  <c r="S238" i="2"/>
  <c r="Q238" i="2"/>
  <c r="Y238" i="2"/>
  <c r="Q48" i="2"/>
  <c r="S275" i="2"/>
  <c r="AC223" i="2"/>
  <c r="S270" i="2"/>
  <c r="Q270" i="2"/>
  <c r="Y270" i="2"/>
  <c r="AC128" i="2"/>
  <c r="Z24" i="2"/>
  <c r="AA24" i="2"/>
  <c r="S5" i="2"/>
  <c r="Y5" i="2"/>
  <c r="Q5" i="2"/>
  <c r="AC68" i="2"/>
  <c r="Y170" i="2"/>
  <c r="AA170" i="2" s="1"/>
  <c r="Y264" i="2"/>
  <c r="AA264" i="2" s="1"/>
  <c r="AC67" i="2"/>
  <c r="AF67" i="2" s="1"/>
  <c r="AG67" i="2" s="1"/>
  <c r="S278" i="2"/>
  <c r="Z215" i="2"/>
  <c r="AC28" i="2"/>
  <c r="AF28" i="2" s="1"/>
  <c r="AG28" i="2" s="1"/>
  <c r="Y278" i="2"/>
  <c r="Z278" i="2" s="1"/>
  <c r="S73" i="2"/>
  <c r="Y73" i="2"/>
  <c r="AA73" i="2" s="1"/>
  <c r="Y133" i="2"/>
  <c r="AA133" i="2" s="1"/>
  <c r="S133" i="2"/>
  <c r="Y297" i="2"/>
  <c r="S297" i="2"/>
  <c r="Q297" i="2"/>
  <c r="S106" i="2"/>
  <c r="AC69" i="2"/>
  <c r="S61" i="2"/>
  <c r="Y61" i="2"/>
  <c r="AA61" i="2" s="1"/>
  <c r="S293" i="2"/>
  <c r="Y293" i="2"/>
  <c r="AC112" i="2"/>
  <c r="AF112" i="2" s="1"/>
  <c r="AG112" i="2" s="1"/>
  <c r="Y234" i="2"/>
  <c r="S234" i="2"/>
  <c r="Q234" i="2"/>
  <c r="Y115" i="2"/>
  <c r="AA115" i="2" s="1"/>
  <c r="AA252" i="2"/>
  <c r="AC247" i="2"/>
  <c r="AF247" i="2" s="1"/>
  <c r="AG247" i="2" s="1"/>
  <c r="AC110" i="2"/>
  <c r="S225" i="2"/>
  <c r="Y225" i="2"/>
  <c r="AC102" i="2"/>
  <c r="Y216" i="2"/>
  <c r="S216" i="2"/>
  <c r="Q216" i="2"/>
  <c r="AC17" i="2"/>
  <c r="AF17" i="2" s="1"/>
  <c r="AG17" i="2" s="1"/>
  <c r="S206" i="2"/>
  <c r="Y26" i="2"/>
  <c r="Z26" i="2" s="1"/>
  <c r="AA27" i="2"/>
  <c r="Z27" i="2"/>
  <c r="AC140" i="2"/>
  <c r="S280" i="2"/>
  <c r="Y280" i="2"/>
  <c r="Q79" i="2"/>
  <c r="S79" i="2"/>
  <c r="Y79" i="2"/>
  <c r="S18" i="2"/>
  <c r="Y18" i="2"/>
  <c r="Q18" i="2"/>
  <c r="Y36" i="2"/>
  <c r="S36" i="2"/>
  <c r="Q36" i="2"/>
  <c r="Y191" i="2"/>
  <c r="S191" i="2"/>
  <c r="Q265" i="2"/>
  <c r="S265" i="2"/>
  <c r="Y265" i="2"/>
  <c r="AC271" i="2"/>
  <c r="AF271" i="2" s="1"/>
  <c r="AG271" i="2" s="1"/>
  <c r="Y204" i="2"/>
  <c r="AA204" i="2" s="1"/>
  <c r="S204" i="2"/>
  <c r="Y39" i="2"/>
  <c r="S39" i="2"/>
  <c r="Q39" i="2"/>
  <c r="Y70" i="2"/>
  <c r="S70" i="2"/>
  <c r="AC95" i="2"/>
  <c r="AI503" i="1"/>
  <c r="AJ503" i="1" s="1"/>
  <c r="AL503" i="1" s="1"/>
  <c r="AI112" i="1"/>
  <c r="AJ112" i="1" s="1"/>
  <c r="AL112" i="1" s="1"/>
  <c r="AI593" i="1"/>
  <c r="AJ593" i="1" s="1"/>
  <c r="AL593" i="1" s="1"/>
  <c r="AI539" i="1"/>
  <c r="AJ539" i="1" s="1"/>
  <c r="AL539" i="1" s="1"/>
  <c r="AI313" i="1"/>
  <c r="AJ313" i="1" s="1"/>
  <c r="AL313" i="1" s="1"/>
  <c r="AI306" i="1"/>
  <c r="AJ306" i="1" s="1"/>
  <c r="AL306" i="1" s="1"/>
  <c r="AI486" i="1"/>
  <c r="AJ486" i="1" s="1"/>
  <c r="AL486" i="1" s="1"/>
  <c r="AI301" i="1"/>
  <c r="AJ301" i="1" s="1"/>
  <c r="AL301" i="1" s="1"/>
  <c r="AI7" i="1"/>
  <c r="AJ7" i="1" s="1"/>
  <c r="AL7" i="1" s="1"/>
  <c r="AI194" i="1"/>
  <c r="AJ194" i="1" s="1"/>
  <c r="AL194" i="1" s="1"/>
  <c r="AI286" i="1"/>
  <c r="AJ286" i="1" s="1"/>
  <c r="AL286" i="1" s="1"/>
  <c r="AI158" i="1"/>
  <c r="AJ158" i="1" s="1"/>
  <c r="AL158" i="1" s="1"/>
  <c r="AI193" i="1"/>
  <c r="AJ193" i="1" s="1"/>
  <c r="AL193" i="1" s="1"/>
  <c r="AI497" i="1"/>
  <c r="AJ497" i="1" s="1"/>
  <c r="AL497" i="1" s="1"/>
  <c r="AI52" i="1"/>
  <c r="AJ52" i="1" s="1"/>
  <c r="AL52" i="1" s="1"/>
  <c r="AI472" i="1"/>
  <c r="AJ472" i="1" s="1"/>
  <c r="AL472" i="1" s="1"/>
  <c r="AI349" i="1"/>
  <c r="AJ349" i="1" s="1"/>
  <c r="AL349" i="1" s="1"/>
  <c r="AI187" i="1"/>
  <c r="AJ187" i="1" s="1"/>
  <c r="AL187" i="1" s="1"/>
  <c r="AI236" i="1"/>
  <c r="AJ236" i="1" s="1"/>
  <c r="AL236" i="1" s="1"/>
  <c r="AI43" i="1"/>
  <c r="AJ43" i="1" s="1"/>
  <c r="AL43" i="1" s="1"/>
  <c r="AI642" i="1"/>
  <c r="AJ642" i="1" s="1"/>
  <c r="AL642" i="1" s="1"/>
  <c r="AI63" i="1"/>
  <c r="AJ63" i="1" s="1"/>
  <c r="AL63" i="1" s="1"/>
  <c r="AI419" i="1"/>
  <c r="AJ419" i="1" s="1"/>
  <c r="AL419" i="1" s="1"/>
  <c r="AI304" i="1"/>
  <c r="AJ304" i="1" s="1"/>
  <c r="AL304" i="1" s="1"/>
  <c r="AI145" i="1"/>
  <c r="AJ145" i="1" s="1"/>
  <c r="AL145" i="1" s="1"/>
  <c r="AI294" i="1"/>
  <c r="AJ294" i="1" s="1"/>
  <c r="AL294" i="1" s="1"/>
  <c r="AI93" i="1"/>
  <c r="AJ93" i="1" s="1"/>
  <c r="AL93" i="1" s="1"/>
  <c r="AI108" i="1"/>
  <c r="AJ108" i="1" s="1"/>
  <c r="AL108" i="1" s="1"/>
  <c r="AI279" i="1"/>
  <c r="AJ279" i="1" s="1"/>
  <c r="AL279" i="1" s="1"/>
  <c r="AI584" i="1"/>
  <c r="AJ584" i="1" s="1"/>
  <c r="AL584" i="1" s="1"/>
  <c r="AI243" i="1"/>
  <c r="AJ243" i="1" s="1"/>
  <c r="AL243" i="1" s="1"/>
  <c r="AI11" i="1"/>
  <c r="AJ11" i="1" s="1"/>
  <c r="AL11" i="1" s="1"/>
  <c r="AI606" i="1"/>
  <c r="AJ606" i="1" s="1"/>
  <c r="AL606" i="1" s="1"/>
  <c r="AI319" i="1"/>
  <c r="AJ319" i="1" s="1"/>
  <c r="AL319" i="1" s="1"/>
  <c r="AI2" i="1"/>
  <c r="AJ2" i="1" s="1"/>
  <c r="AL2" i="1" s="1"/>
  <c r="AI283" i="1"/>
  <c r="AJ283" i="1" s="1"/>
  <c r="AL283" i="1" s="1"/>
  <c r="AI223" i="1"/>
  <c r="AJ223" i="1" s="1"/>
  <c r="AL223" i="1" s="1"/>
  <c r="AI256" i="1"/>
  <c r="AJ256" i="1" s="1"/>
  <c r="AL256" i="1" s="1"/>
  <c r="AI544" i="1"/>
  <c r="AJ544" i="1" s="1"/>
  <c r="AL544" i="1" s="1"/>
  <c r="AI451" i="1"/>
  <c r="AJ451" i="1" s="1"/>
  <c r="AL451" i="1" s="1"/>
  <c r="AI17" i="1"/>
  <c r="AJ17" i="1" s="1"/>
  <c r="AL17" i="1" s="1"/>
  <c r="AI91" i="1"/>
  <c r="AJ91" i="1" s="1"/>
  <c r="AL91" i="1" s="1"/>
  <c r="AI297" i="1"/>
  <c r="AJ297" i="1" s="1"/>
  <c r="AL297" i="1" s="1"/>
  <c r="AI434" i="1"/>
  <c r="AJ434" i="1" s="1"/>
  <c r="AL434" i="1" s="1"/>
  <c r="AI241" i="1"/>
  <c r="AJ241" i="1" s="1"/>
  <c r="AL241" i="1" s="1"/>
  <c r="AI648" i="1"/>
  <c r="AJ648" i="1" s="1"/>
  <c r="AL648" i="1" s="1"/>
  <c r="AI104" i="1"/>
  <c r="AJ104" i="1" s="1"/>
  <c r="AL104" i="1" s="1"/>
  <c r="AI29" i="1"/>
  <c r="AJ29" i="1" s="1"/>
  <c r="AL29" i="1" s="1"/>
  <c r="AI88" i="1"/>
  <c r="AJ88" i="1" s="1"/>
  <c r="AL88" i="1" s="1"/>
  <c r="AI512" i="1"/>
  <c r="AJ512" i="1" s="1"/>
  <c r="AL512" i="1" s="1"/>
  <c r="AI314" i="1"/>
  <c r="AJ314" i="1" s="1"/>
  <c r="AL314" i="1" s="1"/>
  <c r="AI520" i="1"/>
  <c r="AJ520" i="1" s="1"/>
  <c r="AL520" i="1" s="1"/>
  <c r="AI210" i="1"/>
  <c r="AJ210" i="1" s="1"/>
  <c r="AL210" i="1" s="1"/>
  <c r="AI276" i="1"/>
  <c r="AJ276" i="1" s="1"/>
  <c r="AL276" i="1" s="1"/>
  <c r="AI278" i="1"/>
  <c r="AJ278" i="1" s="1"/>
  <c r="AL278" i="1" s="1"/>
  <c r="AI631" i="1"/>
  <c r="AJ631" i="1" s="1"/>
  <c r="AL631" i="1" s="1"/>
  <c r="AI33" i="1"/>
  <c r="AJ33" i="1" s="1"/>
  <c r="AL33" i="1" s="1"/>
  <c r="AI395" i="1"/>
  <c r="AJ395" i="1" s="1"/>
  <c r="AL395" i="1" s="1"/>
  <c r="AI439" i="1"/>
  <c r="AJ439" i="1" s="1"/>
  <c r="AL439" i="1" s="1"/>
  <c r="AI147" i="1"/>
  <c r="AJ147" i="1" s="1"/>
  <c r="AL147" i="1" s="1"/>
  <c r="AI71" i="1"/>
  <c r="AJ71" i="1" s="1"/>
  <c r="AL71" i="1" s="1"/>
  <c r="AI119" i="1"/>
  <c r="AJ119" i="1" s="1"/>
  <c r="AL119" i="1" s="1"/>
  <c r="AI35" i="1"/>
  <c r="AJ35" i="1" s="1"/>
  <c r="AL35" i="1" s="1"/>
  <c r="AA138" i="2"/>
  <c r="AC138" i="2"/>
  <c r="J185" i="2"/>
  <c r="P185" i="2"/>
  <c r="AA93" i="2"/>
  <c r="S119" i="2"/>
  <c r="Y119" i="2"/>
  <c r="AA150" i="2"/>
  <c r="AC150" i="2"/>
  <c r="Y125" i="2"/>
  <c r="S125" i="2"/>
  <c r="AA72" i="2"/>
  <c r="Z72" i="2"/>
  <c r="S101" i="2"/>
  <c r="Y101" i="2"/>
  <c r="S205" i="2"/>
  <c r="Y205" i="2"/>
  <c r="J161" i="2"/>
  <c r="P161" i="2"/>
  <c r="S242" i="2"/>
  <c r="Y242" i="2"/>
  <c r="Q242" i="2"/>
  <c r="AA58" i="2"/>
  <c r="AA172" i="2"/>
  <c r="Y241" i="2"/>
  <c r="S241" i="2"/>
  <c r="Q241" i="2"/>
  <c r="S294" i="2"/>
  <c r="Q294" i="2"/>
  <c r="Y294" i="2"/>
  <c r="AA207" i="2"/>
  <c r="AC207" i="2"/>
  <c r="Y87" i="2"/>
  <c r="S87" i="2"/>
  <c r="Y40" i="2"/>
  <c r="S40" i="2"/>
  <c r="Q40" i="2"/>
  <c r="Z290" i="2"/>
  <c r="AA290" i="2"/>
  <c r="AA164" i="2"/>
  <c r="J181" i="2"/>
  <c r="P181" i="2"/>
  <c r="Y66" i="2"/>
  <c r="S66" i="2"/>
  <c r="Y49" i="2"/>
  <c r="Q49" i="2"/>
  <c r="S49" i="2"/>
  <c r="Y156" i="2"/>
  <c r="S156" i="2"/>
  <c r="P228" i="2"/>
  <c r="J228" i="2"/>
  <c r="H228" i="2"/>
  <c r="P135" i="2"/>
  <c r="J135" i="2"/>
  <c r="S146" i="2"/>
  <c r="Y146" i="2"/>
  <c r="Q220" i="2"/>
  <c r="S220" i="2"/>
  <c r="Y220" i="2"/>
  <c r="P269" i="2"/>
  <c r="J269" i="2"/>
  <c r="H269" i="2"/>
  <c r="Y147" i="2"/>
  <c r="S147" i="2"/>
  <c r="Y199" i="2"/>
  <c r="S199" i="2"/>
  <c r="AA118" i="2"/>
  <c r="J184" i="2"/>
  <c r="P184" i="2"/>
  <c r="Q268" i="2"/>
  <c r="Y268" i="2"/>
  <c r="S268" i="2"/>
  <c r="Y263" i="2"/>
  <c r="S263" i="2"/>
  <c r="Q263" i="2"/>
  <c r="S44" i="2"/>
  <c r="Y44" i="2"/>
  <c r="Q44" i="2"/>
  <c r="Y92" i="2"/>
  <c r="S92" i="2"/>
  <c r="AA239" i="2"/>
  <c r="AC239" i="2"/>
  <c r="AF239" i="2" s="1"/>
  <c r="AG239" i="2" s="1"/>
  <c r="Z239" i="2"/>
  <c r="Y82" i="2"/>
  <c r="S82" i="2"/>
  <c r="S266" i="2"/>
  <c r="Q266" i="2"/>
  <c r="Y266" i="2"/>
  <c r="Y162" i="2"/>
  <c r="S162" i="2"/>
  <c r="AA23" i="2"/>
  <c r="Z23" i="2"/>
  <c r="S227" i="2"/>
  <c r="Y227" i="2"/>
  <c r="Q227" i="2"/>
  <c r="P52" i="2"/>
  <c r="J52" i="2"/>
  <c r="Y122" i="2"/>
  <c r="S122" i="2"/>
  <c r="AA75" i="2"/>
  <c r="AA283" i="2"/>
  <c r="Z283" i="2"/>
  <c r="Z259" i="2"/>
  <c r="AA259" i="2"/>
  <c r="J174" i="2"/>
  <c r="P174" i="2"/>
  <c r="Q25" i="2"/>
  <c r="Y25" i="2"/>
  <c r="S25" i="2"/>
  <c r="S296" i="2"/>
  <c r="Y296" i="2"/>
  <c r="Q296" i="2"/>
  <c r="Y96" i="2"/>
  <c r="S96" i="2"/>
  <c r="AA243" i="2"/>
  <c r="Z243" i="2"/>
  <c r="AC192" i="2"/>
  <c r="Q12" i="2"/>
  <c r="Y12" i="2"/>
  <c r="S12" i="2"/>
  <c r="AA289" i="2"/>
  <c r="AC289" i="2"/>
  <c r="AF289" i="2" s="1"/>
  <c r="AG289" i="2" s="1"/>
  <c r="Z289" i="2"/>
  <c r="P195" i="2"/>
  <c r="J195" i="2"/>
  <c r="AA154" i="2"/>
  <c r="P171" i="2"/>
  <c r="J171" i="2"/>
  <c r="P200" i="2"/>
  <c r="J200" i="2"/>
  <c r="Q240" i="2"/>
  <c r="S240" i="2"/>
  <c r="Y240" i="2"/>
  <c r="Q176" i="2"/>
  <c r="Y176" i="2"/>
  <c r="S176" i="2"/>
  <c r="Q282" i="2"/>
  <c r="Y282" i="2"/>
  <c r="S282" i="2"/>
  <c r="Y62" i="2"/>
  <c r="S62" i="2"/>
  <c r="Q272" i="2"/>
  <c r="Y272" i="2"/>
  <c r="S272" i="2"/>
  <c r="Q292" i="2"/>
  <c r="Y292" i="2"/>
  <c r="S292" i="2"/>
  <c r="Y145" i="2"/>
  <c r="Q145" i="2"/>
  <c r="S145" i="2"/>
  <c r="Q279" i="2"/>
  <c r="Y279" i="2"/>
  <c r="S279" i="2"/>
  <c r="S89" i="2"/>
  <c r="Q89" i="2"/>
  <c r="Y89" i="2"/>
  <c r="S144" i="2"/>
  <c r="Y144" i="2"/>
  <c r="Q144" i="2"/>
  <c r="Z211" i="2"/>
  <c r="AA211" i="2"/>
  <c r="AA177" i="2"/>
  <c r="AC177" i="2"/>
  <c r="S273" i="2"/>
  <c r="Y273" i="2"/>
  <c r="Q273" i="2"/>
  <c r="Z262" i="2"/>
  <c r="AA262" i="2"/>
  <c r="Y196" i="2"/>
  <c r="S196" i="2"/>
  <c r="Z291" i="2"/>
  <c r="AA291" i="2"/>
  <c r="AA158" i="2"/>
  <c r="P214" i="2"/>
  <c r="J214" i="2"/>
  <c r="H214" i="2"/>
  <c r="AC46" i="2"/>
  <c r="AF46" i="2" s="1"/>
  <c r="AG46" i="2" s="1"/>
  <c r="Z46" i="2"/>
  <c r="AA46" i="2"/>
  <c r="Z261" i="2"/>
  <c r="AA261" i="2"/>
  <c r="AC261" i="2"/>
  <c r="AF261" i="2" s="1"/>
  <c r="AG261" i="2" s="1"/>
  <c r="Y249" i="2"/>
  <c r="S249" i="2"/>
  <c r="Q249" i="2"/>
  <c r="AA30" i="2"/>
  <c r="Z30" i="2"/>
  <c r="S286" i="2"/>
  <c r="Q286" i="2"/>
  <c r="Y286" i="2"/>
  <c r="Q7" i="2"/>
  <c r="S7" i="2"/>
  <c r="Y7" i="2"/>
  <c r="Y231" i="2"/>
  <c r="S231" i="2"/>
  <c r="Q231" i="2"/>
  <c r="Y127" i="2"/>
  <c r="S127" i="2"/>
  <c r="P166" i="2"/>
  <c r="J166" i="2"/>
  <c r="AA76" i="2"/>
  <c r="Y157" i="2"/>
  <c r="S157" i="2"/>
  <c r="AA274" i="2"/>
  <c r="Z274" i="2"/>
  <c r="Y22" i="2"/>
  <c r="S22" i="2"/>
  <c r="Q22" i="2"/>
  <c r="AA129" i="2"/>
  <c r="AC129" i="2"/>
  <c r="AA91" i="2"/>
  <c r="Z244" i="2"/>
  <c r="AA244" i="2"/>
  <c r="AA65" i="2"/>
  <c r="Q42" i="2"/>
  <c r="Y42" i="2"/>
  <c r="S42" i="2"/>
  <c r="AA201" i="2"/>
  <c r="AA37" i="2"/>
  <c r="Z37" i="2"/>
  <c r="Y11" i="2"/>
  <c r="S11" i="2"/>
  <c r="Q11" i="2"/>
  <c r="S90" i="2"/>
  <c r="Y90" i="2"/>
  <c r="AA175" i="2"/>
  <c r="AA153" i="2"/>
  <c r="AC153" i="2"/>
  <c r="S136" i="2"/>
  <c r="Y136" i="2"/>
  <c r="Y189" i="2"/>
  <c r="S189" i="2"/>
  <c r="Y47" i="2"/>
  <c r="S47" i="2"/>
  <c r="Q47" i="2"/>
  <c r="Q80" i="2"/>
  <c r="Y80" i="2"/>
  <c r="S80" i="2"/>
  <c r="J132" i="2"/>
  <c r="P132" i="2"/>
  <c r="Y277" i="2"/>
  <c r="Q277" i="2"/>
  <c r="S277" i="2"/>
  <c r="Q255" i="2"/>
  <c r="Y255" i="2"/>
  <c r="S255" i="2"/>
  <c r="AA141" i="2"/>
  <c r="AC141" i="2"/>
  <c r="AA134" i="2"/>
  <c r="Z81" i="2"/>
  <c r="AA81" i="2"/>
  <c r="J117" i="2"/>
  <c r="P117" i="2"/>
  <c r="H117" i="2"/>
  <c r="Y202" i="2"/>
  <c r="S202" i="2"/>
  <c r="AA152" i="2"/>
  <c r="Y183" i="2"/>
  <c r="S183" i="2"/>
  <c r="AC77" i="2"/>
  <c r="AA57" i="2"/>
  <c r="AC57" i="2"/>
  <c r="Z281" i="2"/>
  <c r="AA113" i="2"/>
  <c r="Q14" i="2"/>
  <c r="Y14" i="2"/>
  <c r="S14" i="2"/>
  <c r="Y85" i="2"/>
  <c r="S85" i="2"/>
  <c r="S107" i="2"/>
  <c r="Y107" i="2"/>
  <c r="Y224" i="2"/>
  <c r="S224" i="2"/>
  <c r="Q224" i="2"/>
  <c r="Y235" i="2"/>
  <c r="S235" i="2"/>
  <c r="Q235" i="2"/>
  <c r="Y245" i="2"/>
  <c r="Q245" i="2"/>
  <c r="S245" i="2"/>
  <c r="Y32" i="2"/>
  <c r="S32" i="2"/>
  <c r="Q32" i="2"/>
  <c r="S256" i="2"/>
  <c r="Q256" i="2"/>
  <c r="Y256" i="2"/>
  <c r="P137" i="2"/>
  <c r="J137" i="2"/>
  <c r="S124" i="2"/>
  <c r="Y124" i="2"/>
  <c r="S160" i="2"/>
  <c r="Y160" i="2"/>
  <c r="H187" i="2"/>
  <c r="P187" i="2"/>
  <c r="J187" i="2"/>
  <c r="AC168" i="2"/>
  <c r="Q267" i="2"/>
  <c r="S267" i="2"/>
  <c r="Y267" i="2"/>
  <c r="Y130" i="2"/>
  <c r="S130" i="2"/>
  <c r="AA19" i="2"/>
  <c r="Z19" i="2"/>
  <c r="Z41" i="2"/>
  <c r="AA41" i="2"/>
  <c r="AC41" i="2"/>
  <c r="AF41" i="2" s="1"/>
  <c r="AG41" i="2" s="1"/>
  <c r="AC55" i="2"/>
  <c r="S254" i="2"/>
  <c r="Q254" i="2"/>
  <c r="Y254" i="2"/>
  <c r="Q295" i="2"/>
  <c r="Y295" i="2"/>
  <c r="S295" i="2"/>
  <c r="Q258" i="2"/>
  <c r="Y258" i="2"/>
  <c r="S258" i="2"/>
  <c r="AA64" i="2"/>
  <c r="S99" i="2"/>
  <c r="Y99" i="2"/>
  <c r="S180" i="2"/>
  <c r="Y180" i="2"/>
  <c r="Y159" i="2"/>
  <c r="S159" i="2"/>
  <c r="S6" i="2"/>
  <c r="Q6" i="2"/>
  <c r="Y6" i="2"/>
  <c r="AA221" i="2"/>
  <c r="AA182" i="2"/>
  <c r="Y104" i="2"/>
  <c r="S104" i="2"/>
  <c r="J179" i="2"/>
  <c r="P179" i="2"/>
  <c r="S78" i="2"/>
  <c r="Y78" i="2"/>
  <c r="Q213" i="2"/>
  <c r="S213" i="2"/>
  <c r="Y213" i="2"/>
  <c r="Y142" i="2"/>
  <c r="S142" i="2"/>
  <c r="AA281" i="2"/>
  <c r="Q232" i="2"/>
  <c r="S232" i="2"/>
  <c r="Y232" i="2"/>
  <c r="J126" i="2"/>
  <c r="P126" i="2"/>
  <c r="Y8" i="2"/>
  <c r="S8" i="2"/>
  <c r="Q8" i="2"/>
  <c r="AA284" i="2"/>
  <c r="Z284" i="2"/>
  <c r="S120" i="2"/>
  <c r="Y120" i="2"/>
  <c r="AA248" i="2"/>
  <c r="Z248" i="2"/>
  <c r="AA48" i="2"/>
  <c r="Z48" i="2"/>
  <c r="Y148" i="2"/>
  <c r="S148" i="2"/>
  <c r="Y111" i="2"/>
  <c r="S111" i="2"/>
  <c r="AA97" i="2"/>
  <c r="AC97" i="2"/>
  <c r="Z229" i="2"/>
  <c r="AA229" i="2"/>
  <c r="S230" i="2"/>
  <c r="Y230" i="2"/>
  <c r="AI546" i="1" l="1"/>
  <c r="AJ546" i="1" s="1"/>
  <c r="AL546" i="1" s="1"/>
  <c r="AI461" i="1"/>
  <c r="AJ461" i="1" s="1"/>
  <c r="AL461" i="1" s="1"/>
  <c r="AI9" i="1"/>
  <c r="AJ9" i="1" s="1"/>
  <c r="AL9" i="1" s="1"/>
  <c r="AI322" i="1"/>
  <c r="AJ322" i="1" s="1"/>
  <c r="AL322" i="1" s="1"/>
  <c r="AI666" i="1"/>
  <c r="AJ666" i="1" s="1"/>
  <c r="AL666" i="1" s="1"/>
  <c r="AI261" i="1"/>
  <c r="AJ261" i="1" s="1"/>
  <c r="AL261" i="1" s="1"/>
  <c r="AI331" i="1"/>
  <c r="AJ331" i="1" s="1"/>
  <c r="AL331" i="1" s="1"/>
  <c r="AI617" i="1"/>
  <c r="AJ617" i="1" s="1"/>
  <c r="AL617" i="1" s="1"/>
  <c r="AI378" i="1"/>
  <c r="AJ378" i="1" s="1"/>
  <c r="AL378" i="1" s="1"/>
  <c r="AI555" i="1"/>
  <c r="AJ555" i="1" s="1"/>
  <c r="AL555" i="1" s="1"/>
  <c r="AI141" i="1"/>
  <c r="AJ141" i="1" s="1"/>
  <c r="AL141" i="1" s="1"/>
  <c r="AI113" i="1"/>
  <c r="AJ113" i="1" s="1"/>
  <c r="AL113" i="1" s="1"/>
  <c r="AI468" i="1"/>
  <c r="AJ468" i="1" s="1"/>
  <c r="AL468" i="1" s="1"/>
  <c r="AI384" i="1"/>
  <c r="AJ384" i="1" s="1"/>
  <c r="AL384" i="1" s="1"/>
  <c r="AI51" i="1"/>
  <c r="AJ51" i="1" s="1"/>
  <c r="AL51" i="1" s="1"/>
  <c r="AI155" i="1"/>
  <c r="AJ155" i="1" s="1"/>
  <c r="AL155" i="1" s="1"/>
  <c r="AI507" i="1"/>
  <c r="AJ507" i="1" s="1"/>
  <c r="AL507" i="1" s="1"/>
  <c r="AI161" i="1"/>
  <c r="AJ161" i="1" s="1"/>
  <c r="AL161" i="1" s="1"/>
  <c r="AI312" i="1"/>
  <c r="AJ312" i="1" s="1"/>
  <c r="AL312" i="1" s="1"/>
  <c r="AI416" i="1"/>
  <c r="AJ416" i="1" s="1"/>
  <c r="AL416" i="1" s="1"/>
  <c r="AI367" i="1"/>
  <c r="AJ367" i="1" s="1"/>
  <c r="AL367" i="1" s="1"/>
  <c r="AI581" i="1"/>
  <c r="AJ581" i="1" s="1"/>
  <c r="AL581" i="1" s="1"/>
  <c r="AI333" i="1"/>
  <c r="AJ333" i="1" s="1"/>
  <c r="AL333" i="1" s="1"/>
  <c r="AI531" i="1"/>
  <c r="AJ531" i="1" s="1"/>
  <c r="AL531" i="1" s="1"/>
  <c r="AI46" i="1"/>
  <c r="AJ46" i="1" s="1"/>
  <c r="AL46" i="1" s="1"/>
  <c r="AI130" i="1"/>
  <c r="AJ130" i="1" s="1"/>
  <c r="AL130" i="1" s="1"/>
  <c r="AI603" i="1"/>
  <c r="AJ603" i="1" s="1"/>
  <c r="AL603" i="1" s="1"/>
  <c r="AI646" i="1"/>
  <c r="AJ646" i="1" s="1"/>
  <c r="AL646" i="1" s="1"/>
  <c r="AI98" i="1"/>
  <c r="AJ98" i="1" s="1"/>
  <c r="AL98" i="1" s="1"/>
  <c r="AI651" i="1"/>
  <c r="AJ651" i="1" s="1"/>
  <c r="AL651" i="1" s="1"/>
  <c r="AI60" i="1"/>
  <c r="AJ60" i="1" s="1"/>
  <c r="AL60" i="1" s="1"/>
  <c r="AI265" i="1"/>
  <c r="AJ265" i="1" s="1"/>
  <c r="AL265" i="1" s="1"/>
  <c r="AI305" i="1"/>
  <c r="AJ305" i="1" s="1"/>
  <c r="AL305" i="1" s="1"/>
  <c r="AI340" i="1"/>
  <c r="AJ340" i="1" s="1"/>
  <c r="AL340" i="1" s="1"/>
  <c r="AI375" i="1"/>
  <c r="AJ375" i="1" s="1"/>
  <c r="AL375" i="1" s="1"/>
  <c r="AI525" i="1"/>
  <c r="AJ525" i="1" s="1"/>
  <c r="AL525" i="1" s="1"/>
  <c r="AI343" i="1"/>
  <c r="AJ343" i="1" s="1"/>
  <c r="AL343" i="1" s="1"/>
  <c r="AI181" i="1"/>
  <c r="AJ181" i="1" s="1"/>
  <c r="AL181" i="1" s="1"/>
  <c r="AI422" i="1"/>
  <c r="AJ422" i="1" s="1"/>
  <c r="AL422" i="1" s="1"/>
  <c r="AI658" i="1"/>
  <c r="AJ658" i="1" s="1"/>
  <c r="AL658" i="1" s="1"/>
  <c r="AI473" i="1"/>
  <c r="AJ473" i="1" s="1"/>
  <c r="AL473" i="1" s="1"/>
  <c r="AI197" i="1"/>
  <c r="AJ197" i="1" s="1"/>
  <c r="AL197" i="1" s="1"/>
  <c r="AI533" i="1"/>
  <c r="AJ533" i="1" s="1"/>
  <c r="AL533" i="1" s="1"/>
  <c r="AI408" i="1"/>
  <c r="AJ408" i="1" s="1"/>
  <c r="AL408" i="1" s="1"/>
  <c r="AI588" i="1"/>
  <c r="AJ588" i="1" s="1"/>
  <c r="AL588" i="1" s="1"/>
  <c r="AI412" i="1"/>
  <c r="AJ412" i="1" s="1"/>
  <c r="AL412" i="1" s="1"/>
  <c r="AI311" i="1"/>
  <c r="AJ311" i="1" s="1"/>
  <c r="AL311" i="1" s="1"/>
  <c r="AI433" i="1"/>
  <c r="AJ433" i="1" s="1"/>
  <c r="AL433" i="1" s="1"/>
  <c r="AI619" i="1"/>
  <c r="AJ619" i="1" s="1"/>
  <c r="AL619" i="1" s="1"/>
  <c r="AI153" i="1"/>
  <c r="AJ153" i="1" s="1"/>
  <c r="AL153" i="1" s="1"/>
  <c r="AI76" i="1"/>
  <c r="AJ76" i="1" s="1"/>
  <c r="AL76" i="1" s="1"/>
  <c r="AI13" i="1"/>
  <c r="AJ13" i="1" s="1"/>
  <c r="AL13" i="1" s="1"/>
  <c r="AI568" i="1"/>
  <c r="AJ568" i="1" s="1"/>
  <c r="AL568" i="1" s="1"/>
  <c r="AI195" i="1"/>
  <c r="AJ195" i="1" s="1"/>
  <c r="AL195" i="1" s="1"/>
  <c r="AI62" i="1"/>
  <c r="AJ62" i="1" s="1"/>
  <c r="AL62" i="1" s="1"/>
  <c r="AI131" i="1"/>
  <c r="AJ131" i="1" s="1"/>
  <c r="AL131" i="1" s="1"/>
  <c r="AI292" i="1"/>
  <c r="AJ292" i="1" s="1"/>
  <c r="AL292" i="1" s="1"/>
  <c r="AI78" i="1"/>
  <c r="AJ78" i="1" s="1"/>
  <c r="AL78" i="1" s="1"/>
  <c r="AI656" i="1"/>
  <c r="AJ656" i="1" s="1"/>
  <c r="AL656" i="1" s="1"/>
  <c r="AI534" i="1"/>
  <c r="AJ534" i="1" s="1"/>
  <c r="AL534" i="1" s="1"/>
  <c r="AI508" i="1"/>
  <c r="AJ508" i="1" s="1"/>
  <c r="AL508" i="1" s="1"/>
  <c r="AI627" i="1"/>
  <c r="AJ627" i="1" s="1"/>
  <c r="AL627" i="1" s="1"/>
  <c r="AI114" i="1"/>
  <c r="AJ114" i="1" s="1"/>
  <c r="AL114" i="1" s="1"/>
  <c r="AI462" i="1"/>
  <c r="AJ462" i="1" s="1"/>
  <c r="AL462" i="1" s="1"/>
  <c r="AI70" i="1"/>
  <c r="AJ70" i="1" s="1"/>
  <c r="AL70" i="1" s="1"/>
  <c r="AI45" i="1"/>
  <c r="AJ45" i="1" s="1"/>
  <c r="AL45" i="1" s="1"/>
  <c r="AI499" i="1"/>
  <c r="AJ499" i="1" s="1"/>
  <c r="AL499" i="1" s="1"/>
  <c r="AI308" i="1"/>
  <c r="AJ308" i="1" s="1"/>
  <c r="AL308" i="1" s="1"/>
  <c r="AI589" i="1"/>
  <c r="AJ589" i="1" s="1"/>
  <c r="AL589" i="1" s="1"/>
  <c r="AI550" i="1"/>
  <c r="AJ550" i="1" s="1"/>
  <c r="AL550" i="1" s="1"/>
  <c r="AI234" i="1"/>
  <c r="AJ234" i="1" s="1"/>
  <c r="AL234" i="1" s="1"/>
  <c r="AI285" i="1"/>
  <c r="AJ285" i="1" s="1"/>
  <c r="AL285" i="1" s="1"/>
  <c r="AI389" i="1"/>
  <c r="AJ389" i="1" s="1"/>
  <c r="AL389" i="1" s="1"/>
  <c r="AI57" i="1"/>
  <c r="AJ57" i="1" s="1"/>
  <c r="AL57" i="1" s="1"/>
  <c r="AI347" i="1"/>
  <c r="AJ347" i="1" s="1"/>
  <c r="AL347" i="1" s="1"/>
  <c r="AI663" i="1"/>
  <c r="AJ663" i="1" s="1"/>
  <c r="AL663" i="1" s="1"/>
  <c r="AI418" i="1"/>
  <c r="AJ418" i="1" s="1"/>
  <c r="AL418" i="1" s="1"/>
  <c r="AI258" i="1"/>
  <c r="AJ258" i="1" s="1"/>
  <c r="AL258" i="1" s="1"/>
  <c r="AI172" i="1"/>
  <c r="AJ172" i="1" s="1"/>
  <c r="AL172" i="1" s="1"/>
  <c r="AI298" i="1"/>
  <c r="AJ298" i="1" s="1"/>
  <c r="AL298" i="1" s="1"/>
  <c r="AI287" i="1"/>
  <c r="AJ287" i="1" s="1"/>
  <c r="AL287" i="1" s="1"/>
  <c r="AI615" i="1"/>
  <c r="AJ615" i="1" s="1"/>
  <c r="AL615" i="1" s="1"/>
  <c r="AI307" i="1"/>
  <c r="AJ307" i="1" s="1"/>
  <c r="AL307" i="1" s="1"/>
  <c r="AI574" i="1"/>
  <c r="AJ574" i="1" s="1"/>
  <c r="AL574" i="1" s="1"/>
  <c r="AI184" i="1"/>
  <c r="AJ184" i="1" s="1"/>
  <c r="AL184" i="1" s="1"/>
  <c r="AI64" i="1"/>
  <c r="AJ64" i="1" s="1"/>
  <c r="AL64" i="1" s="1"/>
  <c r="AI626" i="1"/>
  <c r="AJ626" i="1" s="1"/>
  <c r="AL626" i="1" s="1"/>
  <c r="AI317" i="1"/>
  <c r="AJ317" i="1" s="1"/>
  <c r="AL317" i="1" s="1"/>
  <c r="AI132" i="1"/>
  <c r="AJ132" i="1" s="1"/>
  <c r="AL132" i="1" s="1"/>
  <c r="AI143" i="1"/>
  <c r="AJ143" i="1" s="1"/>
  <c r="AL143" i="1" s="1"/>
  <c r="AI571" i="1"/>
  <c r="AJ571" i="1" s="1"/>
  <c r="AL571" i="1" s="1"/>
  <c r="AI249" i="1"/>
  <c r="AJ249" i="1" s="1"/>
  <c r="AL249" i="1" s="1"/>
  <c r="AI164" i="1"/>
  <c r="AJ164" i="1" s="1"/>
  <c r="AL164" i="1" s="1"/>
  <c r="AI442" i="1"/>
  <c r="AJ442" i="1" s="1"/>
  <c r="AL442" i="1" s="1"/>
  <c r="AI586" i="1"/>
  <c r="AJ586" i="1" s="1"/>
  <c r="AL586" i="1" s="1"/>
  <c r="AI137" i="1"/>
  <c r="AJ137" i="1" s="1"/>
  <c r="AL137" i="1" s="1"/>
  <c r="AC54" i="2"/>
  <c r="Z35" i="2"/>
  <c r="Z276" i="2"/>
  <c r="AC56" i="2"/>
  <c r="Z219" i="2"/>
  <c r="Z217" i="2"/>
  <c r="Z208" i="2"/>
  <c r="AA208" i="2"/>
  <c r="AC109" i="2"/>
  <c r="AA9" i="2"/>
  <c r="AC9" i="2"/>
  <c r="AF9" i="2" s="1"/>
  <c r="AG9" i="2" s="1"/>
  <c r="Z218" i="2"/>
  <c r="AA21" i="2"/>
  <c r="Z250" i="2"/>
  <c r="AC74" i="2"/>
  <c r="AA278" i="2"/>
  <c r="AC13" i="2"/>
  <c r="AF13" i="2" s="1"/>
  <c r="AG13" i="2" s="1"/>
  <c r="AA13" i="2"/>
  <c r="AC251" i="2"/>
  <c r="AF251" i="2" s="1"/>
  <c r="AG251" i="2" s="1"/>
  <c r="AA251" i="2"/>
  <c r="Z10" i="2"/>
  <c r="Z253" i="2"/>
  <c r="AA26" i="2"/>
  <c r="Z226" i="2"/>
  <c r="Z287" i="2"/>
  <c r="AC151" i="2"/>
  <c r="Z285" i="2"/>
  <c r="AC285" i="2"/>
  <c r="AF285" i="2" s="1"/>
  <c r="AG285" i="2" s="1"/>
  <c r="Z206" i="2"/>
  <c r="AA287" i="2"/>
  <c r="AA237" i="2"/>
  <c r="Z237" i="2"/>
  <c r="Z222" i="2"/>
  <c r="AA222" i="2"/>
  <c r="AA71" i="2"/>
  <c r="AC71" i="2"/>
  <c r="AC237" i="2"/>
  <c r="AF237" i="2" s="1"/>
  <c r="AG237" i="2" s="1"/>
  <c r="AA15" i="2"/>
  <c r="AC15" i="2"/>
  <c r="AF15" i="2" s="1"/>
  <c r="AG15" i="2" s="1"/>
  <c r="Z15" i="2"/>
  <c r="AC264" i="2"/>
  <c r="AF264" i="2" s="1"/>
  <c r="AG264" i="2" s="1"/>
  <c r="AC275" i="2"/>
  <c r="AF275" i="2" s="1"/>
  <c r="AG275" i="2" s="1"/>
  <c r="AC206" i="2"/>
  <c r="AF206" i="2" s="1"/>
  <c r="AG206" i="2" s="1"/>
  <c r="AC211" i="2"/>
  <c r="AF211" i="2" s="1"/>
  <c r="AG211" i="2" s="1"/>
  <c r="AA191" i="2"/>
  <c r="AC221" i="2"/>
  <c r="AC75" i="2"/>
  <c r="AA18" i="2"/>
  <c r="Z18" i="2"/>
  <c r="AC18" i="2"/>
  <c r="AF18" i="2" s="1"/>
  <c r="AG18" i="2" s="1"/>
  <c r="AC252" i="2"/>
  <c r="AF252" i="2" s="1"/>
  <c r="AG252" i="2" s="1"/>
  <c r="AC64" i="2"/>
  <c r="AC34" i="2"/>
  <c r="AF34" i="2" s="1"/>
  <c r="AG34" i="2" s="1"/>
  <c r="AC284" i="2"/>
  <c r="AF284" i="2" s="1"/>
  <c r="AG284" i="2" s="1"/>
  <c r="AC114" i="2"/>
  <c r="AC134" i="2"/>
  <c r="AC190" i="2"/>
  <c r="AC88" i="2"/>
  <c r="AC154" i="2"/>
  <c r="AC143" i="2"/>
  <c r="AC59" i="2"/>
  <c r="Z36" i="2"/>
  <c r="AA36" i="2"/>
  <c r="AA270" i="2"/>
  <c r="Z270" i="2"/>
  <c r="AC278" i="2"/>
  <c r="AF278" i="2" s="1"/>
  <c r="AG278" i="2" s="1"/>
  <c r="AC217" i="2"/>
  <c r="AF217" i="2" s="1"/>
  <c r="AG217" i="2" s="1"/>
  <c r="AC283" i="2"/>
  <c r="AF283" i="2" s="1"/>
  <c r="AG283" i="2" s="1"/>
  <c r="AC290" i="2"/>
  <c r="AF290" i="2" s="1"/>
  <c r="AG290" i="2" s="1"/>
  <c r="Z264" i="2"/>
  <c r="Z5" i="2"/>
  <c r="AA5" i="2"/>
  <c r="AC26" i="2"/>
  <c r="AF26" i="2" s="1"/>
  <c r="AG26" i="2" s="1"/>
  <c r="AA225" i="2"/>
  <c r="AC218" i="2"/>
  <c r="AF218" i="2" s="1"/>
  <c r="AG218" i="2" s="1"/>
  <c r="AC158" i="2"/>
  <c r="AC118" i="2"/>
  <c r="AA79" i="2"/>
  <c r="Z79" i="2"/>
  <c r="AC178" i="2"/>
  <c r="AC152" i="2"/>
  <c r="AC201" i="2"/>
  <c r="AC291" i="2"/>
  <c r="AF291" i="2" s="1"/>
  <c r="AG291" i="2" s="1"/>
  <c r="AA70" i="2"/>
  <c r="Z297" i="2"/>
  <c r="AA297" i="2"/>
  <c r="AC243" i="2"/>
  <c r="AF243" i="2" s="1"/>
  <c r="AG243" i="2" s="1"/>
  <c r="AC19" i="2"/>
  <c r="AF19" i="2" s="1"/>
  <c r="AG19" i="2" s="1"/>
  <c r="Z275" i="2"/>
  <c r="AC93" i="2"/>
  <c r="Z280" i="2"/>
  <c r="AC280" i="2"/>
  <c r="AF280" i="2" s="1"/>
  <c r="AG280" i="2" s="1"/>
  <c r="AA280" i="2"/>
  <c r="AC133" i="2"/>
  <c r="AC48" i="2"/>
  <c r="AF48" i="2" s="1"/>
  <c r="AG48" i="2" s="1"/>
  <c r="AC219" i="2"/>
  <c r="AF219" i="2" s="1"/>
  <c r="AG219" i="2" s="1"/>
  <c r="Z39" i="2"/>
  <c r="AA39" i="2"/>
  <c r="AC73" i="2"/>
  <c r="AC61" i="2"/>
  <c r="AA216" i="2"/>
  <c r="AC216" i="2"/>
  <c r="AF216" i="2" s="1"/>
  <c r="AG216" i="2" s="1"/>
  <c r="Z216" i="2"/>
  <c r="AC58" i="2"/>
  <c r="Z293" i="2"/>
  <c r="AC293" i="2"/>
  <c r="AF293" i="2" s="1"/>
  <c r="AG293" i="2" s="1"/>
  <c r="AA293" i="2"/>
  <c r="AC198" i="2"/>
  <c r="Z238" i="2"/>
  <c r="AC238" i="2"/>
  <c r="AF238" i="2" s="1"/>
  <c r="AG238" i="2" s="1"/>
  <c r="AA238" i="2"/>
  <c r="AC259" i="2"/>
  <c r="AF259" i="2" s="1"/>
  <c r="AG259" i="2" s="1"/>
  <c r="AA186" i="2"/>
  <c r="AC186" i="2"/>
  <c r="AC170" i="2"/>
  <c r="AC274" i="2"/>
  <c r="AF274" i="2" s="1"/>
  <c r="AG274" i="2" s="1"/>
  <c r="AC222" i="2"/>
  <c r="AF222" i="2" s="1"/>
  <c r="AG222" i="2" s="1"/>
  <c r="AC262" i="2"/>
  <c r="AF262" i="2" s="1"/>
  <c r="AG262" i="2" s="1"/>
  <c r="AC248" i="2"/>
  <c r="AF248" i="2" s="1"/>
  <c r="AG248" i="2" s="1"/>
  <c r="AC250" i="2"/>
  <c r="AF250" i="2" s="1"/>
  <c r="AG250" i="2" s="1"/>
  <c r="AC103" i="2"/>
  <c r="AC172" i="2"/>
  <c r="AC175" i="2"/>
  <c r="AC173" i="2"/>
  <c r="AC276" i="2"/>
  <c r="AF276" i="2" s="1"/>
  <c r="AG276" i="2" s="1"/>
  <c r="AC65" i="2"/>
  <c r="AC123" i="2"/>
  <c r="AC204" i="2"/>
  <c r="AC81" i="2"/>
  <c r="AF81" i="2" s="1"/>
  <c r="AG81" i="2" s="1"/>
  <c r="AC91" i="2"/>
  <c r="AC76" i="2"/>
  <c r="AC35" i="2"/>
  <c r="AF35" i="2" s="1"/>
  <c r="AG35" i="2" s="1"/>
  <c r="AC27" i="2"/>
  <c r="AF27" i="2" s="1"/>
  <c r="AG27" i="2" s="1"/>
  <c r="AC21" i="2"/>
  <c r="AF21" i="2" s="1"/>
  <c r="AG21" i="2" s="1"/>
  <c r="Z20" i="2"/>
  <c r="AA20" i="2"/>
  <c r="AC20" i="2"/>
  <c r="AF20" i="2" s="1"/>
  <c r="AG20" i="2" s="1"/>
  <c r="AC164" i="2"/>
  <c r="AC72" i="2"/>
  <c r="AF72" i="2" s="1"/>
  <c r="AG72" i="2" s="1"/>
  <c r="AC182" i="2"/>
  <c r="AC115" i="2"/>
  <c r="AC169" i="2"/>
  <c r="Z51" i="2"/>
  <c r="AA51" i="2"/>
  <c r="AC23" i="2"/>
  <c r="AF23" i="2" s="1"/>
  <c r="AG23" i="2" s="1"/>
  <c r="AC226" i="2"/>
  <c r="AF226" i="2" s="1"/>
  <c r="AG226" i="2" s="1"/>
  <c r="AA265" i="2"/>
  <c r="Z265" i="2"/>
  <c r="Z234" i="2"/>
  <c r="AA234" i="2"/>
  <c r="Z298" i="2"/>
  <c r="AA298" i="2"/>
  <c r="Y200" i="2"/>
  <c r="S200" i="2"/>
  <c r="AA189" i="2"/>
  <c r="Z40" i="2"/>
  <c r="AA40" i="2"/>
  <c r="AA235" i="2"/>
  <c r="Z235" i="2"/>
  <c r="AA62" i="2"/>
  <c r="AC62" i="2"/>
  <c r="Z255" i="2"/>
  <c r="AA255" i="2"/>
  <c r="Z44" i="2"/>
  <c r="AA44" i="2"/>
  <c r="AA180" i="2"/>
  <c r="Z49" i="2"/>
  <c r="AA49" i="2"/>
  <c r="AC49" i="2"/>
  <c r="AF49" i="2" s="1"/>
  <c r="AG49" i="2" s="1"/>
  <c r="AA183" i="2"/>
  <c r="AC11" i="2"/>
  <c r="AF11" i="2" s="1"/>
  <c r="AG11" i="2" s="1"/>
  <c r="Z11" i="2"/>
  <c r="AA11" i="2"/>
  <c r="AA196" i="2"/>
  <c r="Z263" i="2"/>
  <c r="AA263" i="2"/>
  <c r="AA146" i="2"/>
  <c r="AC146" i="2"/>
  <c r="AA119" i="2"/>
  <c r="AA96" i="2"/>
  <c r="AA104" i="2"/>
  <c r="S52" i="2"/>
  <c r="Y52" i="2"/>
  <c r="AA92" i="2"/>
  <c r="S269" i="2"/>
  <c r="Y269" i="2"/>
  <c r="Q269" i="2"/>
  <c r="AA142" i="2"/>
  <c r="Y171" i="2"/>
  <c r="S171" i="2"/>
  <c r="AC227" i="2"/>
  <c r="AF227" i="2" s="1"/>
  <c r="AG227" i="2" s="1"/>
  <c r="AA227" i="2"/>
  <c r="Z227" i="2"/>
  <c r="Y174" i="2"/>
  <c r="S174" i="2"/>
  <c r="AA90" i="2"/>
  <c r="AA220" i="2"/>
  <c r="Z220" i="2"/>
  <c r="Z268" i="2"/>
  <c r="AA268" i="2"/>
  <c r="AA66" i="2"/>
  <c r="Z241" i="2"/>
  <c r="AA241" i="2"/>
  <c r="AA205" i="2"/>
  <c r="AA82" i="2"/>
  <c r="AA136" i="2"/>
  <c r="S187" i="2"/>
  <c r="Q187" i="2"/>
  <c r="Y187" i="2"/>
  <c r="AA25" i="2"/>
  <c r="AC25" i="2"/>
  <c r="AF25" i="2" s="1"/>
  <c r="AG25" i="2" s="1"/>
  <c r="Z25" i="2"/>
  <c r="AA148" i="2"/>
  <c r="AC148" i="2"/>
  <c r="AA213" i="2"/>
  <c r="Z213" i="2"/>
  <c r="AC213" i="2"/>
  <c r="AF213" i="2" s="1"/>
  <c r="AG213" i="2" s="1"/>
  <c r="AA240" i="2"/>
  <c r="Z240" i="2"/>
  <c r="S135" i="2"/>
  <c r="Y135" i="2"/>
  <c r="S181" i="2"/>
  <c r="Y181" i="2"/>
  <c r="AA7" i="2"/>
  <c r="Z7" i="2"/>
  <c r="S126" i="2"/>
  <c r="Y126" i="2"/>
  <c r="AC232" i="2"/>
  <c r="AF232" i="2" s="1"/>
  <c r="AG232" i="2" s="1"/>
  <c r="AA232" i="2"/>
  <c r="Z232" i="2"/>
  <c r="AA156" i="2"/>
  <c r="AC156" i="2"/>
  <c r="AA111" i="2"/>
  <c r="AC111" i="2"/>
  <c r="Q214" i="2"/>
  <c r="Y214" i="2"/>
  <c r="S214" i="2"/>
  <c r="AA144" i="2"/>
  <c r="Z144" i="2"/>
  <c r="AA124" i="2"/>
  <c r="AA157" i="2"/>
  <c r="Z224" i="2"/>
  <c r="AA224" i="2"/>
  <c r="Y132" i="2"/>
  <c r="S132" i="2"/>
  <c r="AA85" i="2"/>
  <c r="Z249" i="2"/>
  <c r="AA249" i="2"/>
  <c r="AA202" i="2"/>
  <c r="S179" i="2"/>
  <c r="Y179" i="2"/>
  <c r="AA130" i="2"/>
  <c r="AC14" i="2"/>
  <c r="AF14" i="2" s="1"/>
  <c r="AG14" i="2" s="1"/>
  <c r="AA14" i="2"/>
  <c r="Z14" i="2"/>
  <c r="AA127" i="2"/>
  <c r="AA101" i="2"/>
  <c r="Y185" i="2"/>
  <c r="S185" i="2"/>
  <c r="AA245" i="2"/>
  <c r="Z245" i="2"/>
  <c r="AC245" i="2"/>
  <c r="AF245" i="2" s="1"/>
  <c r="AG245" i="2" s="1"/>
  <c r="AA296" i="2"/>
  <c r="Z296" i="2"/>
  <c r="AA6" i="2"/>
  <c r="Z6" i="2"/>
  <c r="Z286" i="2"/>
  <c r="AA286" i="2"/>
  <c r="AA242" i="2"/>
  <c r="Z242" i="2"/>
  <c r="AC242" i="2"/>
  <c r="AF242" i="2" s="1"/>
  <c r="AG242" i="2" s="1"/>
  <c r="AA160" i="2"/>
  <c r="AC160" i="2"/>
  <c r="Y161" i="2"/>
  <c r="S161" i="2"/>
  <c r="AA159" i="2"/>
  <c r="AC159" i="2"/>
  <c r="AA89" i="2"/>
  <c r="Z89" i="2"/>
  <c r="AA107" i="2"/>
  <c r="Z12" i="2"/>
  <c r="AA12" i="2"/>
  <c r="AA99" i="2"/>
  <c r="S137" i="2"/>
  <c r="Y137" i="2"/>
  <c r="AA78" i="2"/>
  <c r="Q117" i="2"/>
  <c r="S117" i="2"/>
  <c r="Y117" i="2"/>
  <c r="Y184" i="2"/>
  <c r="S184" i="2"/>
  <c r="AA8" i="2"/>
  <c r="Z8" i="2"/>
  <c r="S228" i="2"/>
  <c r="Y228" i="2"/>
  <c r="Q228" i="2"/>
  <c r="AA272" i="2"/>
  <c r="Z272" i="2"/>
  <c r="AA254" i="2"/>
  <c r="Z254" i="2"/>
  <c r="S195" i="2"/>
  <c r="Y195" i="2"/>
  <c r="AC125" i="2"/>
  <c r="AA125" i="2"/>
  <c r="Z294" i="2"/>
  <c r="AA294" i="2"/>
  <c r="Z277" i="2"/>
  <c r="AA277" i="2"/>
  <c r="AA256" i="2"/>
  <c r="AC256" i="2"/>
  <c r="AF256" i="2" s="1"/>
  <c r="AG256" i="2" s="1"/>
  <c r="Z256" i="2"/>
  <c r="AC279" i="2"/>
  <c r="AF279" i="2" s="1"/>
  <c r="AG279" i="2" s="1"/>
  <c r="Z279" i="2"/>
  <c r="AA279" i="2"/>
  <c r="AA162" i="2"/>
  <c r="AA230" i="2"/>
  <c r="AC230" i="2"/>
  <c r="Z145" i="2"/>
  <c r="AA145" i="2"/>
  <c r="AA122" i="2"/>
  <c r="Z295" i="2"/>
  <c r="AA295" i="2"/>
  <c r="AA199" i="2"/>
  <c r="Z22" i="2"/>
  <c r="AA22" i="2"/>
  <c r="AC22" i="2"/>
  <c r="AF22" i="2" s="1"/>
  <c r="AG22" i="2" s="1"/>
  <c r="AA147" i="2"/>
  <c r="AC147" i="2"/>
  <c r="AA87" i="2"/>
  <c r="Z282" i="2"/>
  <c r="AA282" i="2"/>
  <c r="AA176" i="2"/>
  <c r="Z176" i="2"/>
  <c r="AA120" i="2"/>
  <c r="S166" i="2"/>
  <c r="Y166" i="2"/>
  <c r="Z80" i="2"/>
  <c r="AA80" i="2"/>
  <c r="AA267" i="2"/>
  <c r="Z267" i="2"/>
  <c r="AA266" i="2"/>
  <c r="Z266" i="2"/>
  <c r="AC266" i="2"/>
  <c r="AF266" i="2" s="1"/>
  <c r="AG266" i="2" s="1"/>
  <c r="AA258" i="2"/>
  <c r="AC258" i="2"/>
  <c r="AF258" i="2" s="1"/>
  <c r="AG258" i="2" s="1"/>
  <c r="Z258" i="2"/>
  <c r="Z32" i="2"/>
  <c r="AA32" i="2"/>
  <c r="AA47" i="2"/>
  <c r="Z47" i="2"/>
  <c r="AA42" i="2"/>
  <c r="Z42" i="2"/>
  <c r="AC42" i="2"/>
  <c r="AF42" i="2" s="1"/>
  <c r="AG42" i="2" s="1"/>
  <c r="Z231" i="2"/>
  <c r="AA231" i="2"/>
  <c r="Z273" i="2"/>
  <c r="AA273" i="2"/>
  <c r="AA292" i="2"/>
  <c r="AC292" i="2"/>
  <c r="AF292" i="2" s="1"/>
  <c r="AG292" i="2" s="1"/>
  <c r="Z292" i="2"/>
  <c r="AC36" i="2" l="1"/>
  <c r="AF36" i="2" s="1"/>
  <c r="AG36" i="2" s="1"/>
  <c r="AC104" i="2"/>
  <c r="AC7" i="2"/>
  <c r="AF7" i="2" s="1"/>
  <c r="AG7" i="2" s="1"/>
  <c r="AC120" i="2"/>
  <c r="AC107" i="2"/>
  <c r="AC124" i="2"/>
  <c r="AC268" i="2"/>
  <c r="AF268" i="2" s="1"/>
  <c r="AG268" i="2" s="1"/>
  <c r="AC282" i="2"/>
  <c r="AF282" i="2" s="1"/>
  <c r="AG282" i="2" s="1"/>
  <c r="AC89" i="2"/>
  <c r="AF89" i="2" s="1"/>
  <c r="AG89" i="2" s="1"/>
  <c r="AC79" i="2"/>
  <c r="AF79" i="2" s="1"/>
  <c r="AG79" i="2" s="1"/>
  <c r="AC240" i="2"/>
  <c r="AF240" i="2" s="1"/>
  <c r="AG240" i="2" s="1"/>
  <c r="AC270" i="2"/>
  <c r="AF270" i="2" s="1"/>
  <c r="AG270" i="2" s="1"/>
  <c r="AC47" i="2"/>
  <c r="AF47" i="2" s="1"/>
  <c r="AG47" i="2" s="1"/>
  <c r="AC32" i="2"/>
  <c r="AF32" i="2" s="1"/>
  <c r="AG32" i="2" s="1"/>
  <c r="AC127" i="2"/>
  <c r="AC90" i="2"/>
  <c r="AC235" i="2"/>
  <c r="AF235" i="2" s="1"/>
  <c r="AG235" i="2" s="1"/>
  <c r="AC263" i="2"/>
  <c r="AF263" i="2" s="1"/>
  <c r="AG263" i="2" s="1"/>
  <c r="AC277" i="2"/>
  <c r="AF277" i="2" s="1"/>
  <c r="AG277" i="2" s="1"/>
  <c r="AC281" i="2"/>
  <c r="AF281" i="2" s="1"/>
  <c r="AG281" i="2" s="1"/>
  <c r="AC189" i="2"/>
  <c r="AC225" i="2"/>
  <c r="AC229" i="2"/>
  <c r="AF229" i="2" s="1"/>
  <c r="AG229" i="2" s="1"/>
  <c r="AC39" i="2"/>
  <c r="AF39" i="2" s="1"/>
  <c r="AG39" i="2" s="1"/>
  <c r="AC295" i="2"/>
  <c r="AF295" i="2" s="1"/>
  <c r="AG295" i="2" s="1"/>
  <c r="AC202" i="2"/>
  <c r="AC5" i="2"/>
  <c r="AF5" i="2" s="1"/>
  <c r="AG5" i="2" s="1"/>
  <c r="AC191" i="2"/>
  <c r="AC101" i="2"/>
  <c r="AC119" i="2"/>
  <c r="AC10" i="2"/>
  <c r="AF10" i="2" s="1"/>
  <c r="AG10" i="2" s="1"/>
  <c r="AC220" i="2"/>
  <c r="AF220" i="2" s="1"/>
  <c r="AG220" i="2" s="1"/>
  <c r="AC8" i="2"/>
  <c r="AF8" i="2" s="1"/>
  <c r="AG8" i="2" s="1"/>
  <c r="AC40" i="2"/>
  <c r="AF40" i="2" s="1"/>
  <c r="AG40" i="2" s="1"/>
  <c r="AC130" i="2"/>
  <c r="AC196" i="2"/>
  <c r="AC297" i="2"/>
  <c r="AF297" i="2" s="1"/>
  <c r="AG297" i="2" s="1"/>
  <c r="AC199" i="2"/>
  <c r="AC37" i="2"/>
  <c r="AF37" i="2" s="1"/>
  <c r="AG37" i="2" s="1"/>
  <c r="AC286" i="2"/>
  <c r="AF286" i="2" s="1"/>
  <c r="AG286" i="2" s="1"/>
  <c r="AC249" i="2"/>
  <c r="AF249" i="2" s="1"/>
  <c r="AG249" i="2" s="1"/>
  <c r="AC183" i="2"/>
  <c r="AC267" i="2"/>
  <c r="AF267" i="2" s="1"/>
  <c r="AG267" i="2" s="1"/>
  <c r="AC122" i="2"/>
  <c r="AC234" i="2"/>
  <c r="AF234" i="2" s="1"/>
  <c r="AG234" i="2" s="1"/>
  <c r="AC24" i="2"/>
  <c r="AF24" i="2" s="1"/>
  <c r="AG24" i="2" s="1"/>
  <c r="AC80" i="2"/>
  <c r="AF80" i="2" s="1"/>
  <c r="AG80" i="2" s="1"/>
  <c r="AC113" i="2"/>
  <c r="AC85" i="2"/>
  <c r="AC136" i="2"/>
  <c r="AC273" i="2"/>
  <c r="AF273" i="2" s="1"/>
  <c r="AG273" i="2" s="1"/>
  <c r="AC145" i="2"/>
  <c r="AF145" i="2" s="1"/>
  <c r="AG145" i="2" s="1"/>
  <c r="AC6" i="2"/>
  <c r="AF6" i="2" s="1"/>
  <c r="AG6" i="2" s="1"/>
  <c r="AC82" i="2"/>
  <c r="AC254" i="2"/>
  <c r="AF254" i="2" s="1"/>
  <c r="AG254" i="2" s="1"/>
  <c r="AC12" i="2"/>
  <c r="AF12" i="2" s="1"/>
  <c r="AG12" i="2" s="1"/>
  <c r="AC296" i="2"/>
  <c r="AF296" i="2" s="1"/>
  <c r="AG296" i="2" s="1"/>
  <c r="AC224" i="2"/>
  <c r="AF224" i="2" s="1"/>
  <c r="AG224" i="2" s="1"/>
  <c r="AC241" i="2"/>
  <c r="AF241" i="2" s="1"/>
  <c r="AG241" i="2" s="1"/>
  <c r="AC92" i="2"/>
  <c r="AC180" i="2"/>
  <c r="AC144" i="2"/>
  <c r="AF144" i="2" s="1"/>
  <c r="AG144" i="2" s="1"/>
  <c r="AC99" i="2"/>
  <c r="AC272" i="2"/>
  <c r="AF272" i="2" s="1"/>
  <c r="AG272" i="2" s="1"/>
  <c r="AC44" i="2"/>
  <c r="AF44" i="2" s="1"/>
  <c r="AG44" i="2" s="1"/>
  <c r="AC96" i="2"/>
  <c r="AC231" i="2"/>
  <c r="AF231" i="2" s="1"/>
  <c r="AG231" i="2" s="1"/>
  <c r="AC45" i="2"/>
  <c r="AF45" i="2" s="1"/>
  <c r="AG45" i="2" s="1"/>
  <c r="AC157" i="2"/>
  <c r="AC66" i="2"/>
  <c r="AC51" i="2"/>
  <c r="AF51" i="2" s="1"/>
  <c r="AG51" i="2" s="1"/>
  <c r="AC87" i="2"/>
  <c r="AC205" i="2"/>
  <c r="AC162" i="2"/>
  <c r="AC176" i="2"/>
  <c r="AF176" i="2" s="1"/>
  <c r="AG176" i="2" s="1"/>
  <c r="AC244" i="2"/>
  <c r="AF244" i="2" s="1"/>
  <c r="AG244" i="2" s="1"/>
  <c r="AC255" i="2"/>
  <c r="AF255" i="2" s="1"/>
  <c r="AG255" i="2" s="1"/>
  <c r="AA132" i="2"/>
  <c r="AA185" i="2"/>
  <c r="AA126" i="2"/>
  <c r="AA171" i="2"/>
  <c r="AA179" i="2"/>
  <c r="Z269" i="2"/>
  <c r="AA269" i="2"/>
  <c r="Z117" i="2"/>
  <c r="AA117" i="2"/>
  <c r="AA161" i="2"/>
  <c r="Z187" i="2"/>
  <c r="AA187" i="2"/>
  <c r="AA174" i="2"/>
  <c r="AA137" i="2"/>
  <c r="Z228" i="2"/>
  <c r="AA228" i="2"/>
  <c r="AA166" i="2"/>
  <c r="Z214" i="2"/>
  <c r="AA214" i="2"/>
  <c r="AA52" i="2"/>
  <c r="AA181" i="2"/>
  <c r="AA195" i="2"/>
  <c r="AA135" i="2"/>
  <c r="AA184" i="2"/>
  <c r="AA200" i="2"/>
  <c r="AC195" i="2" l="1"/>
  <c r="AC171" i="2"/>
  <c r="AC265" i="2"/>
  <c r="AF265" i="2" s="1"/>
  <c r="AG265" i="2" s="1"/>
  <c r="AC135" i="2"/>
  <c r="AC117" i="2"/>
  <c r="AF117" i="2" s="1"/>
  <c r="AG117" i="2" s="1"/>
  <c r="AC294" i="2"/>
  <c r="AF294" i="2" s="1"/>
  <c r="AG294" i="2" s="1"/>
  <c r="AC181" i="2"/>
  <c r="AC52" i="2"/>
  <c r="AC70" i="2"/>
  <c r="AC228" i="2"/>
  <c r="AF228" i="2" s="1"/>
  <c r="AG228" i="2" s="1"/>
  <c r="AC126" i="2"/>
  <c r="AC185" i="2"/>
  <c r="AC132" i="2"/>
  <c r="AC269" i="2"/>
  <c r="AF269" i="2" s="1"/>
  <c r="AG269" i="2" s="1"/>
  <c r="AC179" i="2"/>
  <c r="AC166" i="2"/>
  <c r="AC30" i="2"/>
  <c r="AF30" i="2" s="1"/>
  <c r="AG30" i="2" s="1"/>
  <c r="AC139" i="2"/>
  <c r="AC78" i="2"/>
  <c r="AC142" i="2"/>
  <c r="AC214" i="2"/>
  <c r="AF214" i="2" s="1"/>
  <c r="AG214" i="2" s="1"/>
  <c r="AC253" i="2"/>
  <c r="AF253" i="2" s="1"/>
  <c r="AG253" i="2" s="1"/>
  <c r="AC137" i="2"/>
  <c r="AC174" i="2"/>
  <c r="AC187" i="2"/>
  <c r="AF187" i="2" s="1"/>
  <c r="AG187" i="2" s="1"/>
  <c r="AC200" i="2"/>
  <c r="AC184" i="2"/>
  <c r="AC298" i="2"/>
  <c r="AF298" i="2" s="1"/>
  <c r="AG298" i="2" s="1"/>
  <c r="AC161" i="2"/>
  <c r="AC16" i="2" l="1"/>
  <c r="AF16" i="2" s="1"/>
  <c r="AG1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SpreadsheetLight</author>
  </authors>
  <commentList>
    <comment ref="D1" authorId="0" shapeId="0" xr:uid="{00000000-0006-0000-0000-000001000000}">
      <text>
        <r>
          <rPr>
            <sz val="11"/>
            <color theme="1"/>
            <rFont val="Calibri"/>
            <scheme val="minor"/>
          </rPr>
          <t>Unid. Vendidas del Mes 8 / Dias con Stk sobre el Quiebre / Estacionalidad del Mes</t>
        </r>
      </text>
    </comment>
    <comment ref="E1" authorId="0" shapeId="0" xr:uid="{00000000-0006-0000-0000-000002000000}">
      <text>
        <r>
          <rPr>
            <sz val="11"/>
            <color theme="1"/>
            <rFont val="Calibri"/>
            <scheme val="minor"/>
          </rPr>
          <t>Unid. Vendidas del Mes 9 / Dias con Stk sobre el Quiebre / Estacionalidad del Mes</t>
        </r>
      </text>
    </comment>
    <comment ref="F1" authorId="0" shapeId="0" xr:uid="{00000000-0006-0000-0000-000003000000}">
      <text>
        <r>
          <rPr>
            <sz val="11"/>
            <color theme="1"/>
            <rFont val="Calibri"/>
            <scheme val="minor"/>
          </rPr>
          <t>Unid. Vendidas del Mes 10 / Dias con Stk sobre el Quiebre / Estacionalidad del Mes</t>
        </r>
      </text>
    </comment>
    <comment ref="G1" authorId="0" shapeId="0" xr:uid="{00000000-0006-0000-0000-000004000000}">
      <text>
        <r>
          <rPr>
            <sz val="11"/>
            <color theme="1"/>
            <rFont val="Calibri"/>
            <scheme val="minor"/>
          </rPr>
          <t>Unid. Vendidas del Mes 11 / Dias con Stk sobre el Quiebre / Estacionalidad del Mes</t>
        </r>
      </text>
    </comment>
    <comment ref="H1" authorId="0" shapeId="0" xr:uid="{00000000-0006-0000-0000-000005000000}">
      <text>
        <r>
          <rPr>
            <sz val="11"/>
            <color theme="1"/>
            <rFont val="Calibri"/>
            <scheme val="minor"/>
          </rPr>
          <t>Unid. Vendidas del Mes 12 / Dias con Stk sobre el Quiebre / Estacionalidad del Mes</t>
        </r>
      </text>
    </comment>
    <comment ref="I1" authorId="0" shapeId="0" xr:uid="{00000000-0006-0000-0000-000006000000}">
      <text>
        <r>
          <rPr>
            <sz val="11"/>
            <color theme="1"/>
            <rFont val="Calibri"/>
            <scheme val="minor"/>
          </rPr>
          <t>Unid. Vendidas del Mes 1 / Dias con Stk sobre el Quiebre / Estacionalidad del Mes</t>
        </r>
      </text>
    </comment>
    <comment ref="J1" authorId="0" shapeId="0" xr:uid="{00000000-0006-0000-0000-000007000000}">
      <text>
        <r>
          <rPr>
            <sz val="11"/>
            <color theme="1"/>
            <rFont val="Calibri"/>
            <scheme val="minor"/>
          </rPr>
          <t>Unid. Vendidas del Mes 2 / Dias con Stk sobre el Quiebre / Estacionalidad del Mes</t>
        </r>
      </text>
    </comment>
    <comment ref="K1" authorId="0" shapeId="0" xr:uid="{00000000-0006-0000-0000-000008000000}">
      <text>
        <r>
          <rPr>
            <sz val="11"/>
            <color theme="1"/>
            <rFont val="Calibri"/>
            <scheme val="minor"/>
          </rPr>
          <t>Unid. Vendidas del Mes 3 / Dias con Stk sobre el Quiebre / Estacionalidad del Mes</t>
        </r>
      </text>
    </comment>
    <comment ref="L1" authorId="0" shapeId="0" xr:uid="{00000000-0006-0000-0000-000009000000}">
      <text>
        <r>
          <rPr>
            <sz val="11"/>
            <color theme="1"/>
            <rFont val="Calibri"/>
            <scheme val="minor"/>
          </rPr>
          <t>Unid. Vendidas del Mes 4 / Dias con Stk sobre el Quiebre / Estacionalidad del Mes</t>
        </r>
      </text>
    </comment>
    <comment ref="M1" authorId="0" shapeId="0" xr:uid="{00000000-0006-0000-0000-00000A000000}">
      <text>
        <r>
          <rPr>
            <sz val="11"/>
            <color theme="1"/>
            <rFont val="Calibri"/>
            <scheme val="minor"/>
          </rPr>
          <t>Unid. Vendidas del Mes 5 / Dias con Stk sobre el Quiebre / Estacionalidad del Mes</t>
        </r>
      </text>
    </comment>
    <comment ref="N1" authorId="0" shapeId="0" xr:uid="{00000000-0006-0000-0000-00000B000000}">
      <text>
        <r>
          <rPr>
            <sz val="11"/>
            <color theme="1"/>
            <rFont val="Calibri"/>
            <scheme val="minor"/>
          </rPr>
          <t>Unid. Vendidas del Mes 6 / Dias con Stk sobre el Quiebre / Estacionalidad del Mes</t>
        </r>
      </text>
    </comment>
    <comment ref="O1" authorId="0" shapeId="0" xr:uid="{00000000-0006-0000-0000-00000C000000}">
      <text>
        <r>
          <rPr>
            <sz val="11"/>
            <color theme="1"/>
            <rFont val="Calibri"/>
            <scheme val="minor"/>
          </rPr>
          <t>Unid. Vendidas del Mes 7 / Dias con Stk sobre el Quiebre / Estacionalidad del Mes</t>
        </r>
      </text>
    </comment>
    <comment ref="P1" authorId="0" shapeId="0" xr:uid="{00000000-0006-0000-0000-00000D000000}">
      <text>
        <r>
          <rPr>
            <sz val="11"/>
            <color theme="1"/>
            <rFont val="Calibri"/>
            <scheme val="minor"/>
          </rPr>
          <t>Unid. Vendidas del Mes 8 / Dias con Stk sobre el Quiebre / Estacionalidad del Mes</t>
        </r>
      </text>
    </comment>
    <comment ref="Q1" authorId="0" shapeId="0" xr:uid="{00000000-0006-0000-0000-00000E000000}">
      <text>
        <r>
          <rPr>
            <sz val="11"/>
            <color theme="1"/>
            <rFont val="Calibri"/>
            <scheme val="minor"/>
          </rPr>
          <t>Venta Estacionalizada Mes 8 / Dias con Stk sobre el Quiebre / Estacionalidad del Mes</t>
        </r>
      </text>
    </comment>
    <comment ref="R1" authorId="0" shapeId="0" xr:uid="{00000000-0006-0000-0000-00000F000000}">
      <text>
        <r>
          <rPr>
            <sz val="11"/>
            <color theme="1"/>
            <rFont val="Calibri"/>
            <scheme val="minor"/>
          </rPr>
          <t>Venta Estacionalizada Mes 9 / Dias con Stk sobre el Quiebre / Estacionalidad del Mes</t>
        </r>
      </text>
    </comment>
    <comment ref="S1" authorId="0" shapeId="0" xr:uid="{00000000-0006-0000-0000-000010000000}">
      <text>
        <r>
          <rPr>
            <sz val="11"/>
            <color theme="1"/>
            <rFont val="Calibri"/>
            <scheme val="minor"/>
          </rPr>
          <t>Venta Estacionalizada Mes 10 / Dias con Stk sobre el Quiebre / Estacionalidad del Mes</t>
        </r>
      </text>
    </comment>
    <comment ref="T1" authorId="0" shapeId="0" xr:uid="{00000000-0006-0000-0000-000011000000}">
      <text>
        <r>
          <rPr>
            <sz val="11"/>
            <color theme="1"/>
            <rFont val="Calibri"/>
            <scheme val="minor"/>
          </rPr>
          <t>Venta Estacionalizada Mes 11 / Dias con Stk sobre el Quiebre / Estacionalidad del Mes</t>
        </r>
      </text>
    </comment>
    <comment ref="U1" authorId="0" shapeId="0" xr:uid="{00000000-0006-0000-0000-000012000000}">
      <text>
        <r>
          <rPr>
            <sz val="11"/>
            <color theme="1"/>
            <rFont val="Calibri"/>
            <scheme val="minor"/>
          </rPr>
          <t>Venta Estacionalizada Mes 12 / Dias con Stk sobre el Quiebre / Estacionalidad del Mes</t>
        </r>
      </text>
    </comment>
    <comment ref="V1" authorId="0" shapeId="0" xr:uid="{00000000-0006-0000-0000-000013000000}">
      <text>
        <r>
          <rPr>
            <sz val="11"/>
            <color theme="1"/>
            <rFont val="Calibri"/>
            <scheme val="minor"/>
          </rPr>
          <t>Venta Estacionalizada Mes 1 / Dias con Stk sobre el Quiebre / Estacionalidad del Mes</t>
        </r>
      </text>
    </comment>
    <comment ref="W1" authorId="0" shapeId="0" xr:uid="{00000000-0006-0000-0000-000014000000}">
      <text>
        <r>
          <rPr>
            <sz val="11"/>
            <color theme="1"/>
            <rFont val="Calibri"/>
            <scheme val="minor"/>
          </rPr>
          <t>Venta Estacionalizada Mes 2 / Dias con Stk sobre el Quiebre / Estacionalidad del Mes</t>
        </r>
      </text>
    </comment>
    <comment ref="X1" authorId="0" shapeId="0" xr:uid="{00000000-0006-0000-0000-000015000000}">
      <text>
        <r>
          <rPr>
            <sz val="11"/>
            <color theme="1"/>
            <rFont val="Calibri"/>
            <scheme val="minor"/>
          </rPr>
          <t>Venta Estacionalizada Mes 3 / Dias con Stk sobre el Quiebre / Estacionalidad del Mes</t>
        </r>
      </text>
    </comment>
    <comment ref="Y1" authorId="0" shapeId="0" xr:uid="{00000000-0006-0000-0000-000016000000}">
      <text>
        <r>
          <rPr>
            <sz val="11"/>
            <color theme="1"/>
            <rFont val="Calibri"/>
            <scheme val="minor"/>
          </rPr>
          <t>Venta Estacionalizada Mes 4 / Dias con Stk sobre el Quiebre / Estacionalidad del Mes</t>
        </r>
      </text>
    </comment>
    <comment ref="Z1" authorId="0" shapeId="0" xr:uid="{00000000-0006-0000-0000-000017000000}">
      <text>
        <r>
          <rPr>
            <sz val="11"/>
            <color theme="1"/>
            <rFont val="Calibri"/>
            <scheme val="minor"/>
          </rPr>
          <t>Venta Estacionalizada Mes 5 / Dias con Stk sobre el Quiebre / Estacionalidad del Mes</t>
        </r>
      </text>
    </comment>
    <comment ref="AA1" authorId="0" shapeId="0" xr:uid="{00000000-0006-0000-0000-000018000000}">
      <text>
        <r>
          <rPr>
            <sz val="11"/>
            <color theme="1"/>
            <rFont val="Calibri"/>
            <scheme val="minor"/>
          </rPr>
          <t>Venta Estacionalizada Mes 6 / Dias con Stk sobre el Quiebre / Estacionalidad del Mes</t>
        </r>
      </text>
    </comment>
    <comment ref="AB1" authorId="0" shapeId="0" xr:uid="{00000000-0006-0000-0000-000019000000}">
      <text>
        <r>
          <rPr>
            <sz val="11"/>
            <color theme="1"/>
            <rFont val="Calibri"/>
            <scheme val="minor"/>
          </rPr>
          <t>Venta Estacionalizada Mes 7 / Dias con Stk sobre el Quiebre / Estacionalidad del Mes</t>
        </r>
      </text>
    </comment>
    <comment ref="AC1" authorId="0" shapeId="0" xr:uid="{00000000-0006-0000-0000-00001A000000}">
      <text>
        <r>
          <rPr>
            <sz val="11"/>
            <color theme="1"/>
            <rFont val="Calibri"/>
            <scheme val="minor"/>
          </rPr>
          <t>Venta Estacionalizada Mes 8 / Dias con Stk sobre el Quiebre / Estacionalidad del Mes</t>
        </r>
      </text>
    </comment>
    <comment ref="AD1" authorId="0" shapeId="0" xr:uid="{00000000-0006-0000-0000-00001B000000}">
      <text>
        <r>
          <rPr>
            <sz val="11"/>
            <color theme="1"/>
            <rFont val="Calibri"/>
            <scheme val="minor"/>
          </rPr>
          <t>Promedio de todos los Meses, menos el ultimo</t>
        </r>
      </text>
    </comment>
    <comment ref="AE1" authorId="0" shapeId="0" xr:uid="{00000000-0006-0000-0000-00001C000000}">
      <text>
        <r>
          <rPr>
            <sz val="11"/>
            <color theme="1"/>
            <rFont val="Calibri"/>
            <scheme val="minor"/>
          </rPr>
          <t>Valor Utilizado en la Hoja Compras (Rotacion DesEstacionalizada)</t>
        </r>
      </text>
    </comment>
    <comment ref="S3" authorId="0" shapeId="0" xr:uid="{00000000-0006-0000-0000-00001D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U3" authorId="0" shapeId="0" xr:uid="{00000000-0006-0000-0000-00001E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AA11" authorId="0" shapeId="0" xr:uid="{00000000-0006-0000-0000-00001F000000}">
      <text>
        <r>
          <rPr>
            <sz val="11"/>
            <color theme="1"/>
            <rFont val="Calibri"/>
            <scheme val="minor"/>
          </rPr>
          <t>Dias de Quiebre 27</t>
        </r>
      </text>
    </comment>
    <comment ref="R16" authorId="0" shapeId="0" xr:uid="{00000000-0006-0000-0000-000020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U16" authorId="0" shapeId="0" xr:uid="{00000000-0006-0000-0000-000021000000}">
      <text>
        <r>
          <rPr>
            <sz val="11"/>
            <color theme="1"/>
            <rFont val="Calibri"/>
            <scheme val="minor"/>
          </rPr>
          <t>Dias de Quiebre 22</t>
        </r>
      </text>
    </comment>
    <comment ref="X16" authorId="0" shapeId="0" xr:uid="{00000000-0006-0000-0000-000022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Y16" authorId="0" shapeId="0" xr:uid="{00000000-0006-0000-0000-000023000000}">
      <text>
        <r>
          <rPr>
            <sz val="11"/>
            <color theme="1"/>
            <rFont val="Calibri"/>
            <scheme val="minor"/>
          </rPr>
          <t>Dias de Quiebre 4</t>
        </r>
      </text>
    </comment>
    <comment ref="T20" authorId="0" shapeId="0" xr:uid="{00000000-0006-0000-0000-000024000000}">
      <text>
        <r>
          <rPr>
            <sz val="11"/>
            <color theme="1"/>
            <rFont val="Calibri"/>
            <scheme val="minor"/>
          </rPr>
          <t>Dias de Quiebre 14</t>
        </r>
      </text>
    </comment>
    <comment ref="U20" authorId="0" shapeId="0" xr:uid="{00000000-0006-0000-0000-000025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Y20" authorId="0" shapeId="0" xr:uid="{00000000-0006-0000-0000-000026000000}">
      <text>
        <r>
          <rPr>
            <sz val="11"/>
            <color theme="1"/>
            <rFont val="Calibri"/>
            <scheme val="minor"/>
          </rPr>
          <t>Dias de Quiebre 14</t>
        </r>
      </text>
    </comment>
    <comment ref="V26" authorId="0" shapeId="0" xr:uid="{00000000-0006-0000-0000-000027000000}">
      <text>
        <r>
          <rPr>
            <sz val="11"/>
            <color theme="1"/>
            <rFont val="Calibri"/>
            <scheme val="minor"/>
          </rPr>
          <t>Dias de Quiebre 25</t>
        </r>
      </text>
    </comment>
    <comment ref="Y30" authorId="0" shapeId="0" xr:uid="{00000000-0006-0000-0000-000028000000}">
      <text>
        <r>
          <rPr>
            <sz val="11"/>
            <color theme="1"/>
            <rFont val="Calibri"/>
            <scheme val="minor"/>
          </rPr>
          <t>Dias de Quiebre 4</t>
        </r>
      </text>
    </comment>
    <comment ref="U43" authorId="0" shapeId="0" xr:uid="{00000000-0006-0000-0000-000029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R44" authorId="0" shapeId="0" xr:uid="{00000000-0006-0000-0000-00002A000000}">
      <text>
        <r>
          <rPr>
            <sz val="11"/>
            <color theme="1"/>
            <rFont val="Calibri"/>
            <scheme val="minor"/>
          </rPr>
          <t>Dias de Quiebre 1</t>
        </r>
      </text>
    </comment>
    <comment ref="U44" authorId="0" shapeId="0" xr:uid="{00000000-0006-0000-0000-00002B000000}">
      <text>
        <r>
          <rPr>
            <sz val="11"/>
            <color theme="1"/>
            <rFont val="Calibri"/>
            <scheme val="minor"/>
          </rPr>
          <t>Dias de Quiebre 16</t>
        </r>
      </text>
    </comment>
    <comment ref="V44" authorId="0" shapeId="0" xr:uid="{00000000-0006-0000-0000-00002C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Q46" authorId="0" shapeId="0" xr:uid="{00000000-0006-0000-0000-00002D000000}">
      <text>
        <r>
          <rPr>
            <sz val="11"/>
            <color theme="1"/>
            <rFont val="Calibri"/>
            <scheme val="minor"/>
          </rPr>
          <t>Dias de Quiebre 26</t>
        </r>
      </text>
    </comment>
    <comment ref="Y47" authorId="0" shapeId="0" xr:uid="{00000000-0006-0000-0000-00002E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Y48" authorId="0" shapeId="0" xr:uid="{00000000-0006-0000-0000-00002F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Q49" authorId="0" shapeId="0" xr:uid="{00000000-0006-0000-0000-000030000000}">
      <text>
        <r>
          <rPr>
            <sz val="11"/>
            <color theme="1"/>
            <rFont val="Calibri"/>
            <scheme val="minor"/>
          </rPr>
          <t>Dias de Quiebre 25</t>
        </r>
      </text>
    </comment>
    <comment ref="R49" authorId="0" shapeId="0" xr:uid="{00000000-0006-0000-0000-000031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Q50" authorId="0" shapeId="0" xr:uid="{00000000-0006-0000-0000-000032000000}">
      <text>
        <r>
          <rPr>
            <sz val="11"/>
            <color theme="1"/>
            <rFont val="Calibri"/>
            <scheme val="minor"/>
          </rPr>
          <t>Dias de Quiebre 10</t>
        </r>
      </text>
    </comment>
    <comment ref="R50" authorId="0" shapeId="0" xr:uid="{00000000-0006-0000-0000-000033000000}">
      <text>
        <r>
          <rPr>
            <sz val="11"/>
            <color theme="1"/>
            <rFont val="Calibri"/>
            <scheme val="minor"/>
          </rPr>
          <t>Dias de Quiebre 28</t>
        </r>
      </text>
    </comment>
    <comment ref="U50" authorId="0" shapeId="0" xr:uid="{00000000-0006-0000-0000-000034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Y50" authorId="0" shapeId="0" xr:uid="{00000000-0006-0000-0000-000035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U51" authorId="0" shapeId="0" xr:uid="{00000000-0006-0000-0000-000036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U52" authorId="0" shapeId="0" xr:uid="{00000000-0006-0000-0000-000037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V53" authorId="0" shapeId="0" xr:uid="{00000000-0006-0000-0000-000038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V54" authorId="0" shapeId="0" xr:uid="{00000000-0006-0000-0000-000039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Y55" authorId="0" shapeId="0" xr:uid="{00000000-0006-0000-0000-00003A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R56" authorId="0" shapeId="0" xr:uid="{00000000-0006-0000-0000-00003B000000}">
      <text>
        <r>
          <rPr>
            <sz val="11"/>
            <color theme="1"/>
            <rFont val="Calibri"/>
            <scheme val="minor"/>
          </rPr>
          <t>Dias de Quiebre 19</t>
        </r>
      </text>
    </comment>
    <comment ref="U56" authorId="0" shapeId="0" xr:uid="{00000000-0006-0000-0000-00003C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Z63" authorId="0" shapeId="0" xr:uid="{00000000-0006-0000-0000-00003D000000}">
      <text>
        <r>
          <rPr>
            <sz val="11"/>
            <color theme="1"/>
            <rFont val="Calibri"/>
            <scheme val="minor"/>
          </rPr>
          <t>Dias de Quiebre 18</t>
        </r>
      </text>
    </comment>
    <comment ref="S64" authorId="0" shapeId="0" xr:uid="{00000000-0006-0000-0000-00003E000000}">
      <text>
        <r>
          <rPr>
            <sz val="11"/>
            <color theme="1"/>
            <rFont val="Calibri"/>
            <scheme val="minor"/>
          </rPr>
          <t>Dias de Quiebre 16</t>
        </r>
      </text>
    </comment>
    <comment ref="V64" authorId="0" shapeId="0" xr:uid="{00000000-0006-0000-0000-00003F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Y64" authorId="0" shapeId="0" xr:uid="{00000000-0006-0000-0000-000040000000}">
      <text>
        <r>
          <rPr>
            <sz val="11"/>
            <color theme="1"/>
            <rFont val="Calibri"/>
            <scheme val="minor"/>
          </rPr>
          <t>Dias de Quiebre 14</t>
        </r>
      </text>
    </comment>
    <comment ref="T67" authorId="0" shapeId="0" xr:uid="{00000000-0006-0000-0000-000041000000}">
      <text>
        <r>
          <rPr>
            <sz val="11"/>
            <color theme="1"/>
            <rFont val="Calibri"/>
            <scheme val="minor"/>
          </rPr>
          <t>Dias de Quiebre 19</t>
        </r>
      </text>
    </comment>
    <comment ref="U67" authorId="0" shapeId="0" xr:uid="{00000000-0006-0000-0000-000042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Q68" authorId="0" shapeId="0" xr:uid="{00000000-0006-0000-0000-000043000000}">
      <text>
        <r>
          <rPr>
            <sz val="11"/>
            <color theme="1"/>
            <rFont val="Calibri"/>
            <scheme val="minor"/>
          </rPr>
          <t>Dias de Quiebre 11</t>
        </r>
      </text>
    </comment>
    <comment ref="R68" authorId="0" shapeId="0" xr:uid="{00000000-0006-0000-0000-000044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T68" authorId="0" shapeId="0" xr:uid="{00000000-0006-0000-0000-000045000000}">
      <text>
        <r>
          <rPr>
            <sz val="11"/>
            <color theme="1"/>
            <rFont val="Calibri"/>
            <scheme val="minor"/>
          </rPr>
          <t>Dias de Quiebre 26</t>
        </r>
      </text>
    </comment>
    <comment ref="U68" authorId="0" shapeId="0" xr:uid="{00000000-0006-0000-0000-000046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T70" authorId="0" shapeId="0" xr:uid="{00000000-0006-0000-0000-000047000000}">
      <text>
        <r>
          <rPr>
            <sz val="11"/>
            <color theme="1"/>
            <rFont val="Calibri"/>
            <scheme val="minor"/>
          </rPr>
          <t>Dias de Quiebre 17</t>
        </r>
      </text>
    </comment>
    <comment ref="U70" authorId="0" shapeId="0" xr:uid="{00000000-0006-0000-0000-000048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R72" authorId="0" shapeId="0" xr:uid="{00000000-0006-0000-0000-000049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S72" authorId="0" shapeId="0" xr:uid="{00000000-0006-0000-0000-00004A000000}">
      <text>
        <r>
          <rPr>
            <sz val="11"/>
            <color theme="1"/>
            <rFont val="Calibri"/>
            <scheme val="minor"/>
          </rPr>
          <t>Dias de Quiebre 26</t>
        </r>
      </text>
    </comment>
    <comment ref="U72" authorId="0" shapeId="0" xr:uid="{00000000-0006-0000-0000-00004B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U73" authorId="0" shapeId="0" xr:uid="{00000000-0006-0000-0000-00004C000000}">
      <text>
        <r>
          <rPr>
            <sz val="11"/>
            <color theme="1"/>
            <rFont val="Calibri"/>
            <scheme val="minor"/>
          </rPr>
          <t>Dias de Quiebre 22</t>
        </r>
      </text>
    </comment>
    <comment ref="T74" authorId="0" shapeId="0" xr:uid="{00000000-0006-0000-0000-00004D000000}">
      <text>
        <r>
          <rPr>
            <sz val="11"/>
            <color theme="1"/>
            <rFont val="Calibri"/>
            <scheme val="minor"/>
          </rPr>
          <t>Dias de Quiebre 5</t>
        </r>
      </text>
    </comment>
    <comment ref="V74" authorId="0" shapeId="0" xr:uid="{00000000-0006-0000-0000-00004E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AA74" authorId="0" shapeId="0" xr:uid="{00000000-0006-0000-0000-00004F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Z75" authorId="0" shapeId="0" xr:uid="{00000000-0006-0000-0000-000050000000}">
      <text>
        <r>
          <rPr>
            <sz val="11"/>
            <color theme="1"/>
            <rFont val="Calibri"/>
            <scheme val="minor"/>
          </rPr>
          <t>Dias de Quiebre 26</t>
        </r>
      </text>
    </comment>
    <comment ref="Q78" authorId="0" shapeId="0" xr:uid="{00000000-0006-0000-0000-000051000000}">
      <text>
        <r>
          <rPr>
            <sz val="11"/>
            <color theme="1"/>
            <rFont val="Calibri"/>
            <scheme val="minor"/>
          </rPr>
          <t>Dias de Quiebre 27</t>
        </r>
      </text>
    </comment>
    <comment ref="U80" authorId="0" shapeId="0" xr:uid="{00000000-0006-0000-0000-000052000000}">
      <text>
        <r>
          <rPr>
            <sz val="11"/>
            <color theme="1"/>
            <rFont val="Calibri"/>
            <scheme val="minor"/>
          </rPr>
          <t>Dias de Quiebre 23</t>
        </r>
      </text>
    </comment>
    <comment ref="X90" authorId="0" shapeId="0" xr:uid="{00000000-0006-0000-0000-000053000000}">
      <text>
        <r>
          <rPr>
            <sz val="11"/>
            <color theme="1"/>
            <rFont val="Calibri"/>
            <scheme val="minor"/>
          </rPr>
          <t>Dias de Quiebre 6</t>
        </r>
      </text>
    </comment>
    <comment ref="W91" authorId="0" shapeId="0" xr:uid="{00000000-0006-0000-0000-000054000000}">
      <text>
        <r>
          <rPr>
            <sz val="11"/>
            <color theme="1"/>
            <rFont val="Calibri"/>
            <scheme val="minor"/>
          </rPr>
          <t>Dias de Quiebre 25</t>
        </r>
      </text>
    </comment>
    <comment ref="Y92" authorId="0" shapeId="0" xr:uid="{00000000-0006-0000-0000-000055000000}">
      <text>
        <r>
          <rPr>
            <sz val="11"/>
            <color theme="1"/>
            <rFont val="Calibri"/>
            <scheme val="minor"/>
          </rPr>
          <t>Dias de Quiebre 7</t>
        </r>
      </text>
    </comment>
    <comment ref="U95" authorId="0" shapeId="0" xr:uid="{00000000-0006-0000-0000-000056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U96" authorId="0" shapeId="0" xr:uid="{00000000-0006-0000-0000-000057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U99" authorId="0" shapeId="0" xr:uid="{00000000-0006-0000-0000-000058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X99" authorId="0" shapeId="0" xr:uid="{00000000-0006-0000-0000-000059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AB99" authorId="0" shapeId="0" xr:uid="{00000000-0006-0000-0000-00005A000000}">
      <text>
        <r>
          <rPr>
            <sz val="11"/>
            <color theme="1"/>
            <rFont val="Calibri"/>
            <scheme val="minor"/>
          </rPr>
          <t>Dias de Quiebre 10</t>
        </r>
      </text>
    </comment>
    <comment ref="U100" authorId="0" shapeId="0" xr:uid="{00000000-0006-0000-0000-00005B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R101" authorId="0" shapeId="0" xr:uid="{00000000-0006-0000-0000-00005C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S101" authorId="0" shapeId="0" xr:uid="{00000000-0006-0000-0000-00005D000000}">
      <text>
        <r>
          <rPr>
            <sz val="11"/>
            <color theme="1"/>
            <rFont val="Calibri"/>
            <scheme val="minor"/>
          </rPr>
          <t>Dias de Quiebre 15</t>
        </r>
      </text>
    </comment>
    <comment ref="U102" authorId="0" shapeId="0" xr:uid="{00000000-0006-0000-0000-00005E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R110" authorId="0" shapeId="0" xr:uid="{00000000-0006-0000-0000-00005F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AB110" authorId="0" shapeId="0" xr:uid="{00000000-0006-0000-0000-000060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S111" authorId="0" shapeId="0" xr:uid="{00000000-0006-0000-0000-000061000000}">
      <text>
        <r>
          <rPr>
            <sz val="11"/>
            <color theme="1"/>
            <rFont val="Calibri"/>
            <scheme val="minor"/>
          </rPr>
          <t>Dias de Quiebre 17</t>
        </r>
      </text>
    </comment>
    <comment ref="V111" authorId="0" shapeId="0" xr:uid="{00000000-0006-0000-0000-000062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W112" authorId="0" shapeId="0" xr:uid="{00000000-0006-0000-0000-000063000000}">
      <text>
        <r>
          <rPr>
            <sz val="11"/>
            <color theme="1"/>
            <rFont val="Calibri"/>
            <scheme val="minor"/>
          </rPr>
          <t>Dias de Quiebre 20</t>
        </r>
      </text>
    </comment>
    <comment ref="AA115" authorId="0" shapeId="0" xr:uid="{00000000-0006-0000-0000-000064000000}">
      <text>
        <r>
          <rPr>
            <sz val="11"/>
            <color theme="1"/>
            <rFont val="Calibri"/>
            <scheme val="minor"/>
          </rPr>
          <t>Dias de Quiebre 16</t>
        </r>
      </text>
    </comment>
    <comment ref="AB117" authorId="0" shapeId="0" xr:uid="{00000000-0006-0000-0000-000065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U118" authorId="0" shapeId="0" xr:uid="{00000000-0006-0000-0000-000066000000}">
      <text>
        <r>
          <rPr>
            <sz val="11"/>
            <color theme="1"/>
            <rFont val="Calibri"/>
            <scheme val="minor"/>
          </rPr>
          <t>Dias de Quiebre 10</t>
        </r>
      </text>
    </comment>
    <comment ref="V118" authorId="0" shapeId="0" xr:uid="{00000000-0006-0000-0000-000067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Q119" authorId="0" shapeId="0" xr:uid="{00000000-0006-0000-0000-000068000000}">
      <text>
        <r>
          <rPr>
            <sz val="11"/>
            <color theme="1"/>
            <rFont val="Calibri"/>
            <scheme val="minor"/>
          </rPr>
          <t>Dias de Quiebre 24</t>
        </r>
      </text>
    </comment>
    <comment ref="R119" authorId="0" shapeId="0" xr:uid="{00000000-0006-0000-0000-000069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AB120" authorId="0" shapeId="0" xr:uid="{00000000-0006-0000-0000-00006A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R133" authorId="0" shapeId="0" xr:uid="{00000000-0006-0000-0000-00006B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R134" authorId="0" shapeId="0" xr:uid="{00000000-0006-0000-0000-00006C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X134" authorId="0" shapeId="0" xr:uid="{00000000-0006-0000-0000-00006D000000}">
      <text>
        <r>
          <rPr>
            <sz val="11"/>
            <color theme="1"/>
            <rFont val="Calibri"/>
            <scheme val="minor"/>
          </rPr>
          <t>Dias de Quiebre 5</t>
        </r>
      </text>
    </comment>
    <comment ref="U135" authorId="0" shapeId="0" xr:uid="{00000000-0006-0000-0000-00006E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U136" authorId="0" shapeId="0" xr:uid="{00000000-0006-0000-0000-00006F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U137" authorId="0" shapeId="0" xr:uid="{00000000-0006-0000-0000-000070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U138" authorId="0" shapeId="0" xr:uid="{00000000-0006-0000-0000-000071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U139" authorId="0" shapeId="0" xr:uid="{00000000-0006-0000-0000-000072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V140" authorId="0" shapeId="0" xr:uid="{00000000-0006-0000-0000-000073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AB140" authorId="0" shapeId="0" xr:uid="{00000000-0006-0000-0000-000074000000}">
      <text>
        <r>
          <rPr>
            <sz val="11"/>
            <color theme="1"/>
            <rFont val="Calibri"/>
            <scheme val="minor"/>
          </rPr>
          <t>Dias de Quiebre 4</t>
        </r>
      </text>
    </comment>
    <comment ref="V141" authorId="0" shapeId="0" xr:uid="{00000000-0006-0000-0000-000075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AB141" authorId="0" shapeId="0" xr:uid="{00000000-0006-0000-0000-000076000000}">
      <text>
        <r>
          <rPr>
            <sz val="11"/>
            <color theme="1"/>
            <rFont val="Calibri"/>
            <scheme val="minor"/>
          </rPr>
          <t>Dias de Quiebre 18</t>
        </r>
      </text>
    </comment>
    <comment ref="V142" authorId="0" shapeId="0" xr:uid="{00000000-0006-0000-0000-000077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X142" authorId="0" shapeId="0" xr:uid="{00000000-0006-0000-0000-000078000000}">
      <text>
        <r>
          <rPr>
            <sz val="11"/>
            <color theme="1"/>
            <rFont val="Calibri"/>
            <scheme val="minor"/>
          </rPr>
          <t>Dias de Quiebre 6</t>
        </r>
      </text>
    </comment>
    <comment ref="V143" authorId="0" shapeId="0" xr:uid="{00000000-0006-0000-0000-000079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AA143" authorId="0" shapeId="0" xr:uid="{00000000-0006-0000-0000-00007A000000}">
      <text>
        <r>
          <rPr>
            <sz val="11"/>
            <color theme="1"/>
            <rFont val="Calibri"/>
            <scheme val="minor"/>
          </rPr>
          <t>Dias de Quiebre 26</t>
        </r>
      </text>
    </comment>
    <comment ref="X144" authorId="0" shapeId="0" xr:uid="{00000000-0006-0000-0000-00007B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AB144" authorId="0" shapeId="0" xr:uid="{00000000-0006-0000-0000-00007C000000}">
      <text>
        <r>
          <rPr>
            <sz val="11"/>
            <color theme="1"/>
            <rFont val="Calibri"/>
            <scheme val="minor"/>
          </rPr>
          <t>Dias de Quiebre 5</t>
        </r>
      </text>
    </comment>
    <comment ref="X145" authorId="0" shapeId="0" xr:uid="{00000000-0006-0000-0000-00007D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AB145" authorId="0" shapeId="0" xr:uid="{00000000-0006-0000-0000-00007E000000}">
      <text>
        <r>
          <rPr>
            <sz val="11"/>
            <color theme="1"/>
            <rFont val="Calibri"/>
            <scheme val="minor"/>
          </rPr>
          <t>Dias de Quiebre 10</t>
        </r>
      </text>
    </comment>
    <comment ref="X146" authorId="0" shapeId="0" xr:uid="{00000000-0006-0000-0000-00007F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AB146" authorId="0" shapeId="0" xr:uid="{00000000-0006-0000-0000-000080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X147" authorId="0" shapeId="0" xr:uid="{00000000-0006-0000-0000-000081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Y147" authorId="0" shapeId="0" xr:uid="{00000000-0006-0000-0000-000082000000}">
      <text>
        <r>
          <rPr>
            <sz val="11"/>
            <color theme="1"/>
            <rFont val="Calibri"/>
            <scheme val="minor"/>
          </rPr>
          <t>Dias de Quiebre 15</t>
        </r>
      </text>
    </comment>
    <comment ref="Y149" authorId="0" shapeId="0" xr:uid="{00000000-0006-0000-0000-000083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AB149" authorId="0" shapeId="0" xr:uid="{00000000-0006-0000-0000-000084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Y150" authorId="0" shapeId="0" xr:uid="{00000000-0006-0000-0000-000085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AB150" authorId="0" shapeId="0" xr:uid="{00000000-0006-0000-0000-000086000000}">
      <text>
        <r>
          <rPr>
            <sz val="11"/>
            <color theme="1"/>
            <rFont val="Calibri"/>
            <scheme val="minor"/>
          </rPr>
          <t>Dias de Quiebre 5</t>
        </r>
      </text>
    </comment>
    <comment ref="AB156" authorId="0" shapeId="0" xr:uid="{00000000-0006-0000-0000-000087000000}">
      <text>
        <r>
          <rPr>
            <sz val="11"/>
            <color theme="1"/>
            <rFont val="Calibri"/>
            <scheme val="minor"/>
          </rPr>
          <t>Dias de Quiebre 21</t>
        </r>
      </text>
    </comment>
    <comment ref="Q160" authorId="0" shapeId="0" xr:uid="{00000000-0006-0000-0000-000088000000}">
      <text>
        <r>
          <rPr>
            <sz val="11"/>
            <color theme="1"/>
            <rFont val="Calibri"/>
            <scheme val="minor"/>
          </rPr>
          <t>Dias de Quiebre 25</t>
        </r>
      </text>
    </comment>
    <comment ref="T161" authorId="0" shapeId="0" xr:uid="{00000000-0006-0000-0000-000089000000}">
      <text>
        <r>
          <rPr>
            <sz val="11"/>
            <color theme="1"/>
            <rFont val="Calibri"/>
            <scheme val="minor"/>
          </rPr>
          <t>Dias de Quiebre 13</t>
        </r>
      </text>
    </comment>
    <comment ref="U168" authorId="0" shapeId="0" xr:uid="{00000000-0006-0000-0000-00008A000000}">
      <text>
        <r>
          <rPr>
            <sz val="11"/>
            <color theme="1"/>
            <rFont val="Calibri"/>
            <scheme val="minor"/>
          </rPr>
          <t>Dias de Quiebre 1</t>
        </r>
      </text>
    </comment>
    <comment ref="X195" authorId="0" shapeId="0" xr:uid="{00000000-0006-0000-0000-00008B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Y195" authorId="0" shapeId="0" xr:uid="{00000000-0006-0000-0000-00008C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AB196" authorId="0" shapeId="0" xr:uid="{00000000-0006-0000-0000-00008D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Q199" authorId="0" shapeId="0" xr:uid="{00000000-0006-0000-0000-00008E000000}">
      <text>
        <r>
          <rPr>
            <sz val="11"/>
            <color theme="1"/>
            <rFont val="Calibri"/>
            <scheme val="minor"/>
          </rPr>
          <t>Dias de Quiebre 19</t>
        </r>
      </text>
    </comment>
    <comment ref="R199" authorId="0" shapeId="0" xr:uid="{00000000-0006-0000-0000-00008F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V199" authorId="0" shapeId="0" xr:uid="{00000000-0006-0000-0000-000090000000}">
      <text>
        <r>
          <rPr>
            <sz val="11"/>
            <color theme="1"/>
            <rFont val="Calibri"/>
            <scheme val="minor"/>
          </rPr>
          <t>Dias de Quiebre 5</t>
        </r>
      </text>
    </comment>
    <comment ref="AB200" authorId="0" shapeId="0" xr:uid="{00000000-0006-0000-0000-000091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AB201" authorId="0" shapeId="0" xr:uid="{00000000-0006-0000-0000-000092000000}">
      <text>
        <r>
          <rPr>
            <sz val="11"/>
            <color theme="1"/>
            <rFont val="Calibri"/>
            <scheme val="minor"/>
          </rPr>
          <t>Dias de Quiebre 4</t>
        </r>
      </text>
    </comment>
    <comment ref="R202" authorId="0" shapeId="0" xr:uid="{00000000-0006-0000-0000-000093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S202" authorId="0" shapeId="0" xr:uid="{00000000-0006-0000-0000-000094000000}">
      <text>
        <r>
          <rPr>
            <sz val="11"/>
            <color theme="1"/>
            <rFont val="Calibri"/>
            <scheme val="minor"/>
          </rPr>
          <t>Dias de Quiebre 11</t>
        </r>
      </text>
    </comment>
    <comment ref="U202" authorId="0" shapeId="0" xr:uid="{00000000-0006-0000-0000-000095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W204" authorId="0" shapeId="0" xr:uid="{00000000-0006-0000-0000-000096000000}">
      <text>
        <r>
          <rPr>
            <sz val="11"/>
            <color theme="1"/>
            <rFont val="Calibri"/>
            <scheme val="minor"/>
          </rPr>
          <t>Dias de Quiebre 16</t>
        </r>
      </text>
    </comment>
    <comment ref="R205" authorId="0" shapeId="0" xr:uid="{00000000-0006-0000-0000-000097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Y205" authorId="0" shapeId="0" xr:uid="{00000000-0006-0000-0000-000098000000}">
      <text>
        <r>
          <rPr>
            <sz val="11"/>
            <color theme="1"/>
            <rFont val="Calibri"/>
            <scheme val="minor"/>
          </rPr>
          <t>Dias de Quiebre 23</t>
        </r>
      </text>
    </comment>
    <comment ref="U206" authorId="0" shapeId="0" xr:uid="{00000000-0006-0000-0000-000099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AB207" authorId="0" shapeId="0" xr:uid="{00000000-0006-0000-0000-00009A000000}">
      <text>
        <r>
          <rPr>
            <sz val="11"/>
            <color theme="1"/>
            <rFont val="Calibri"/>
            <scheme val="minor"/>
          </rPr>
          <t>Dias de Quiebre 5</t>
        </r>
      </text>
    </comment>
    <comment ref="W212" authorId="0" shapeId="0" xr:uid="{00000000-0006-0000-0000-00009B000000}">
      <text>
        <r>
          <rPr>
            <sz val="11"/>
            <color theme="1"/>
            <rFont val="Calibri"/>
            <scheme val="minor"/>
          </rPr>
          <t>Dias de Quiebre 25</t>
        </r>
      </text>
    </comment>
    <comment ref="AB213" authorId="0" shapeId="0" xr:uid="{00000000-0006-0000-0000-00009C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AB214" authorId="0" shapeId="0" xr:uid="{00000000-0006-0000-0000-00009D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Q215" authorId="0" shapeId="0" xr:uid="{00000000-0006-0000-0000-00009E000000}">
      <text>
        <r>
          <rPr>
            <sz val="11"/>
            <color theme="1"/>
            <rFont val="Calibri"/>
            <scheme val="minor"/>
          </rPr>
          <t>Dias de Quiebre 14</t>
        </r>
      </text>
    </comment>
    <comment ref="R215" authorId="0" shapeId="0" xr:uid="{00000000-0006-0000-0000-00009F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X215" authorId="0" shapeId="0" xr:uid="{00000000-0006-0000-0000-0000A0000000}">
      <text>
        <r>
          <rPr>
            <sz val="11"/>
            <color theme="1"/>
            <rFont val="Calibri"/>
            <scheme val="minor"/>
          </rPr>
          <t>Dias de Quiebre 1</t>
        </r>
      </text>
    </comment>
    <comment ref="Y215" authorId="0" shapeId="0" xr:uid="{00000000-0006-0000-0000-0000A1000000}">
      <text>
        <r>
          <rPr>
            <sz val="11"/>
            <color theme="1"/>
            <rFont val="Calibri"/>
            <scheme val="minor"/>
          </rPr>
          <t>Dias de Quiebre 13</t>
        </r>
      </text>
    </comment>
    <comment ref="AB215" authorId="0" shapeId="0" xr:uid="{00000000-0006-0000-0000-0000A2000000}">
      <text>
        <r>
          <rPr>
            <sz val="11"/>
            <color theme="1"/>
            <rFont val="Calibri"/>
            <scheme val="minor"/>
          </rPr>
          <t>Dias de Quiebre 26</t>
        </r>
      </text>
    </comment>
    <comment ref="Y216" authorId="0" shapeId="0" xr:uid="{00000000-0006-0000-0000-0000A3000000}">
      <text>
        <r>
          <rPr>
            <sz val="11"/>
            <color theme="1"/>
            <rFont val="Calibri"/>
            <scheme val="minor"/>
          </rPr>
          <t>Dias de Quiebre 14</t>
        </r>
      </text>
    </comment>
    <comment ref="AA216" authorId="0" shapeId="0" xr:uid="{00000000-0006-0000-0000-0000A4000000}">
      <text>
        <r>
          <rPr>
            <sz val="11"/>
            <color theme="1"/>
            <rFont val="Calibri"/>
            <scheme val="minor"/>
          </rPr>
          <t>Dias de Quiebre 22</t>
        </r>
      </text>
    </comment>
    <comment ref="T219" authorId="0" shapeId="0" xr:uid="{00000000-0006-0000-0000-0000A5000000}">
      <text>
        <r>
          <rPr>
            <sz val="11"/>
            <color theme="1"/>
            <rFont val="Calibri"/>
            <scheme val="minor"/>
          </rPr>
          <t>Dias de Quiebre 4</t>
        </r>
      </text>
    </comment>
    <comment ref="V219" authorId="0" shapeId="0" xr:uid="{00000000-0006-0000-0000-0000A6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U220" authorId="0" shapeId="0" xr:uid="{00000000-0006-0000-0000-0000A7000000}">
      <text>
        <r>
          <rPr>
            <sz val="11"/>
            <color theme="1"/>
            <rFont val="Calibri"/>
            <scheme val="minor"/>
          </rPr>
          <t>Dias de Quiebre 28</t>
        </r>
      </text>
    </comment>
    <comment ref="V220" authorId="0" shapeId="0" xr:uid="{00000000-0006-0000-0000-0000A8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AB224" authorId="0" shapeId="0" xr:uid="{00000000-0006-0000-0000-0000A9000000}">
      <text>
        <r>
          <rPr>
            <sz val="11"/>
            <color theme="1"/>
            <rFont val="Calibri"/>
            <scheme val="minor"/>
          </rPr>
          <t>Dias de Quiebre 15</t>
        </r>
      </text>
    </comment>
    <comment ref="R225" authorId="0" shapeId="0" xr:uid="{00000000-0006-0000-0000-0000AA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AB225" authorId="0" shapeId="0" xr:uid="{00000000-0006-0000-0000-0000AB000000}">
      <text>
        <r>
          <rPr>
            <sz val="11"/>
            <color theme="1"/>
            <rFont val="Calibri"/>
            <scheme val="minor"/>
          </rPr>
          <t>Dias de Quiebre 25</t>
        </r>
      </text>
    </comment>
    <comment ref="T226" authorId="0" shapeId="0" xr:uid="{00000000-0006-0000-0000-0000AC000000}">
      <text>
        <r>
          <rPr>
            <sz val="11"/>
            <color theme="1"/>
            <rFont val="Calibri"/>
            <scheme val="minor"/>
          </rPr>
          <t>Dias de Quiebre 27</t>
        </r>
      </text>
    </comment>
    <comment ref="U226" authorId="0" shapeId="0" xr:uid="{00000000-0006-0000-0000-0000AD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AB227" authorId="0" shapeId="0" xr:uid="{00000000-0006-0000-0000-0000AE000000}">
      <text>
        <r>
          <rPr>
            <sz val="11"/>
            <color theme="1"/>
            <rFont val="Calibri"/>
            <scheme val="minor"/>
          </rPr>
          <t>Dias de Quiebre 10</t>
        </r>
      </text>
    </comment>
    <comment ref="U231" authorId="0" shapeId="0" xr:uid="{00000000-0006-0000-0000-0000AF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AB231" authorId="0" shapeId="0" xr:uid="{00000000-0006-0000-0000-0000B0000000}">
      <text>
        <r>
          <rPr>
            <sz val="11"/>
            <color theme="1"/>
            <rFont val="Calibri"/>
            <scheme val="minor"/>
          </rPr>
          <t>Dias de Quiebre 18</t>
        </r>
      </text>
    </comment>
    <comment ref="U232" authorId="0" shapeId="0" xr:uid="{00000000-0006-0000-0000-0000B1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W232" authorId="0" shapeId="0" xr:uid="{00000000-0006-0000-0000-0000B2000000}">
      <text>
        <r>
          <rPr>
            <sz val="11"/>
            <color theme="1"/>
            <rFont val="Calibri"/>
            <scheme val="minor"/>
          </rPr>
          <t>Dias de Quiebre 16</t>
        </r>
      </text>
    </comment>
    <comment ref="Y232" authorId="0" shapeId="0" xr:uid="{00000000-0006-0000-0000-0000B3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Z232" authorId="0" shapeId="0" xr:uid="{00000000-0006-0000-0000-0000B4000000}">
      <text>
        <r>
          <rPr>
            <sz val="11"/>
            <color theme="1"/>
            <rFont val="Calibri"/>
            <scheme val="minor"/>
          </rPr>
          <t>Dias de Quiebre 18</t>
        </r>
      </text>
    </comment>
    <comment ref="V233" authorId="0" shapeId="0" xr:uid="{00000000-0006-0000-0000-0000B5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Y233" authorId="0" shapeId="0" xr:uid="{00000000-0006-0000-0000-0000B6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X234" authorId="0" shapeId="0" xr:uid="{00000000-0006-0000-0000-0000B7000000}">
      <text>
        <r>
          <rPr>
            <sz val="11"/>
            <color theme="1"/>
            <rFont val="Calibri"/>
            <scheme val="minor"/>
          </rPr>
          <t>Dias de Quiebre 9</t>
        </r>
      </text>
    </comment>
    <comment ref="Z234" authorId="0" shapeId="0" xr:uid="{00000000-0006-0000-0000-0000B8000000}">
      <text>
        <r>
          <rPr>
            <sz val="11"/>
            <color theme="1"/>
            <rFont val="Calibri"/>
            <scheme val="minor"/>
          </rPr>
          <t>Dias de Quiebre 14</t>
        </r>
      </text>
    </comment>
    <comment ref="Y235" authorId="0" shapeId="0" xr:uid="{00000000-0006-0000-0000-0000B9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AB235" authorId="0" shapeId="0" xr:uid="{00000000-0006-0000-0000-0000BA000000}">
      <text>
        <r>
          <rPr>
            <sz val="11"/>
            <color theme="1"/>
            <rFont val="Calibri"/>
            <scheme val="minor"/>
          </rPr>
          <t>Dias de Quiebre 10</t>
        </r>
      </text>
    </comment>
    <comment ref="AB251" authorId="0" shapeId="0" xr:uid="{00000000-0006-0000-0000-0000BB000000}">
      <text>
        <r>
          <rPr>
            <sz val="11"/>
            <color theme="1"/>
            <rFont val="Calibri"/>
            <scheme val="minor"/>
          </rPr>
          <t>Dias de Quiebre 11</t>
        </r>
      </text>
    </comment>
    <comment ref="Z255" authorId="0" shapeId="0" xr:uid="{00000000-0006-0000-0000-0000BC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W259" authorId="0" shapeId="0" xr:uid="{00000000-0006-0000-0000-0000BD000000}">
      <text>
        <r>
          <rPr>
            <sz val="11"/>
            <color theme="1"/>
            <rFont val="Calibri"/>
            <scheme val="minor"/>
          </rPr>
          <t>Dias de Quiebre 25</t>
        </r>
      </text>
    </comment>
    <comment ref="Z259" authorId="0" shapeId="0" xr:uid="{00000000-0006-0000-0000-0000BE000000}">
      <text>
        <r>
          <rPr>
            <sz val="11"/>
            <color theme="1"/>
            <rFont val="Calibri"/>
            <scheme val="minor"/>
          </rPr>
          <t>Dias de Quiebre 5</t>
        </r>
      </text>
    </comment>
    <comment ref="U261" authorId="0" shapeId="0" xr:uid="{00000000-0006-0000-0000-0000BF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Z261" authorId="0" shapeId="0" xr:uid="{00000000-0006-0000-0000-0000C0000000}">
      <text>
        <r>
          <rPr>
            <sz val="11"/>
            <color theme="1"/>
            <rFont val="Calibri"/>
            <scheme val="minor"/>
          </rPr>
          <t>Dias de Quiebre 25</t>
        </r>
      </text>
    </comment>
    <comment ref="U262" authorId="0" shapeId="0" xr:uid="{00000000-0006-0000-0000-0000C1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R263" authorId="0" shapeId="0" xr:uid="{00000000-0006-0000-0000-0000C2000000}">
      <text>
        <r>
          <rPr>
            <sz val="11"/>
            <color theme="1"/>
            <rFont val="Calibri"/>
            <scheme val="minor"/>
          </rPr>
          <t>Dias de Quiebre 2</t>
        </r>
      </text>
    </comment>
    <comment ref="R266" authorId="0" shapeId="0" xr:uid="{00000000-0006-0000-0000-0000C3000000}">
      <text>
        <r>
          <rPr>
            <sz val="11"/>
            <color theme="1"/>
            <rFont val="Calibri"/>
            <scheme val="minor"/>
          </rPr>
          <t>Dias de Quiebre 23</t>
        </r>
      </text>
    </comment>
    <comment ref="U266" authorId="0" shapeId="0" xr:uid="{00000000-0006-0000-0000-0000C4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V275" authorId="0" shapeId="0" xr:uid="{00000000-0006-0000-0000-0000C5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V276" authorId="0" shapeId="0" xr:uid="{00000000-0006-0000-0000-0000C6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V277" authorId="0" shapeId="0" xr:uid="{00000000-0006-0000-0000-0000C7000000}">
      <text>
        <r>
          <rPr>
            <sz val="11"/>
            <color theme="1"/>
            <rFont val="Calibri"/>
            <scheme val="minor"/>
          </rPr>
          <t>Dias de Quiebre 8</t>
        </r>
      </text>
    </comment>
    <comment ref="Y278" authorId="0" shapeId="0" xr:uid="{00000000-0006-0000-0000-0000C8000000}">
      <text>
        <r>
          <rPr>
            <sz val="11"/>
            <color theme="1"/>
            <rFont val="Calibri"/>
            <scheme val="minor"/>
          </rPr>
          <t>Dias de Quiebre 29</t>
        </r>
      </text>
    </comment>
    <comment ref="U291" authorId="0" shapeId="0" xr:uid="{00000000-0006-0000-0000-0000C9000000}">
      <text>
        <r>
          <rPr>
            <sz val="11"/>
            <color theme="1"/>
            <rFont val="Calibri"/>
            <scheme val="minor"/>
          </rPr>
          <t>Dias de Quiebre 20</t>
        </r>
      </text>
    </comment>
    <comment ref="V291" authorId="0" shapeId="0" xr:uid="{00000000-0006-0000-0000-0000CA000000}">
      <text>
        <r>
          <rPr>
            <sz val="11"/>
            <color theme="1"/>
            <rFont val="Calibri"/>
            <scheme val="minor"/>
          </rPr>
          <t>Dias de Quiebre 30</t>
        </r>
      </text>
    </comment>
    <comment ref="T292" authorId="0" shapeId="0" xr:uid="{00000000-0006-0000-0000-0000CB000000}">
      <text>
        <r>
          <rPr>
            <sz val="11"/>
            <color theme="1"/>
            <rFont val="Calibri"/>
            <scheme val="minor"/>
          </rPr>
          <t>Dias de Quiebre 17</t>
        </r>
      </text>
    </comment>
    <comment ref="U292" authorId="0" shapeId="0" xr:uid="{00000000-0006-0000-0000-0000CC000000}">
      <text>
        <r>
          <rPr>
            <sz val="11"/>
            <color theme="1"/>
            <rFont val="Calibri"/>
            <scheme val="minor"/>
          </rPr>
          <t>Dias de Quiebre 3</t>
        </r>
      </text>
    </comment>
    <comment ref="AA292" authorId="0" shapeId="0" xr:uid="{00000000-0006-0000-0000-0000CD000000}">
      <text>
        <r>
          <rPr>
            <sz val="11"/>
            <color theme="1"/>
            <rFont val="Calibri"/>
            <scheme val="minor"/>
          </rPr>
          <t>Dias de Quiebre 21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SpreadsheetLight</author>
    <author>tc={F70B7BD5-3F63-47C6-8CE2-628D4A77D1C9}</author>
    <author>tc={C12295F8-D83F-4BB2-9A53-754D119F2846}</author>
    <author>tc={1078455C-5018-4C19-B02C-D6A11BC669F2}</author>
    <author>tc={4FEA2A4D-B1CC-455B-9FC0-3828D3354F57}</author>
    <author>tc={718CF9D0-7D36-4B68-B2BF-D840F49CC386}</author>
    <author>tc={C7DBDDBF-377D-4B95-BE4F-5B17154ED4E7}</author>
    <author>tc={B048E748-4105-478A-83CD-C6DAB7B49151}</author>
    <author>tc={71BB6FBD-5502-4C5C-ACD9-2C4E89309DFE}</author>
    <author>tc={72ED1CD4-E690-4D27-936A-ACB6ED6DA062}</author>
    <author>tc={B1BB6E53-2E38-48B9-B637-95E8CC5B66BA}</author>
    <author>tc={B8EBD6BB-0CA9-4593-8B27-EA9C529C3050}</author>
    <author>tc={2274C824-7606-4419-9BA8-77D5BB937C5E}</author>
    <author>tc={E232C264-3124-4B78-B932-7E584103A602}</author>
    <author>tc={0D16C58C-33A4-4E17-BE30-09402BF35418}</author>
    <author>tc={882D971C-6E85-4503-8854-2174959C988C}</author>
    <author>tc={CEF28648-E909-4552-B825-7A28301AB531}</author>
    <author>tc={1ECE3B38-884F-48B9-837E-63048366AFFE}</author>
    <author>tc={398BBB95-402E-441E-B1FF-A06A1B46A690}</author>
    <author>tc={C9C6A5A4-15F7-436F-A3D7-E0EEDA2F8D99}</author>
    <author>tc={60B616DF-CB99-4A85-9191-2A945BCD201A}</author>
    <author>tc={8892E419-12C4-49D5-B7F4-BA7F8DA167DE}</author>
    <author>tc={64B5002B-61B6-4BFC-8457-A490B3540D4A}</author>
    <author>tc={99D2B63F-2065-4C23-A1A9-9D7C203BAFBE}</author>
  </authors>
  <commentList>
    <comment ref="F4" authorId="0" shapeId="0" xr:uid="{00000000-0006-0000-0100-000001000000}">
      <text>
        <r>
          <rPr>
            <sz val="11"/>
            <color theme="1"/>
            <rFont val="Calibri"/>
            <scheme val="minor"/>
          </rPr>
          <t>Dias que faltan para llegar la Impo</t>
        </r>
      </text>
    </comment>
    <comment ref="G4" authorId="0" shapeId="0" xr:uid="{00000000-0006-0000-0100-000002000000}">
      <text>
        <r>
          <rPr>
            <sz val="11"/>
            <color theme="1"/>
            <rFont val="Calibri"/>
            <scheme val="minor"/>
          </rPr>
          <t>Stk.Act-(Dias Ant*Rot.DesE*Estac.Ant)+Cant.Ant.Impo-(Dias Impo Act.*Rot.DesE*Estac.Periodo)</t>
        </r>
      </text>
    </comment>
    <comment ref="H4" authorId="0" shapeId="0" xr:uid="{00000000-0006-0000-0100-000003000000}">
      <text>
        <r>
          <rPr>
            <sz val="11"/>
            <color theme="1"/>
            <rFont val="Calibri"/>
            <scheme val="minor"/>
          </rPr>
          <t>Quiebre/(Rotacion DesEstac.*Estac.Periodo)/Dias Protecc. Secc</t>
        </r>
      </text>
    </comment>
    <comment ref="I4" authorId="0" shapeId="0" xr:uid="{00000000-0006-0000-0100-000004000000}">
      <text>
        <r>
          <rPr>
            <sz val="11"/>
            <color theme="1"/>
            <rFont val="Calibri"/>
            <scheme val="minor"/>
          </rPr>
          <t>Cantidad Pedida en la Importacion</t>
        </r>
      </text>
    </comment>
    <comment ref="J4" authorId="0" shapeId="0" xr:uid="{00000000-0006-0000-0100-000005000000}">
      <text>
        <r>
          <rPr>
            <sz val="11"/>
            <color theme="1"/>
            <rFont val="Calibri"/>
            <scheme val="minor"/>
          </rPr>
          <t>Si Quiebre &gt; 0, Quiebre + Pedido, Pedido</t>
        </r>
      </text>
    </comment>
    <comment ref="K4" authorId="0" shapeId="0" xr:uid="{00000000-0006-0000-0100-000006000000}">
      <text>
        <r>
          <rPr>
            <sz val="11"/>
            <color theme="1"/>
            <rFont val="Calibri"/>
            <scheme val="minor"/>
          </rPr>
          <t>Costo Impo.</t>
        </r>
      </text>
    </comment>
    <comment ref="O4" authorId="0" shapeId="0" xr:uid="{00000000-0006-0000-0100-000007000000}">
      <text>
        <r>
          <rPr>
            <sz val="11"/>
            <color theme="1"/>
            <rFont val="Calibri"/>
            <scheme val="minor"/>
          </rPr>
          <t>Dias que faltan para llegar la Impo</t>
        </r>
      </text>
    </comment>
    <comment ref="P4" authorId="0" shapeId="0" xr:uid="{00000000-0006-0000-0100-000008000000}">
      <text>
        <r>
          <rPr>
            <sz val="11"/>
            <color theme="1"/>
            <rFont val="Calibri"/>
            <scheme val="minor"/>
          </rPr>
          <t>Stk.Act-(Dias Ant*Rot.DesE*Estac.Ant)+Cant.Ant.Impo-(Dias Impo Act.*Rot.DesE*Estac.Periodo)</t>
        </r>
      </text>
    </comment>
    <comment ref="Q4" authorId="0" shapeId="0" xr:uid="{00000000-0006-0000-0100-000009000000}">
      <text>
        <r>
          <rPr>
            <sz val="11"/>
            <color theme="1"/>
            <rFont val="Calibri"/>
            <scheme val="minor"/>
          </rPr>
          <t>Quiebre/(Rotacion DesEstac.*Estac.Periodo)/Dias Protecc. Secc</t>
        </r>
      </text>
    </comment>
    <comment ref="R4" authorId="0" shapeId="0" xr:uid="{00000000-0006-0000-0100-00000A000000}">
      <text>
        <r>
          <rPr>
            <sz val="11"/>
            <color theme="1"/>
            <rFont val="Calibri"/>
            <scheme val="minor"/>
          </rPr>
          <t>Cantidad Pedida en la Importacion</t>
        </r>
      </text>
    </comment>
    <comment ref="S4" authorId="0" shapeId="0" xr:uid="{00000000-0006-0000-0100-00000B000000}">
      <text>
        <r>
          <rPr>
            <sz val="11"/>
            <color theme="1"/>
            <rFont val="Calibri"/>
            <scheme val="minor"/>
          </rPr>
          <t>Si Quiebre &gt; 0, Quiebre + Pedido, Pedido</t>
        </r>
      </text>
    </comment>
    <comment ref="T4" authorId="0" shapeId="0" xr:uid="{00000000-0006-0000-0100-00000C000000}">
      <text>
        <r>
          <rPr>
            <sz val="11"/>
            <color theme="1"/>
            <rFont val="Calibri"/>
            <scheme val="minor"/>
          </rPr>
          <t>Costo Impo.</t>
        </r>
      </text>
    </comment>
    <comment ref="Y4" authorId="0" shapeId="0" xr:uid="{00000000-0006-0000-0100-00000D000000}">
      <text>
        <r>
          <rPr>
            <sz val="11"/>
            <color theme="1"/>
            <rFont val="Calibri"/>
            <scheme val="minor"/>
          </rPr>
          <t>Stk.Act-Sum(Dias Ant*Rot.DesE*Estac.Ant)+Cant.Ant.Impo-(Dias Impo Act.*Rot.DesE*Estac.Periodo)</t>
        </r>
      </text>
    </comment>
    <comment ref="Z4" authorId="0" shapeId="0" xr:uid="{00000000-0006-0000-0100-00000E000000}">
      <text>
        <r>
          <rPr>
            <sz val="11"/>
            <color theme="1"/>
            <rFont val="Calibri"/>
            <scheme val="minor"/>
          </rPr>
          <t>Quiebre/(Rotacion DesEstac.*Estac.Periodo)/Dias Protecc. Secc</t>
        </r>
      </text>
    </comment>
    <comment ref="AA4" authorId="0" shapeId="0" xr:uid="{00000000-0006-0000-0100-00000F000000}">
      <text>
        <r>
          <rPr>
            <sz val="11"/>
            <color theme="1"/>
            <rFont val="Calibri"/>
            <scheme val="minor"/>
          </rPr>
          <t>Dias a Reponer*(Rotacion DesEstac.*Estac. Periodo Futuro)-Stk.Arribo Ult</t>
        </r>
      </text>
    </comment>
    <comment ref="AB4" authorId="0" shapeId="0" xr:uid="{00000000-0006-0000-0100-000010000000}">
      <text>
        <r>
          <rPr>
            <sz val="11"/>
            <color theme="1"/>
            <rFont val="Calibri"/>
            <scheme val="minor"/>
          </rPr>
          <t>Valor Manual</t>
        </r>
      </text>
    </comment>
    <comment ref="AC4" authorId="0" shapeId="0" xr:uid="{00000000-0006-0000-0100-000011000000}">
      <text>
        <r>
          <rPr>
            <sz val="11"/>
            <color theme="1"/>
            <rFont val="Calibri"/>
            <scheme val="minor"/>
          </rPr>
          <t>Si Quiebre&gt;0, Quiebre+(Si Confirmado &gt; 0, Confirmado,0),Confirmado</t>
        </r>
      </text>
    </comment>
    <comment ref="AF4" authorId="0" shapeId="0" xr:uid="{00000000-0006-0000-0100-000012000000}">
      <text>
        <r>
          <rPr>
            <sz val="11"/>
            <color theme="1"/>
            <rFont val="Calibri"/>
            <scheme val="minor"/>
          </rPr>
          <t>Stk.Acumulado-(Dias Duracion*Rot.DesEstac.*Estac.Periodo Futuro)</t>
        </r>
      </text>
    </comment>
    <comment ref="AG4" authorId="0" shapeId="0" xr:uid="{00000000-0006-0000-0100-000013000000}">
      <text>
        <r>
          <rPr>
            <sz val="11"/>
            <color theme="1"/>
            <rFont val="Calibri"/>
            <scheme val="minor"/>
          </rPr>
          <t>Stk Final/(Rotacion DesEstac.*Estac.Periodo Futuro)/Dias Protecc. Secc</t>
        </r>
      </text>
    </comment>
    <comment ref="AB19" authorId="1" shapeId="0" xr:uid="{F70B7BD5-3F63-47C6-8CE2-628D4A77D1C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I01582/I01585
Respuesta:
    SUSTITUYE + FICHA</t>
      </text>
    </comment>
    <comment ref="AB23" authorId="2" shapeId="0" xr:uid="{C12295F8-D83F-4BB2-9A53-754D119F284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I02825</t>
      </text>
    </comment>
    <comment ref="AB37" authorId="3" shapeId="0" xr:uid="{1078455C-5018-4C19-B02C-D6A11BC669F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I02825</t>
      </text>
    </comment>
    <comment ref="AB40" authorId="4" shapeId="0" xr:uid="{4FEA2A4D-B1CC-455B-9FC0-3828D3354F5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I02266</t>
      </text>
    </comment>
    <comment ref="AB44" authorId="5" shapeId="0" xr:uid="{718CF9D0-7D36-4B68-B2BF-D840F49CC38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I02266</t>
      </text>
    </comment>
    <comment ref="AB117" authorId="6" shapeId="0" xr:uid="{C7DBDDBF-377D-4B95-BE4F-5B17154ED4E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I02826</t>
      </text>
    </comment>
    <comment ref="AB194" authorId="7" shapeId="0" xr:uid="{B048E748-4105-478A-83CD-C6DAB7B4915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I02058</t>
      </text>
    </comment>
    <comment ref="AB201" authorId="8" shapeId="0" xr:uid="{71BB6FBD-5502-4C5C-ACD9-2C4E89309DF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I01588</t>
      </text>
    </comment>
    <comment ref="AB220" authorId="9" shapeId="0" xr:uid="{72ED1CD4-E690-4D27-936A-ACB6ED6DA06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I02281</t>
      </text>
    </comment>
    <comment ref="AB224" authorId="10" shapeId="0" xr:uid="{B1BB6E53-2E38-48B9-B637-95E8CC5B66B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I02198</t>
      </text>
    </comment>
    <comment ref="AB243" authorId="11" shapeId="0" xr:uid="{B8EBD6BB-0CA9-4593-8B27-EA9C529C305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Sust C07 bk i01294</t>
      </text>
    </comment>
    <comment ref="AB248" authorId="12" shapeId="0" xr:uid="{2274C824-7606-4419-9BA8-77D5BB937C5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I02708</t>
      </text>
    </comment>
    <comment ref="AB263" authorId="13" shapeId="0" xr:uid="{E232C264-3124-4B78-B932-7E584103A60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I01287</t>
      </text>
    </comment>
    <comment ref="AB277" authorId="14" shapeId="0" xr:uid="{0D16C58C-33A4-4E17-BE30-09402BF3541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I02827</t>
      </text>
    </comment>
    <comment ref="AB280" authorId="15" shapeId="0" xr:uid="{882D971C-6E85-4503-8854-2174959C988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I02829</t>
      </text>
    </comment>
    <comment ref="AB282" authorId="16" shapeId="0" xr:uid="{CEF28648-E909-4552-B825-7A28301AB53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I02830</t>
      </text>
    </comment>
    <comment ref="AB283" authorId="17" shapeId="0" xr:uid="{1ECE3B38-884F-48B9-837E-63048366AFF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I02828</t>
      </text>
    </comment>
    <comment ref="AB299" authorId="18" shapeId="0" xr:uid="{398BBB95-402E-441E-B1FF-A06A1B46A69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I01272/I02345</t>
      </text>
    </comment>
    <comment ref="AB300" authorId="19" shapeId="0" xr:uid="{C9C6A5A4-15F7-436F-A3D7-E0EEDA2F8D9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I01412</t>
      </text>
    </comment>
    <comment ref="AB301" authorId="20" shapeId="0" xr:uid="{60B616DF-CB99-4A85-9191-2A945BCD201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I01360</t>
      </text>
    </comment>
    <comment ref="AB302" authorId="21" shapeId="0" xr:uid="{8892E419-12C4-49D5-B7F4-BA7F8DA167D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I01266</t>
      </text>
    </comment>
    <comment ref="AB303" authorId="22" shapeId="0" xr:uid="{64B5002B-61B6-4BFC-8457-A490B3540D4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I01268</t>
      </text>
    </comment>
    <comment ref="AB304" authorId="23" shapeId="0" xr:uid="{99D2B63F-2065-4C23-A1A9-9D7C203BAFB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I01267</t>
      </text>
    </comment>
  </commentList>
</comments>
</file>

<file path=xl/sharedStrings.xml><?xml version="1.0" encoding="utf-8"?>
<sst xmlns="http://schemas.openxmlformats.org/spreadsheetml/2006/main" count="2008" uniqueCount="736">
  <si>
    <t>Fecha Proxima Importacion</t>
  </si>
  <si>
    <t>Dias Pedido</t>
  </si>
  <si>
    <t>Dias Duracion</t>
  </si>
  <si>
    <t>Relacion Venta Marcas</t>
  </si>
  <si>
    <t>I M P O R T A C I O N  -  598</t>
  </si>
  <si>
    <t>I M P O R T A C I O N  -  600</t>
  </si>
  <si>
    <t>S T O C K   A L  05/11/2026</t>
  </si>
  <si>
    <t>S T O C K   A L  04/01/2027</t>
  </si>
  <si>
    <t>Codigos Barras</t>
  </si>
  <si>
    <t>Descripcion</t>
  </si>
  <si>
    <t>Articulo.1</t>
  </si>
  <si>
    <t>Stock Act.1</t>
  </si>
  <si>
    <t>Arribo</t>
  </si>
  <si>
    <t>Dias Arribo.</t>
  </si>
  <si>
    <t>Quiebre Stk.1</t>
  </si>
  <si>
    <t>% Proteccion.1</t>
  </si>
  <si>
    <t>Pedidos.1</t>
  </si>
  <si>
    <t>Stk.Arribo.1</t>
  </si>
  <si>
    <t>FOB Arribo.1</t>
  </si>
  <si>
    <t>UnidxEnv</t>
  </si>
  <si>
    <t>Volumen</t>
  </si>
  <si>
    <t>Arribo Prox.</t>
  </si>
  <si>
    <t>Dias Arribo</t>
  </si>
  <si>
    <t>Pedir Artic.1</t>
  </si>
  <si>
    <t>Confirmado Art.1</t>
  </si>
  <si>
    <t>Stk.Acumulado.1</t>
  </si>
  <si>
    <t>FOB U$S Art.1</t>
  </si>
  <si>
    <t>Prov. Cpa. Art.1</t>
  </si>
  <si>
    <t>Stk.Final.1</t>
  </si>
  <si>
    <t>Estado Art.1</t>
  </si>
  <si>
    <t>BOLSAS FONENG 388X282MM</t>
  </si>
  <si>
    <t>HX017</t>
  </si>
  <si>
    <t>D</t>
  </si>
  <si>
    <t>EXHIBIDOR FONENG W1 1.8MX0.6M METAL</t>
  </si>
  <si>
    <t>HX018</t>
  </si>
  <si>
    <t>A</t>
  </si>
  <si>
    <t>EXHIBIDOR FONENG W2  2.2MX1MX0.3M</t>
  </si>
  <si>
    <t>HX019</t>
  </si>
  <si>
    <t>EXHIBIDOR FONENG F1  2.25MX1MX0.3M</t>
  </si>
  <si>
    <t>HX020</t>
  </si>
  <si>
    <t>EXHIBIDOR FONENG W3  1.39MX0.6MX0.21M</t>
  </si>
  <si>
    <t>HX023</t>
  </si>
  <si>
    <t>EXHIBIDOR FONENG F1B  2.25MX0.6MX0.3M</t>
  </si>
  <si>
    <t>HX025</t>
  </si>
  <si>
    <t>REMERA FONENG M</t>
  </si>
  <si>
    <t>I01399</t>
  </si>
  <si>
    <t>REMERA FONENG L</t>
  </si>
  <si>
    <t>I01400</t>
  </si>
  <si>
    <t>REMERA FONENG XL</t>
  </si>
  <si>
    <t>I01401</t>
  </si>
  <si>
    <t>REMERA FONENG 2XL</t>
  </si>
  <si>
    <t>I01402</t>
  </si>
  <si>
    <t>NO USAR</t>
  </si>
  <si>
    <t>I001397</t>
  </si>
  <si>
    <t>AURICULAR DIADEMA BLUETOOTH FONENG BL50 BLACK</t>
  </si>
  <si>
    <t>I01233</t>
  </si>
  <si>
    <t>PARLANTE BLUETOOTH FONENG BL10 LONG STANDBY RED</t>
  </si>
  <si>
    <t>I01235</t>
  </si>
  <si>
    <t>CABLE TIPO-C X63/XS01 2.1A 1MT FONENG</t>
  </si>
  <si>
    <t>I01214</t>
  </si>
  <si>
    <t>CABLE IPHONE X30 1MT MAGNETIC/LED FONENG</t>
  </si>
  <si>
    <t>I01215</t>
  </si>
  <si>
    <t>CABLE TIPO-C EU27 3A FONENG</t>
  </si>
  <si>
    <t>I01225</t>
  </si>
  <si>
    <t>CABLE TIPO-C EU28 2.4A FONENG</t>
  </si>
  <si>
    <t>I01226</t>
  </si>
  <si>
    <t>CABLE TIPO-C X69 3A GOMA FONENG</t>
  </si>
  <si>
    <t>I01228</t>
  </si>
  <si>
    <t>CABLE IPHONE X69 3A GOMA FONENG</t>
  </si>
  <si>
    <t>I01229</t>
  </si>
  <si>
    <t>CABLE IPHONE X77 FONENG</t>
  </si>
  <si>
    <t>I01238</t>
  </si>
  <si>
    <t>BOTELLON 30 CABLES XS06 TIPO-C 1M 2.4A FONENG</t>
  </si>
  <si>
    <t>I01261</t>
  </si>
  <si>
    <t>BOTELLON 30 CABLES XS06 IPHONE 1M 2.4A FONENG</t>
  </si>
  <si>
    <t>I01262</t>
  </si>
  <si>
    <t>CABLE TIPO-C 90° X70 3A 1MT TRENZADO FONENG</t>
  </si>
  <si>
    <t>I01263</t>
  </si>
  <si>
    <t>CABLE IPHONE 90° X70 3A 1MT TRENZADO FONENG</t>
  </si>
  <si>
    <t>I01264</t>
  </si>
  <si>
    <t>CABLE TIPO-C X66 3A 1MT FONENG</t>
  </si>
  <si>
    <t>I01265</t>
  </si>
  <si>
    <t>CABLE IPHONE X66 2.4A 1MT FONENG</t>
  </si>
  <si>
    <t>I01266</t>
  </si>
  <si>
    <t>CABLE TIPO-C X66 3A -2MT- FONENG</t>
  </si>
  <si>
    <t>I01267</t>
  </si>
  <si>
    <t>CABLE IPHONE X66 2.4A -2MT- FONENG</t>
  </si>
  <si>
    <t>I01268</t>
  </si>
  <si>
    <t>CABLE MICRO X63/XS01 2.1A 1MT FONENG</t>
  </si>
  <si>
    <t>I01269</t>
  </si>
  <si>
    <t>CABLE IPHONE X63/XS01 2.1A 1MT FONENG</t>
  </si>
  <si>
    <t>I01270</t>
  </si>
  <si>
    <t>CABLE 3 EN 1 X36 2.4A 1.2MT TIPO-C/IPH/MIC FONENG</t>
  </si>
  <si>
    <t>I01271</t>
  </si>
  <si>
    <t>CABLE TIPO-C X79 METAL/RGB 3A 66W 1MT FONENG</t>
  </si>
  <si>
    <t>I01272</t>
  </si>
  <si>
    <t>CABLE IPHONE X79 METAL/RGB 3A 1MT FONENG SUPERFAST</t>
  </si>
  <si>
    <t>I01273</t>
  </si>
  <si>
    <t>CABLE TIPO-C X15 WHI 2.4A 1.2MT TRENZ FONENG</t>
  </si>
  <si>
    <t>I01274</t>
  </si>
  <si>
    <t>CABLE TIPO-C X15 BK 2.4A 1.2MT TRENZ FONENG</t>
  </si>
  <si>
    <t>I01275</t>
  </si>
  <si>
    <t>CABLE IPHONE X15 WHI 2.4A 1.2MT TRENZ FONENG</t>
  </si>
  <si>
    <t>I01276</t>
  </si>
  <si>
    <t>CABLE IPHONE X15 BK 2.4A 1.2MT TRENZ FONENG</t>
  </si>
  <si>
    <t>I01277</t>
  </si>
  <si>
    <t>CABLE DE AUDIO 3.5MM BM23 BK 1M FONENG</t>
  </si>
  <si>
    <t>I01279</t>
  </si>
  <si>
    <t>CABLE DE AUDIO 3.5MM BM23 WHITE 1M FONENG</t>
  </si>
  <si>
    <t>I01280</t>
  </si>
  <si>
    <t>CABLE ADAPTADOR BM21 AUDIO TIPO-C A 3.5MM FONENG</t>
  </si>
  <si>
    <t>I01281</t>
  </si>
  <si>
    <t>CABLE ADAPTADOR BM20 AUDIO IPHONE A 3.5MM FONENG</t>
  </si>
  <si>
    <t>I01282</t>
  </si>
  <si>
    <t>CABLE MICRO 90° X70 3A 1MT TRENZADO FONENG</t>
  </si>
  <si>
    <t>I01331</t>
  </si>
  <si>
    <t>CABLE MICRO X35 3A 1MT FONENG</t>
  </si>
  <si>
    <t>I01338</t>
  </si>
  <si>
    <t>CABLE TIPO-C X35 3A 1MT FONENG</t>
  </si>
  <si>
    <t>I01339</t>
  </si>
  <si>
    <t>CABLE IPHONE X35 3A 1MT FONENG</t>
  </si>
  <si>
    <t>I01340</t>
  </si>
  <si>
    <t>CABLE TIPO-C XS06 3A 1MT FONENG</t>
  </si>
  <si>
    <t>I01343</t>
  </si>
  <si>
    <t>CABLE IPHONE XS06 2.4A 1MT FONENG</t>
  </si>
  <si>
    <t>I01344</t>
  </si>
  <si>
    <t>CABLE IPHONE/TIPO-C X80 PD 27W 1MT FONENG</t>
  </si>
  <si>
    <t>I01353</t>
  </si>
  <si>
    <t>CABLE TIPO-C/TIPO-C X80 100W 1MT FONENG</t>
  </si>
  <si>
    <t>I01354</t>
  </si>
  <si>
    <t>CABLE IPHONE/TIPO-C X75 3A 1MT FONENG</t>
  </si>
  <si>
    <t>I01355</t>
  </si>
  <si>
    <t>CABLE TIPO-C/TIPO-C X73 3A 60W 1MT FONENG</t>
  </si>
  <si>
    <t>I01356</t>
  </si>
  <si>
    <t>CABLE MICRO X66 3A 1MT FONENG</t>
  </si>
  <si>
    <t>I01360</t>
  </si>
  <si>
    <t>CABLE TIPO-C X83 2.1A METAL FONENG</t>
  </si>
  <si>
    <t>I01369</t>
  </si>
  <si>
    <t>CABLE IPHONE X82 3A METAL FONENG</t>
  </si>
  <si>
    <t>I01370</t>
  </si>
  <si>
    <t>BOTELLON 30 CABLES XS06 MICRO 1M 2.4A FONENG</t>
  </si>
  <si>
    <t>I01395</t>
  </si>
  <si>
    <t>CABLE MICRO X66 3A 2MT FONENG</t>
  </si>
  <si>
    <t>I01396</t>
  </si>
  <si>
    <t>CABLE TIPO-C/TIPO-C X55 60W 2MT FONENG</t>
  </si>
  <si>
    <t>I01398</t>
  </si>
  <si>
    <t>CABLE MICRO X87 3A 1.2MT ZINC FONENG SUPERFAST</t>
  </si>
  <si>
    <t>I01410</t>
  </si>
  <si>
    <t>CABLE TIPO-C X87 100W 1.2MT ZINC FONENG SUPERFAST</t>
  </si>
  <si>
    <t>I01411</t>
  </si>
  <si>
    <t>CABLE IPHONE X87 3A 1.2MT ZINC FONENG SUPERFAST</t>
  </si>
  <si>
    <t>I01412</t>
  </si>
  <si>
    <t>CABLE DE AUDIO 3.5MM BM22 BK 1M FONENG</t>
  </si>
  <si>
    <t>I01478</t>
  </si>
  <si>
    <t>NO USAR--CAR TIP-C EU 46 3  A FON--NO USAR</t>
  </si>
  <si>
    <t>I01481</t>
  </si>
  <si>
    <t>NO USAR--CAR. MIC EU 46 3  A FON--NO USAR</t>
  </si>
  <si>
    <t>I01482</t>
  </si>
  <si>
    <t>NO USAR--CAR MI EU 45 2.4  A FON--NO USAR</t>
  </si>
  <si>
    <t>I01483</t>
  </si>
  <si>
    <t>CABLE DE AUDIO 3.5MM BM31 1M METAL/TRENZ FONENG</t>
  </si>
  <si>
    <t>I01505</t>
  </si>
  <si>
    <t>KIT CABLE X88 3A MICRO12/TIPO-C12/IPHONE6-FONENG</t>
  </si>
  <si>
    <t>I01506</t>
  </si>
  <si>
    <t>CABLE MICRO X88 3A 1MT -LOCAL-FONENG</t>
  </si>
  <si>
    <t>I01606</t>
  </si>
  <si>
    <t>CABLE TIPO-C X88 3A 1MT -LOCAL-FONENG</t>
  </si>
  <si>
    <t>I01607</t>
  </si>
  <si>
    <t>CABLE IPHONE X88 3A 1MT -LOCAL-FONENG</t>
  </si>
  <si>
    <t>I01608</t>
  </si>
  <si>
    <t>CABLE DE AUDIO 3.5MM A IPHONE BM31 1M METAL/TRENZ</t>
  </si>
  <si>
    <t>I01707</t>
  </si>
  <si>
    <t>CABLE DE AUDIO 3.5MM A TIPO-C BM31 1M METAL/TRENZ</t>
  </si>
  <si>
    <t>I01708</t>
  </si>
  <si>
    <t>CABLE IPHONE XS02 WHI 2.4A 1.2MT TRENZ FONENG</t>
  </si>
  <si>
    <t>I01882</t>
  </si>
  <si>
    <t>CABLE IPHONE XS02 BLUE 2.4A 1.2MT TRENZ FONENG</t>
  </si>
  <si>
    <t>I01883</t>
  </si>
  <si>
    <t>CABLE TIPO-C XS02 WHI 3A 1.2MT TRENZ FONENG</t>
  </si>
  <si>
    <t>I01944</t>
  </si>
  <si>
    <t>CABLE TIPO-C X51 BK 3A 1MT TRENZ FONENG</t>
  </si>
  <si>
    <t>I02050</t>
  </si>
  <si>
    <t>CABLE IPHONE X51 BK 2.4A 1MT TRENZ FONENG</t>
  </si>
  <si>
    <t>I02052</t>
  </si>
  <si>
    <t>CABLE MICRO XS06 2.1A 1MT FONENG</t>
  </si>
  <si>
    <t>I02111</t>
  </si>
  <si>
    <t>CABLE TIPO-C X112 BK 3A 1MT METAL/TRENZ FONENG</t>
  </si>
  <si>
    <t>I02144</t>
  </si>
  <si>
    <t>CABLE IPHONE X112 BK 3A 1MT METAL/TRENZ FONENG</t>
  </si>
  <si>
    <t>I02145</t>
  </si>
  <si>
    <t>CABLE TIPO-C/TIPO-C XS01 3A 60W 1MT FONENG</t>
  </si>
  <si>
    <t>I02202</t>
  </si>
  <si>
    <t>CABLE TIPO-C/TIPO-C X110 60W 1.2MT TRENZ. FONENG</t>
  </si>
  <si>
    <t>I02267</t>
  </si>
  <si>
    <t>CABLE TIPO-C/TIPO-C X117 60W 1MT FONENG</t>
  </si>
  <si>
    <t>I02285</t>
  </si>
  <si>
    <t>CABLE TIPO-C/ LIGHTING X116 PD27W 1MT FONENG</t>
  </si>
  <si>
    <t>I02286</t>
  </si>
  <si>
    <t>CABLE MICRO X115 2.1A 1MT FONENG</t>
  </si>
  <si>
    <t>I02287</t>
  </si>
  <si>
    <t>MUESTRA-CABLE 3 EN 1 RETRACTIL X113 2.4A 1.1MT FON</t>
  </si>
  <si>
    <t>I02288</t>
  </si>
  <si>
    <t>CABLE TIPOC/ TIPOC XS03 60W 1.2MT FONENG</t>
  </si>
  <si>
    <t>I02289</t>
  </si>
  <si>
    <t>CABLE TIPOC/ TIPOC XS05 100W 1.2MT FONENG</t>
  </si>
  <si>
    <t>I02290</t>
  </si>
  <si>
    <t>CABLE TIPO C  XS07 3A 1.2MT FONENG WHITE</t>
  </si>
  <si>
    <t>I02291</t>
  </si>
  <si>
    <t>CABLE TIPO C  XS07 3A 1.2MT FONENG BLACK</t>
  </si>
  <si>
    <t>I02292</t>
  </si>
  <si>
    <t>CABLE TIPO C  XS08 3A 1.2MT FONENG</t>
  </si>
  <si>
    <t>I02293</t>
  </si>
  <si>
    <t>CABLE TIPO C 3 EN 1 XS09 60W 1.2MT FONENG</t>
  </si>
  <si>
    <t>I02294</t>
  </si>
  <si>
    <t>CABLE TIPO C/ TIPO C 2 EN 1 XS10 60W 1.2MT FONENG</t>
  </si>
  <si>
    <t>I02295</t>
  </si>
  <si>
    <t>CABLE TIPO C/ LIGHTIN 2 EN 1 XS10 60W 1.2MT FONENG</t>
  </si>
  <si>
    <t>I02296</t>
  </si>
  <si>
    <t>CABLE MICRO X82 2.1A 1MT METAL TRENZADO FONENG</t>
  </si>
  <si>
    <t>I02344</t>
  </si>
  <si>
    <t>CABLE TIPO-C X80 100W 1.2MT METAL FONENG</t>
  </si>
  <si>
    <t>I02345</t>
  </si>
  <si>
    <t>CABLE 3 EN 1 RETRACTIL X113 BK 2.4A 1.1MT FONENG</t>
  </si>
  <si>
    <t>I02399</t>
  </si>
  <si>
    <t>CABLE 3 EN 1 RETRACTIL X113 BLUE 2.4A 1.1MT FONENG</t>
  </si>
  <si>
    <t>I02400</t>
  </si>
  <si>
    <t>CABLE 3 EN 1 RETRACTIL X113 PURPLE 2.4A 1.1MT FON</t>
  </si>
  <si>
    <t>I02401</t>
  </si>
  <si>
    <t>CABLE 3 EN 1 XS07 3A 1.2MT TIPO-C/IPH/MIC FONENG</t>
  </si>
  <si>
    <t>I02403</t>
  </si>
  <si>
    <t>CABLE MICRO X112 2.1A 1MT METAL/TRENZ FONENG</t>
  </si>
  <si>
    <t>I02405</t>
  </si>
  <si>
    <t>CABLE 3 EN 1 X112 3A 1.2MT TIPO-C/IPH/MIC FONENG</t>
  </si>
  <si>
    <t>I02479</t>
  </si>
  <si>
    <t>CABLE TIPO-C/TIPO-C XS03 240W 2MT TRENZ.FONENG</t>
  </si>
  <si>
    <t>I02483</t>
  </si>
  <si>
    <t>CABLE TIPO-C/TIPO-C X119 100W 1MT TRENZ. FONENG</t>
  </si>
  <si>
    <t>I02484</t>
  </si>
  <si>
    <t>CABLE IPHONE/TIPO-C XS11 30W 1MT WHITE TRENZ. FONE</t>
  </si>
  <si>
    <t>I02485</t>
  </si>
  <si>
    <t>CABLE IPHONE X95 3A METAL/TRENZ. FONENG</t>
  </si>
  <si>
    <t>I02582</t>
  </si>
  <si>
    <t>CABLE IPHONE/TIPO-C XS01 3A 27W 1MT FONENG</t>
  </si>
  <si>
    <t>I02583</t>
  </si>
  <si>
    <t>CABLE IPHONE/TIPO-C X31 20W 2MT FONENG</t>
  </si>
  <si>
    <t>I02584</t>
  </si>
  <si>
    <t>CABLE 4 EN 1 XS15 3A/27W/60W 1.2MT TRENZ FONENG</t>
  </si>
  <si>
    <t>I02586</t>
  </si>
  <si>
    <t>CABLE 4 EN 1 XS15 3A 1.2MT TRENZ. FONENG</t>
  </si>
  <si>
    <t>I02602</t>
  </si>
  <si>
    <t>CABLE TIPO-C/TIPO-C X121 BL 1.2MT 60W FLAT MET FON</t>
  </si>
  <si>
    <t>I02603</t>
  </si>
  <si>
    <t>CABLE TIPO-C/TIPO-C X121 WH 1.2MT 60W FLAT MET FON</t>
  </si>
  <si>
    <t>I02604</t>
  </si>
  <si>
    <t>CABLE IPHONE/TIPO-C XS13 60W 1.2M METAL/TRENZ FONE</t>
  </si>
  <si>
    <t>I02666</t>
  </si>
  <si>
    <t>CABLE TIPO-C/TIPO-C X127 90° 60W 1.2M MET/TRENZ FO</t>
  </si>
  <si>
    <t>I02744</t>
  </si>
  <si>
    <t>CABLE TIPO-C XS16 WHITE 3A 1MT FONENG</t>
  </si>
  <si>
    <t>I02745</t>
  </si>
  <si>
    <t>CABLE TIPO-C XS16 ORANGE 3A 1MT FONENG</t>
  </si>
  <si>
    <t>I02746</t>
  </si>
  <si>
    <t>CABLE TIPO-C/TIPO-C X121 OR 1.2MT 60W FLAT MET FON</t>
  </si>
  <si>
    <t>I02747</t>
  </si>
  <si>
    <t>CABLE MICRO X51 3A 2MT FONENG</t>
  </si>
  <si>
    <t>I02772</t>
  </si>
  <si>
    <t>CARGADOR DE AUTO DOBLE FONENG 2.4A SILVER</t>
  </si>
  <si>
    <t>I01223</t>
  </si>
  <si>
    <t>CARGADOR DE AUTO DOBLE FONENG 2.4A BLACK</t>
  </si>
  <si>
    <t>I01224</t>
  </si>
  <si>
    <t>GSC1A1U</t>
  </si>
  <si>
    <t>CARGADOR SIN CABLE K100 1A FONENG</t>
  </si>
  <si>
    <t>I01227</t>
  </si>
  <si>
    <t>GTC2A1U</t>
  </si>
  <si>
    <t>CARGADOR TIPO-C EU43 2.1A FONENG</t>
  </si>
  <si>
    <t>I01236</t>
  </si>
  <si>
    <t>GIP2A1U</t>
  </si>
  <si>
    <t>CARGADOR IPHONE EU43 2.1A FONENG</t>
  </si>
  <si>
    <t>I01237</t>
  </si>
  <si>
    <t>GMI2A1U</t>
  </si>
  <si>
    <t>CARGADOR MICRO EU43 2.1A FONENG</t>
  </si>
  <si>
    <t>I01256</t>
  </si>
  <si>
    <t>GTC2A2U</t>
  </si>
  <si>
    <t>CARGADOR TIPO-C K240 2.4A 2-USB FONENG</t>
  </si>
  <si>
    <t>I01259</t>
  </si>
  <si>
    <t>GIP2A2U</t>
  </si>
  <si>
    <t>CARGADOR IPHONE K240 2.4A 2-USB FONENG</t>
  </si>
  <si>
    <t>I01260</t>
  </si>
  <si>
    <t>KIT CARGADORES-10-2USB + 15 CABLES 3A FONENG</t>
  </si>
  <si>
    <t>I01278</t>
  </si>
  <si>
    <t>SINTONIZADOR CARG. AUTO BC01 2 USB 2.1A FONENG</t>
  </si>
  <si>
    <t>I01291</t>
  </si>
  <si>
    <t>CARGADOR AUTO C08 BK 2-USB 2.4A METAL FONENG</t>
  </si>
  <si>
    <t>I01292</t>
  </si>
  <si>
    <t>CARGADOR AUTO C08 SILVER 2-USB 2.4A METAL FONENG</t>
  </si>
  <si>
    <t>I01293</t>
  </si>
  <si>
    <t>CARGADOR AUTO C07 BK 2-USB 2.4A FONENG</t>
  </si>
  <si>
    <t>I01294</t>
  </si>
  <si>
    <t>GAUSC2A2U</t>
  </si>
  <si>
    <t>CARGADOR AUTO C07 WHITE 2-USB 2.4A FONENG</t>
  </si>
  <si>
    <t>I01295</t>
  </si>
  <si>
    <t>GAUTC2A2U</t>
  </si>
  <si>
    <t>CARGADOR AUTO C10 BK TIPO-C 2-USB 2.4A FONENG</t>
  </si>
  <si>
    <t>I01296</t>
  </si>
  <si>
    <t>CARGADOR AUTO C10 WH TIPO-C 2-USB 2.4A FONENG</t>
  </si>
  <si>
    <t>I01297</t>
  </si>
  <si>
    <t>GAUIP2A2U</t>
  </si>
  <si>
    <t>CARGADOR AUTO C10 BK IPHONE 2-USB 2.4A FONENG</t>
  </si>
  <si>
    <t>I01298</t>
  </si>
  <si>
    <t>CARGADOR AUTO C10 WH IPHONE 2-USB 2.4A FONENG</t>
  </si>
  <si>
    <t>I01299</t>
  </si>
  <si>
    <t>GAUTC4A1U</t>
  </si>
  <si>
    <t>CARGADOR AUTO C15MINI 4A TIPO-C METAL FONENG</t>
  </si>
  <si>
    <t>I01300</t>
  </si>
  <si>
    <t>CARGADOR TIPO-C EU20 2.4A 2-USB FONENG</t>
  </si>
  <si>
    <t>I01307</t>
  </si>
  <si>
    <t>CARGADOR IPHONE EU20 2.4A 2-USB FONENG</t>
  </si>
  <si>
    <t>I01308</t>
  </si>
  <si>
    <t>GSC2A2U</t>
  </si>
  <si>
    <t>CARGADOR SIN CABLE EU20 2.4A 2-USB FONENG</t>
  </si>
  <si>
    <t>I01341</t>
  </si>
  <si>
    <t>GIPTC25W1U</t>
  </si>
  <si>
    <t>CARGADOR IPHONE/TIPO-C EU40 PD25W FONENG</t>
  </si>
  <si>
    <t>I01345</t>
  </si>
  <si>
    <t>GTCTC25W1U</t>
  </si>
  <si>
    <t>CARGADOR TIPO-C/TIPO-C EU40 PD25W FONENG</t>
  </si>
  <si>
    <t>I01346</t>
  </si>
  <si>
    <t>GTC3A1U</t>
  </si>
  <si>
    <t>CARGADOR TIPO-C EU27 3A FONENG</t>
  </si>
  <si>
    <t>I01347</t>
  </si>
  <si>
    <t>GIP3A1U</t>
  </si>
  <si>
    <t>CARGADOR IPHONE EU27 3A FONENG</t>
  </si>
  <si>
    <t>I01348</t>
  </si>
  <si>
    <t>GMI3A3U</t>
  </si>
  <si>
    <t>CARGADOR MICRO T310 3.1A 3-USB FONENG</t>
  </si>
  <si>
    <t>I01349</t>
  </si>
  <si>
    <t>GTC3A3U</t>
  </si>
  <si>
    <t>CARGADOR TIPO-C T310 3.1A 3-USB FONENG</t>
  </si>
  <si>
    <t>I01350</t>
  </si>
  <si>
    <t>GIP3A3U</t>
  </si>
  <si>
    <t>CARGADOR IPHONE T310 3.1A 3-USB FONENG</t>
  </si>
  <si>
    <t>I01351</t>
  </si>
  <si>
    <t>CARGADOR SIN CABLE K240 2.4A 2-USB FONENG</t>
  </si>
  <si>
    <t>I01352</t>
  </si>
  <si>
    <t>GSC2A1U</t>
  </si>
  <si>
    <t>CARGADOR SIN CABLE K210 2.1A FONENG</t>
  </si>
  <si>
    <t>I01357</t>
  </si>
  <si>
    <t>CARGADOR MICRO EU29 2.4A FONENG</t>
  </si>
  <si>
    <t>I01358</t>
  </si>
  <si>
    <t>GMI2A2U</t>
  </si>
  <si>
    <t>CARGADOR MICRO K240 2.4A 2-USB FONENG</t>
  </si>
  <si>
    <t>I01359</t>
  </si>
  <si>
    <t>GMI3A2U</t>
  </si>
  <si>
    <t>CARGADOR MICRO EU36 3A 2-USB FONENG</t>
  </si>
  <si>
    <t>I01361</t>
  </si>
  <si>
    <t>GTC3A2U</t>
  </si>
  <si>
    <t>CARGADOR TIPO-C EU36 3A 2-USB FONENG</t>
  </si>
  <si>
    <t>I01362</t>
  </si>
  <si>
    <t>GIP3A2U</t>
  </si>
  <si>
    <t>CARGADOR IPHONE EU36 3A 2-USB FONENG</t>
  </si>
  <si>
    <t>I01363</t>
  </si>
  <si>
    <t>GAU36W1U</t>
  </si>
  <si>
    <t>CARGADOR AUTO C19 2-USB 3A 36W CARGA RAPIDA FONENG</t>
  </si>
  <si>
    <t>I01371</t>
  </si>
  <si>
    <t>SINTONIZADOR CARG. AUTO BC02 2 USB 3.1A FONENG</t>
  </si>
  <si>
    <t>I01390</t>
  </si>
  <si>
    <t>GSCTC20W1U</t>
  </si>
  <si>
    <t>CARGADOR SIN CABLE EU23 20W ENTRADA TIPO-C FONENG</t>
  </si>
  <si>
    <t>I01391</t>
  </si>
  <si>
    <t>GMI3A1U</t>
  </si>
  <si>
    <t>CARGADOR MICRO EU46 3A 18W USB 3.0 FONENG</t>
  </si>
  <si>
    <t>I01392</t>
  </si>
  <si>
    <t>CARGADOR TIPO-C EU46 3A 18W USB 3.0 FONENG</t>
  </si>
  <si>
    <t>I01393</t>
  </si>
  <si>
    <t>CARGADOR IPHONE EU46 3A 18W USB 3.0 FONENG</t>
  </si>
  <si>
    <t>I01394</t>
  </si>
  <si>
    <t>CARGADOR MICRO EU45 2.4A 2-USB FONENG</t>
  </si>
  <si>
    <t>I01403</t>
  </si>
  <si>
    <t>CARGADOR TIPO-C EU45 2.4A 2-USB FONENG</t>
  </si>
  <si>
    <t>I01479</t>
  </si>
  <si>
    <t>CARGADOR SIN CABLE EU39 3A 20W ENTRADA TIPO-C FONE</t>
  </si>
  <si>
    <t>I01480</t>
  </si>
  <si>
    <t>CARGADOR IPHONE EU45 2.4A 2-USB FONENG</t>
  </si>
  <si>
    <t>I01579</t>
  </si>
  <si>
    <t>GAUTC48W2U</t>
  </si>
  <si>
    <t>CARGADOR AUTO C18 48W TIPO-C SAL USB+TIPO-C FONENG</t>
  </si>
  <si>
    <t>I01580</t>
  </si>
  <si>
    <t>GAUIP48W2U</t>
  </si>
  <si>
    <t>CARGADOR AUTO C18 48W IPHONE SAL USB+TIPO-C FONENG</t>
  </si>
  <si>
    <t>I01581</t>
  </si>
  <si>
    <t>GSCTC35W2U</t>
  </si>
  <si>
    <t>CARGADOR SIN CABLE EU50 35W 2-USB-C FONENG</t>
  </si>
  <si>
    <t>I01582</t>
  </si>
  <si>
    <t>GTCTC35W2U</t>
  </si>
  <si>
    <t>CARGADOR TIPO-C/TIPO-C EU50 35W 2-USB-C FONENG</t>
  </si>
  <si>
    <t>I01583</t>
  </si>
  <si>
    <t>GIPTC35W2U</t>
  </si>
  <si>
    <t>CARGADOR IPHONE/TIPO-C EU50 35W 2-USB-C FONENG</t>
  </si>
  <si>
    <t>I01584</t>
  </si>
  <si>
    <t>GSCTC35WGA2U</t>
  </si>
  <si>
    <t>CARGADOR SIN CABLE GaN35 35W 2-USB-C FONENG</t>
  </si>
  <si>
    <t>I01585</t>
  </si>
  <si>
    <t>GTCTC65WGA3U</t>
  </si>
  <si>
    <t>CARGADOR TIPO-C/TIPO-C GaN65 65W 3USB-A+C+C FONENG</t>
  </si>
  <si>
    <t>I01586</t>
  </si>
  <si>
    <t>CARGADOR AUTO C18 2-USB TIPO C 48W FONENG</t>
  </si>
  <si>
    <t>I01656</t>
  </si>
  <si>
    <t>CARGADOR AUTO C18 2-USB IPHONE 48W FONENG</t>
  </si>
  <si>
    <t>I01657</t>
  </si>
  <si>
    <t>GTCTC35WGA2U</t>
  </si>
  <si>
    <t>CARGADOR TIPO-C/TIPO-C GaN35 35W 2-USB-C FONENG</t>
  </si>
  <si>
    <t>I01701</t>
  </si>
  <si>
    <t>GIPTC35WGA2U</t>
  </si>
  <si>
    <t>CARGADOR IPHONE/TIPO-C GaN35 35W 2-USB-C FONENG</t>
  </si>
  <si>
    <t>I01702</t>
  </si>
  <si>
    <t>GSCTC25WGA1U</t>
  </si>
  <si>
    <t>CARGADOR SIN CABLE EU51WH GaN25W ENT TIPO-C FONENG</t>
  </si>
  <si>
    <t>I01703</t>
  </si>
  <si>
    <t>GSCTC25WGA1UBK</t>
  </si>
  <si>
    <t>CARGADOR SIN CABLE EU51BK GaN25W ENT TIPO-C FONENG</t>
  </si>
  <si>
    <t>I01704</t>
  </si>
  <si>
    <t>GIPTC25WGA1U</t>
  </si>
  <si>
    <t>CARGADOR IPHONE/TIPO-C EU51 GaN 25W FONENG</t>
  </si>
  <si>
    <t>I01705</t>
  </si>
  <si>
    <t>GTCTC25WGA1U</t>
  </si>
  <si>
    <t>CARGADOR TIPO-C/TIPO-C EU51 GaN 25W FONENG</t>
  </si>
  <si>
    <t>I01706</t>
  </si>
  <si>
    <t>CARGADOR TIPO-C/TIPO-C EU39+X73 20W FONENG</t>
  </si>
  <si>
    <t>I01915</t>
  </si>
  <si>
    <t>CARGADOR TIPO-C/TIPO-C EU51+X73 25W GaN FONENG</t>
  </si>
  <si>
    <t>I01916</t>
  </si>
  <si>
    <t>CARGADOR TIPO-C EU63 2.4A 2-USB FONENG</t>
  </si>
  <si>
    <t>I02146</t>
  </si>
  <si>
    <t>CARGADOR IPHONE EU63 2.4A 2-USB FONENG</t>
  </si>
  <si>
    <t>I02147</t>
  </si>
  <si>
    <t>CARGADOR TIPO-C K210 2.1A FONENG</t>
  </si>
  <si>
    <t>I02194</t>
  </si>
  <si>
    <t>CARGADOR IPHONE K210 2.1A FONENG</t>
  </si>
  <si>
    <t>I02195</t>
  </si>
  <si>
    <t>CARGADOR MICRO K210 2.1A FONENG</t>
  </si>
  <si>
    <t>I02196</t>
  </si>
  <si>
    <t>GTCTC45WGA1U</t>
  </si>
  <si>
    <t>CARGADOR TIPO-C/TIPO-C EU62 GaN45W FONENG</t>
  </si>
  <si>
    <t>I02200</t>
  </si>
  <si>
    <t>GTCTC65WGA2U</t>
  </si>
  <si>
    <t>CARGADOR TIPO-C/TIPO-C GaN30 65W 2USB-A+C FONENG</t>
  </si>
  <si>
    <t>I02201</t>
  </si>
  <si>
    <t>CARGADOR SIN CABLE EU63 2.4A 2-USB FONENG</t>
  </si>
  <si>
    <t>I02251</t>
  </si>
  <si>
    <t>GSCTC45WGA1U</t>
  </si>
  <si>
    <t>CARGADOR SIN CABLE EU62 GaN45W ENT TIPO-C FONENG</t>
  </si>
  <si>
    <t>I02266</t>
  </si>
  <si>
    <t>CARGADOR SIN CABLE GAN20  45W FONENG</t>
  </si>
  <si>
    <t>I02282</t>
  </si>
  <si>
    <t>CARGADOR SIN CABLE EU67 GAN 45W FONENG</t>
  </si>
  <si>
    <t>I02283</t>
  </si>
  <si>
    <t>CARGADOR SIN CABLE EU53 2.4A 2 USB  FONENG</t>
  </si>
  <si>
    <t>I02284</t>
  </si>
  <si>
    <t>CARGADOR TIPO-C/TIPO-C EU67 GaN45W 2-USB-A+C FONE</t>
  </si>
  <si>
    <t>I02398</t>
  </si>
  <si>
    <t>CARGADOR INALAMBRICO W03 15W MAGNET TIPO-C FONENG</t>
  </si>
  <si>
    <t>I02409</t>
  </si>
  <si>
    <t>CARGADOR TIPO-C/TIPO-C EU71 GaN30W 2-USB-A+C FONE</t>
  </si>
  <si>
    <t>I02480</t>
  </si>
  <si>
    <t>CARGADOR SIN CABLE GAN40 100W 1USB-A+4USB-C FONENG</t>
  </si>
  <si>
    <t>I02585</t>
  </si>
  <si>
    <t>CARGADOR TIPO-C/TIPO-C GaN50 65W 3USB-A+C+C FONENG</t>
  </si>
  <si>
    <t>I02613</t>
  </si>
  <si>
    <t>CARGADOR TIPO-C/TIPO-C MAX40 GaN WHITE 65W FONENG</t>
  </si>
  <si>
    <t>I02669</t>
  </si>
  <si>
    <t>CARGADOR TIPO-C/TIPO-C MAX40 GaN ORANGE 65W FONENG</t>
  </si>
  <si>
    <t>I02671</t>
  </si>
  <si>
    <t>CARGADOR SIN CABLE EU76 WH 2.1A FONENG</t>
  </si>
  <si>
    <t>I02693</t>
  </si>
  <si>
    <t>CARGADOR SIN CABLE EU76 BK 2.1A FONENG</t>
  </si>
  <si>
    <t>I02694</t>
  </si>
  <si>
    <t>CARGADOR TIPO-C EU76 WH 2.1A FONENG</t>
  </si>
  <si>
    <t>I02695</t>
  </si>
  <si>
    <t>CARGADOR TIPO-C EU76 BK 2.1A FONENG</t>
  </si>
  <si>
    <t>I02696</t>
  </si>
  <si>
    <t>CARGADOR IPHONE EU76 WH 2.1A FONENG</t>
  </si>
  <si>
    <t>I02697</t>
  </si>
  <si>
    <t>CARGADOR IPHONE EU76 BK 2.1A FONENG</t>
  </si>
  <si>
    <t>I02698</t>
  </si>
  <si>
    <t>CARGADOR FONENG CUBE TIPO C/ TIPO C GAN 20W</t>
  </si>
  <si>
    <t>I02701</t>
  </si>
  <si>
    <t>CARGADOR FONENG MAX10 TIPO C/ TIPO C GAN 35W</t>
  </si>
  <si>
    <t>I02702</t>
  </si>
  <si>
    <t>CARGADOR FONENG MAX50 GAN 65W</t>
  </si>
  <si>
    <t>I02703</t>
  </si>
  <si>
    <t>CARGADOR FONENG EU72 TIPO C/ TIPO C GAN 25W</t>
  </si>
  <si>
    <t>I02704</t>
  </si>
  <si>
    <t>CARGADOR FONENG EU73 TIPO C/ TIPO C GAN 45W</t>
  </si>
  <si>
    <t>I02705</t>
  </si>
  <si>
    <t>CARGADOR FONENG EU75 TIPO C/ TIPO C GAN 45W</t>
  </si>
  <si>
    <t>I02706</t>
  </si>
  <si>
    <t>CARGADOR INALAMBRICO CP126 3 EN 1 BK FONENG</t>
  </si>
  <si>
    <t>I02765</t>
  </si>
  <si>
    <t>POWER BANK P51 BK 22.5W 10.000mAh FONENG</t>
  </si>
  <si>
    <t>I01252</t>
  </si>
  <si>
    <t>POWER BANK P51 WHITE 22.5W 10.000mAh FONENG</t>
  </si>
  <si>
    <t>I01253</t>
  </si>
  <si>
    <t>POWER BANK P52 BK 20.000mAh 22.5W FONENG</t>
  </si>
  <si>
    <t>I01254</t>
  </si>
  <si>
    <t>POWER BANK P52 WHITE 20.000mAh 22.5W FONENG</t>
  </si>
  <si>
    <t>I01255</t>
  </si>
  <si>
    <t>AURICULARES T29 BLACK HEAVY BASS FONENG</t>
  </si>
  <si>
    <t>I01216</t>
  </si>
  <si>
    <t>AURICULARES T57 BK FONENG</t>
  </si>
  <si>
    <t>I01217</t>
  </si>
  <si>
    <t>AURICULARES T42 RED METAL FONENG</t>
  </si>
  <si>
    <t>I01218</t>
  </si>
  <si>
    <t>AURICULARES TIPO-C T15 FONENG</t>
  </si>
  <si>
    <t>I01219</t>
  </si>
  <si>
    <t>AURICULARES iPHONE T28 BT FONENG</t>
  </si>
  <si>
    <t>I01220</t>
  </si>
  <si>
    <t>AURICULARES TIPO-C T61 FONENG BLANCO</t>
  </si>
  <si>
    <t>I01239</t>
  </si>
  <si>
    <t>AURICULARES CABL. T63 PURPLE METAL FONENG</t>
  </si>
  <si>
    <t>I01285</t>
  </si>
  <si>
    <t>AURICULARES CABL. T63 GRAY METAL FONENG</t>
  </si>
  <si>
    <t>I01286</t>
  </si>
  <si>
    <t>AURICULARES CABL. T63 BLUE METAL FONENG</t>
  </si>
  <si>
    <t>I01287</t>
  </si>
  <si>
    <t>AURICULARES T42 BLACK METAL FONENG</t>
  </si>
  <si>
    <t>I01288</t>
  </si>
  <si>
    <t>AURICULARES T29 WHITE HEAVY BASS FONENG</t>
  </si>
  <si>
    <t>I01289</t>
  </si>
  <si>
    <t>KIT AURICULARES T46 WHITE 20PCS FONENG</t>
  </si>
  <si>
    <t>I01290</t>
  </si>
  <si>
    <t>AURICULARES T46 WHITE FONENG</t>
  </si>
  <si>
    <t>I01342</t>
  </si>
  <si>
    <t>AURICULARES T36 TIPO-C DIGITAL COMP FONENG</t>
  </si>
  <si>
    <t>I01387</t>
  </si>
  <si>
    <t>AURICULARES CABL. T59 BLACK IN-EAR FONENG</t>
  </si>
  <si>
    <t>I01388</t>
  </si>
  <si>
    <t>AURICULARES CABL. T59 WHITE IN-EAR FONENG</t>
  </si>
  <si>
    <t>I01389</t>
  </si>
  <si>
    <t>AURICULARES CABL. T33 WHITE IN-EAR 3D FONENG (T59)</t>
  </si>
  <si>
    <t>I01654</t>
  </si>
  <si>
    <t>AURICULARES CABL. EP500 BLACK IN-EAR FONENG(T59)</t>
  </si>
  <si>
    <t>I01655</t>
  </si>
  <si>
    <t>AURICULARES T41 BLANCO / NEGRO FONENG</t>
  </si>
  <si>
    <t>I01942</t>
  </si>
  <si>
    <t>AURICULARES CABL. T41 BLACK FONENG</t>
  </si>
  <si>
    <t>I01943</t>
  </si>
  <si>
    <t>AURICULARES CABL. T67 IN-EAR BK METAL FONENG</t>
  </si>
  <si>
    <t>I02197</t>
  </si>
  <si>
    <t>AURICULARES CABL. T67 IN-EAR BLUE METAL FONENG</t>
  </si>
  <si>
    <t>I02198</t>
  </si>
  <si>
    <t>AURICULARES CABL. T67 SILVER METAL IN-EAR FONENG</t>
  </si>
  <si>
    <t>I02199</t>
  </si>
  <si>
    <t>AURICULARES CABL. T57 WHITE IN-EAR FONENG (T59)</t>
  </si>
  <si>
    <t>I02203</t>
  </si>
  <si>
    <t>AURICULARES CABL. EP100 BLACK FONENG</t>
  </si>
  <si>
    <t>I02407</t>
  </si>
  <si>
    <t>AURICULARES CABL. EP100 WHITE FONENG</t>
  </si>
  <si>
    <t>I02408</t>
  </si>
  <si>
    <t>AURICULARES TIPO-C T65 BLANCO IN-EAR FONENG</t>
  </si>
  <si>
    <t>I02481</t>
  </si>
  <si>
    <t>AURICULARES CABL. T15 WHITE 3.5mm FONENG</t>
  </si>
  <si>
    <t>I02486</t>
  </si>
  <si>
    <t>AURICULARES TIPO-C T36 FONENG BLANCO</t>
  </si>
  <si>
    <t>I02614</t>
  </si>
  <si>
    <t>AURICULAR TWS BL109 BLUE FONENG</t>
  </si>
  <si>
    <t>I01221</t>
  </si>
  <si>
    <t>AURICULAR TWS BL109 PINK FONENG</t>
  </si>
  <si>
    <t>I01222</t>
  </si>
  <si>
    <t>AURICULAR BLUETOOTH FONENG BL32 BLACK SILICONA</t>
  </si>
  <si>
    <t>I01234</t>
  </si>
  <si>
    <t>AURICULAR TWS FONENG BL08L WHITE BLUETOOTH</t>
  </si>
  <si>
    <t>I01240</t>
  </si>
  <si>
    <t>AURICULAR TWS BL109 BLACK FONENG</t>
  </si>
  <si>
    <t>I01283</t>
  </si>
  <si>
    <t>AURICULAR TWS BL109 WHITE FONENG</t>
  </si>
  <si>
    <t>I01284</t>
  </si>
  <si>
    <t>AURICULAR TWS BL110 FONENG</t>
  </si>
  <si>
    <t>I01321</t>
  </si>
  <si>
    <t>AURICULAR TWS BL06 BLACK FONENG</t>
  </si>
  <si>
    <t>I01385</t>
  </si>
  <si>
    <t>AURICULAR TWS BL118 BLACK FONENG</t>
  </si>
  <si>
    <t>I01386</t>
  </si>
  <si>
    <t>AURICULAR TWS BL126 BK DUAL MIC ENC FONENG</t>
  </si>
  <si>
    <t>I01406</t>
  </si>
  <si>
    <t>AURICULAR TWS BL126 WHITE DUAL MIC ENC FONENG</t>
  </si>
  <si>
    <t>I01407</t>
  </si>
  <si>
    <t>AURICULAR TWS BL128 SUBWOOFER WH FONENG</t>
  </si>
  <si>
    <t>I01408</t>
  </si>
  <si>
    <t>AURICULAR TWS BL128 SUBWOOFER BK FONENG</t>
  </si>
  <si>
    <t>I01409</t>
  </si>
  <si>
    <t>AURICULAR TWS BL118 BT YE FONENG</t>
  </si>
  <si>
    <t>I01504</t>
  </si>
  <si>
    <t>AURICULAR TWS BL131 WHITE FONENG</t>
  </si>
  <si>
    <t>I01587</t>
  </si>
  <si>
    <t>AURICULAR TWS BL131 BLACK FONENG</t>
  </si>
  <si>
    <t>I01588</t>
  </si>
  <si>
    <t>AURICULAR TWS BL138 BLACK HEAVY BASS FONENG</t>
  </si>
  <si>
    <t>I01726</t>
  </si>
  <si>
    <t>AURICULAR TWS BL153 BLACK FONENG</t>
  </si>
  <si>
    <t>I02057</t>
  </si>
  <si>
    <t>AURICULAR TWS BL153 BEIGE FONENG</t>
  </si>
  <si>
    <t>I02058</t>
  </si>
  <si>
    <t>AURICULAR TWS BL153 BLUE FONENG</t>
  </si>
  <si>
    <t>I02059</t>
  </si>
  <si>
    <t>AURICULAR TWS BL158 BK ANC+ENC FONENG</t>
  </si>
  <si>
    <t>I02141</t>
  </si>
  <si>
    <t>AURICULARES BL56 BK BT ANC+ENC FONENG</t>
  </si>
  <si>
    <t>I02142</t>
  </si>
  <si>
    <t>AURICULARES BL51 BK BT ANC+ENC FONENG</t>
  </si>
  <si>
    <t>I02143</t>
  </si>
  <si>
    <t>AURICULAR TWS FONENG BL159 WHITE</t>
  </si>
  <si>
    <t>I02278</t>
  </si>
  <si>
    <t>AURICULAR TWS FONENG BL155 BEIGE</t>
  </si>
  <si>
    <t>I02279</t>
  </si>
  <si>
    <t>AURICULAR TWS FONENG ANC BL152 WHITE</t>
  </si>
  <si>
    <t>I02280</t>
  </si>
  <si>
    <t>AURICULAR TWS FONENG ANC BL151 BEIGE</t>
  </si>
  <si>
    <t>I02281</t>
  </si>
  <si>
    <t>AURICULAR TWS BL138 BEIGE HEAVY BASS FONENG</t>
  </si>
  <si>
    <t>I02487</t>
  </si>
  <si>
    <t>AURICULAR TWS BL166 SILVER SLIDING ANC+ENC FONENG</t>
  </si>
  <si>
    <t>I02488</t>
  </si>
  <si>
    <t>AURICULAR TWS BL166 GRAY SLIDING ANC+ENC FONENG</t>
  </si>
  <si>
    <t>I02489</t>
  </si>
  <si>
    <t>AURICULAR TWS BL135 BK ULTRAFINOS FONENG</t>
  </si>
  <si>
    <t>I02615</t>
  </si>
  <si>
    <t>AURICULAR TWS BL135 WHITE ULTRAFINOS FONENG</t>
  </si>
  <si>
    <t>I02616</t>
  </si>
  <si>
    <t>AURICULAR OWS BL161 BLACK FONENG</t>
  </si>
  <si>
    <t>I02667</t>
  </si>
  <si>
    <t>AURICULAR OWS BL161 WHITE FONENG</t>
  </si>
  <si>
    <t>I02668</t>
  </si>
  <si>
    <t>AURICULAR TWS BL179 BK MIC ENC FONENG</t>
  </si>
  <si>
    <t>I02683</t>
  </si>
  <si>
    <t>AURICULAR TWS BL179 WH MIC ENC FONENG</t>
  </si>
  <si>
    <t>I02684</t>
  </si>
  <si>
    <t>AURICULAR TWS BL168 BK FONENG</t>
  </si>
  <si>
    <t>I02685</t>
  </si>
  <si>
    <t>AURICULAR TWS BL168 WH FONENG</t>
  </si>
  <si>
    <t>I02686</t>
  </si>
  <si>
    <t>AURICULARES TWS FONENG BL169 ANC BLACK</t>
  </si>
  <si>
    <t>I02707</t>
  </si>
  <si>
    <t>AURICULARES TWS FONENG BL170 ANC WHITE</t>
  </si>
  <si>
    <t>I02708</t>
  </si>
  <si>
    <t>AURICULARES TWS FONENG BL180 ANC BLACK</t>
  </si>
  <si>
    <t>I02709</t>
  </si>
  <si>
    <t>AURICULAR OWS BL165 BLACK FONENG</t>
  </si>
  <si>
    <t>I02748</t>
  </si>
  <si>
    <t>AURICULAR OWS BL165 BEIGE FONENG</t>
  </si>
  <si>
    <t>I02749</t>
  </si>
  <si>
    <t>PARLANTE BLUETOOTH BL14 BK 6W FONENG</t>
  </si>
  <si>
    <t>I01231</t>
  </si>
  <si>
    <t>PARLANTE BARRA BL12 BT 10W FONENG</t>
  </si>
  <si>
    <t>I01232</t>
  </si>
  <si>
    <t>PARLANTE BT BL15 8W FULL RGB FONENG</t>
  </si>
  <si>
    <t>I01397</t>
  </si>
  <si>
    <t>AURICULAR BT BL39 SPORTS CONDUCION OSEA FONENG</t>
  </si>
  <si>
    <t>I01652</t>
  </si>
  <si>
    <t>AURICULAR BT BL35 NECKBAND SPORTS FONENG</t>
  </si>
  <si>
    <t>I01653</t>
  </si>
  <si>
    <t>AURICULAR BT BL59 BK ANC FONENG</t>
  </si>
  <si>
    <t>I02766</t>
  </si>
  <si>
    <t>Articulo</t>
  </si>
  <si>
    <t>Vta.Ago/25</t>
  </si>
  <si>
    <t>Vta.Sep/25</t>
  </si>
  <si>
    <t>Vta.Oct/25</t>
  </si>
  <si>
    <t>Vta.Nov/25</t>
  </si>
  <si>
    <t>Vta.Dic/25</t>
  </si>
  <si>
    <t>Vta.Ene/26</t>
  </si>
  <si>
    <t>Vta.Feb/26</t>
  </si>
  <si>
    <t>Vta.Mar/26</t>
  </si>
  <si>
    <t>Vta.Abr/26</t>
  </si>
  <si>
    <t>Vta.May/26</t>
  </si>
  <si>
    <t>Vta.Jun/26</t>
  </si>
  <si>
    <t>Vta.Jul/26</t>
  </si>
  <si>
    <t>Vta.Ago/26</t>
  </si>
  <si>
    <t>Ago/25</t>
  </si>
  <si>
    <t>Sep/25</t>
  </si>
  <si>
    <t>Oct/25</t>
  </si>
  <si>
    <t>Nov/25</t>
  </si>
  <si>
    <t>Dic/25</t>
  </si>
  <si>
    <t>Ene/26</t>
  </si>
  <si>
    <t>Feb/26</t>
  </si>
  <si>
    <t>Mar/26</t>
  </si>
  <si>
    <t>Abr/26</t>
  </si>
  <si>
    <t>May/26</t>
  </si>
  <si>
    <t>Jun/26</t>
  </si>
  <si>
    <t>Jul/26</t>
  </si>
  <si>
    <t>Ago/26</t>
  </si>
  <si>
    <t>Rotacion DesEstac.</t>
  </si>
  <si>
    <t>Rot. Manual</t>
  </si>
  <si>
    <t>Estado Art.</t>
  </si>
  <si>
    <t>SIN STOCK</t>
  </si>
  <si>
    <t>TOT STK</t>
  </si>
  <si>
    <t>C/STK</t>
  </si>
  <si>
    <t>VTA</t>
  </si>
  <si>
    <t>DDSTK</t>
  </si>
  <si>
    <t xml:space="preserve">cargador tipo-c </t>
  </si>
  <si>
    <t xml:space="preserve">cargador iphone </t>
  </si>
  <si>
    <t>cargador micro</t>
  </si>
  <si>
    <t>cargador tipo-c/</t>
  </si>
  <si>
    <t>cargador iphone/</t>
  </si>
  <si>
    <t>cargador sin</t>
  </si>
  <si>
    <t>cable 3 en 1</t>
  </si>
  <si>
    <t>cable micro</t>
  </si>
  <si>
    <t xml:space="preserve">cable tipo-c </t>
  </si>
  <si>
    <t xml:space="preserve">cable iphone </t>
  </si>
  <si>
    <t>cable tipo-c</t>
  </si>
  <si>
    <t>cable iphone/</t>
  </si>
  <si>
    <t>cable de audio</t>
  </si>
  <si>
    <t>AURICULARES cab</t>
  </si>
  <si>
    <t>AURICULARES tipo</t>
  </si>
  <si>
    <t>tws</t>
  </si>
  <si>
    <t>CABLE TIPO-C X119 METAL ZINC 18W 1MT FONENG</t>
  </si>
  <si>
    <t>I02825</t>
  </si>
  <si>
    <t>CABLE IPHONE X119 METAL ZINC 2.1A 1MT FONENG</t>
  </si>
  <si>
    <t>I02826</t>
  </si>
  <si>
    <t>AURICULARES TWS FONENG BL170 ANC BLACK</t>
  </si>
  <si>
    <t>I02827</t>
  </si>
  <si>
    <t>CABLE MICRO XS16 WHITE 2.1A 1MT FONENG</t>
  </si>
  <si>
    <t>I02828</t>
  </si>
  <si>
    <t>CABLE IPHONE XS16 WHITE 2.4A 1MT FONENG</t>
  </si>
  <si>
    <t>I02829</t>
  </si>
  <si>
    <t>CABLE IPHONE XS16 WHITE 2.4A 2MT FONENG</t>
  </si>
  <si>
    <t>I02830</t>
  </si>
  <si>
    <t>CABLE TIPO-C XS16 WHITE 3A -2MT- FONENG</t>
  </si>
  <si>
    <t>I02831</t>
  </si>
  <si>
    <t>CARGADOR TIPO-C/TIPO-C EU62 BK GaN45W FONENG</t>
  </si>
  <si>
    <t>I02832</t>
  </si>
  <si>
    <t>I02833</t>
  </si>
  <si>
    <t>CARGADOR SIN CABLE MAX40 GaN WHITE 65W FONENG</t>
  </si>
  <si>
    <t>CARGADOR SIN CABLE MAX40 GaN ORANGE 65W FONENG</t>
  </si>
  <si>
    <t>I02834</t>
  </si>
  <si>
    <t>I02835</t>
  </si>
  <si>
    <t>CARGADOR SIN CABLE CUBE BK GaN 20W FONENG</t>
  </si>
  <si>
    <t>CARGADOR TIPO-C/TIPO-C CUBE BK GaN 20W FONENG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</si>
</sst>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#,##0.0000"/>
    <numFmt numFmtId="165" formatCode="dd/mm/yyyy"/>
    <numFmt numFmtId="166" formatCode="#,###,##0.00"/>
    <numFmt numFmtId="167" formatCode="#,###,##0.000000"/>
    <numFmt numFmtId="168" formatCode="#,##0.00%"/>
  </numFmts>
  <fonts count="1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00FFFF"/>
        <bgColor rgb="FF000000"/>
      </patternFill>
    </fill>
    <fill>
      <patternFill patternType="solid">
        <fgColor rgb="FFF0F8FF"/>
        <bgColor rgb="FF000000"/>
      </patternFill>
    </fill>
    <fill>
      <patternFill patternType="solid">
        <fgColor rgb="FFD3D3D3"/>
        <bgColor rgb="FF000000"/>
      </patternFill>
    </fill>
    <fill>
      <patternFill patternType="solid">
        <fgColor rgb="FF5F9EA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ADD8E6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BC8F8F"/>
        <bgColor rgb="FF000000"/>
      </patternFill>
    </fill>
    <fill>
      <patternFill patternType="solid">
        <fgColor rgb="FFFF7F5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49" fontId="0" fillId="0" borderId="0" xfId="0" applyNumberFormat="1"/>
    <xf numFmtId="49" fontId="0" fillId="2" borderId="0" xfId="0" applyNumberFormat="1" applyFill="1"/>
    <xf numFmtId="0" fontId="0" fillId="3" borderId="0" xfId="0" applyFill="1"/>
    <xf numFmtId="164" fontId="0" fillId="0" borderId="0" xfId="0" applyNumberFormat="1"/>
    <xf numFmtId="164" fontId="0" fillId="4" borderId="0" xfId="0" applyNumberFormat="1" applyFill="1"/>
    <xf numFmtId="164" fontId="0" fillId="5" borderId="0" xfId="0" applyNumberFormat="1" applyFill="1"/>
    <xf numFmtId="1" fontId="0" fillId="0" borderId="0" xfId="0" applyNumberFormat="1"/>
    <xf numFmtId="1" fontId="0" fillId="3" borderId="0" xfId="0" applyNumberFormat="1" applyFill="1"/>
    <xf numFmtId="164" fontId="0" fillId="6" borderId="0" xfId="0" applyNumberFormat="1" applyFill="1"/>
    <xf numFmtId="164" fontId="0" fillId="7" borderId="0" xfId="0" applyNumberFormat="1" applyFill="1"/>
    <xf numFmtId="49" fontId="0" fillId="8" borderId="0" xfId="0" applyNumberFormat="1" applyFill="1"/>
    <xf numFmtId="165" fontId="0" fillId="0" borderId="0" xfId="0" applyNumberFormat="1"/>
    <xf numFmtId="166" fontId="0" fillId="0" borderId="0" xfId="0" applyNumberFormat="1"/>
    <xf numFmtId="49" fontId="0" fillId="3" borderId="0" xfId="0" applyNumberFormat="1" applyFill="1"/>
    <xf numFmtId="166" fontId="0" fillId="3" borderId="0" xfId="0" applyNumberFormat="1" applyFill="1"/>
    <xf numFmtId="164" fontId="0" fillId="3" borderId="0" xfId="0" applyNumberFormat="1" applyFill="1"/>
    <xf numFmtId="167" fontId="0" fillId="3" borderId="0" xfId="0" applyNumberFormat="1" applyFill="1"/>
    <xf numFmtId="168" fontId="0" fillId="3" borderId="0" xfId="0" applyNumberFormat="1" applyFill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3" fillId="0" borderId="0" xfId="0" applyNumberFormat="1" applyFont="1"/>
    <xf numFmtId="164" fontId="0" fillId="11" borderId="0" xfId="0" applyNumberFormat="1" applyFill="1"/>
    <xf numFmtId="164" fontId="4" fillId="11" borderId="0" xfId="0" applyNumberFormat="1" applyFont="1" applyFill="1"/>
    <xf numFmtId="0" fontId="3" fillId="0" borderId="0" xfId="0" applyFont="1"/>
    <xf numFmtId="49" fontId="0" fillId="12" borderId="0" xfId="0" applyNumberFormat="1" applyFill="1"/>
    <xf numFmtId="49" fontId="0" fillId="13" borderId="0" xfId="0" applyNumberFormat="1" applyFill="1"/>
    <xf numFmtId="49" fontId="5" fillId="13" borderId="0" xfId="0" applyNumberFormat="1" applyFont="1" applyFill="1"/>
    <xf numFmtId="49" fontId="5" fillId="12" borderId="0" xfId="0" applyNumberFormat="1" applyFont="1" applyFill="1"/>
    <xf numFmtId="49" fontId="0" fillId="14" borderId="0" xfId="0" applyNumberFormat="1" applyFill="1"/>
    <xf numFmtId="49" fontId="5" fillId="14" borderId="0" xfId="0" applyNumberFormat="1" applyFont="1" applyFill="1"/>
    <xf numFmtId="49" fontId="0" fillId="15" borderId="0" xfId="0" applyNumberFormat="1" applyFill="1"/>
    <xf numFmtId="49" fontId="0" fillId="16" borderId="0" xfId="0" applyNumberFormat="1" applyFill="1"/>
    <xf numFmtId="49" fontId="5" fillId="16" borderId="0" xfId="0" applyNumberFormat="1" applyFont="1" applyFill="1"/>
    <xf numFmtId="49" fontId="0" fillId="17" borderId="0" xfId="0" applyNumberFormat="1" applyFill="1"/>
    <xf numFmtId="49" fontId="5" fillId="17" borderId="0" xfId="0" applyNumberFormat="1" applyFont="1" applyFill="1"/>
    <xf numFmtId="49" fontId="0" fillId="18" borderId="0" xfId="0" applyNumberFormat="1" applyFill="1"/>
    <xf numFmtId="49" fontId="5" fillId="18" borderId="0" xfId="0" applyNumberFormat="1" applyFont="1" applyFill="1"/>
    <xf numFmtId="49" fontId="0" fillId="19" borderId="0" xfId="0" applyNumberFormat="1" applyFill="1"/>
    <xf numFmtId="49" fontId="5" fillId="19" borderId="0" xfId="0" applyNumberFormat="1" applyFont="1" applyFill="1"/>
    <xf numFmtId="49" fontId="0" fillId="20" borderId="0" xfId="0" applyNumberFormat="1" applyFill="1"/>
    <xf numFmtId="49" fontId="5" fillId="20" borderId="0" xfId="0" applyNumberFormat="1" applyFont="1" applyFill="1"/>
    <xf numFmtId="49" fontId="0" fillId="21" borderId="0" xfId="0" applyNumberFormat="1" applyFill="1"/>
    <xf numFmtId="49" fontId="5" fillId="21" borderId="0" xfId="0" applyNumberFormat="1" applyFont="1" applyFill="1"/>
    <xf numFmtId="49" fontId="0" fillId="22" borderId="0" xfId="0" applyNumberFormat="1" applyFill="1"/>
    <xf numFmtId="49" fontId="5" fillId="22" borderId="0" xfId="0" applyNumberFormat="1" applyFont="1" applyFill="1"/>
    <xf numFmtId="49" fontId="0" fillId="23" borderId="0" xfId="0" applyNumberFormat="1" applyFill="1"/>
    <xf numFmtId="49" fontId="5" fillId="23" borderId="0" xfId="0" applyNumberFormat="1" applyFont="1" applyFill="1"/>
    <xf numFmtId="49" fontId="0" fillId="24" borderId="0" xfId="0" applyNumberFormat="1" applyFill="1"/>
    <xf numFmtId="49" fontId="5" fillId="24" borderId="0" xfId="0" applyNumberFormat="1" applyFont="1" applyFill="1"/>
    <xf numFmtId="49" fontId="0" fillId="25" borderId="0" xfId="0" applyNumberFormat="1" applyFill="1"/>
    <xf numFmtId="49" fontId="5" fillId="25" borderId="0" xfId="0" applyNumberFormat="1" applyFont="1" applyFill="1"/>
    <xf numFmtId="49" fontId="0" fillId="26" borderId="0" xfId="0" applyNumberFormat="1" applyFill="1"/>
    <xf numFmtId="49" fontId="5" fillId="26" borderId="0" xfId="0" applyNumberFormat="1" applyFont="1" applyFill="1"/>
    <xf numFmtId="49" fontId="0" fillId="27" borderId="0" xfId="0" applyNumberFormat="1" applyFill="1"/>
    <xf numFmtId="49" fontId="5" fillId="27" borderId="0" xfId="0" applyNumberFormat="1" applyFont="1" applyFill="1"/>
    <xf numFmtId="49" fontId="0" fillId="28" borderId="0" xfId="0" applyNumberFormat="1" applyFill="1"/>
    <xf numFmtId="49" fontId="5" fillId="28" borderId="0" xfId="0" applyNumberFormat="1" applyFont="1" applyFill="1"/>
    <xf numFmtId="49" fontId="0" fillId="29" borderId="0" xfId="0" applyNumberFormat="1" applyFill="1"/>
    <xf numFmtId="49" fontId="5" fillId="29" borderId="0" xfId="0" applyNumberFormat="1" applyFont="1" applyFill="1"/>
    <xf numFmtId="49" fontId="0" fillId="30" borderId="0" xfId="0" applyNumberFormat="1" applyFill="1"/>
    <xf numFmtId="49" fontId="5" fillId="30" borderId="0" xfId="0" applyNumberFormat="1" applyFont="1" applyFill="1"/>
    <xf numFmtId="49" fontId="0" fillId="31" borderId="0" xfId="0" applyNumberFormat="1" applyFill="1"/>
    <xf numFmtId="49" fontId="5" fillId="31" borderId="0" xfId="0" applyNumberFormat="1" applyFont="1" applyFill="1"/>
    <xf numFmtId="49" fontId="0" fillId="32" borderId="0" xfId="0" applyNumberFormat="1" applyFill="1"/>
    <xf numFmtId="49" fontId="5" fillId="32" borderId="0" xfId="0" applyNumberFormat="1" applyFont="1" applyFill="1"/>
    <xf numFmtId="49" fontId="0" fillId="33" borderId="0" xfId="0" applyNumberFormat="1" applyFill="1"/>
    <xf numFmtId="49" fontId="5" fillId="33" borderId="0" xfId="0" applyNumberFormat="1" applyFont="1" applyFill="1"/>
    <xf numFmtId="49" fontId="0" fillId="34" borderId="0" xfId="0" applyNumberFormat="1" applyFill="1"/>
    <xf numFmtId="49" fontId="5" fillId="34" borderId="0" xfId="0" applyNumberFormat="1" applyFont="1" applyFill="1"/>
    <xf numFmtId="49" fontId="0" fillId="35" borderId="0" xfId="0" applyNumberFormat="1" applyFill="1"/>
    <xf numFmtId="49" fontId="5" fillId="35" borderId="0" xfId="0" applyNumberFormat="1" applyFont="1" applyFill="1"/>
    <xf numFmtId="49" fontId="0" fillId="11" borderId="0" xfId="0" applyNumberFormat="1" applyFill="1"/>
    <xf numFmtId="49" fontId="5" fillId="11" borderId="0" xfId="0" applyNumberFormat="1" applyFont="1" applyFill="1"/>
    <xf numFmtId="49" fontId="0" fillId="36" borderId="0" xfId="0" applyNumberFormat="1" applyFill="1"/>
    <xf numFmtId="49" fontId="5" fillId="36" borderId="0" xfId="0" applyNumberFormat="1" applyFont="1" applyFill="1"/>
    <xf numFmtId="49" fontId="5" fillId="15" borderId="0" xfId="0" applyNumberFormat="1" applyFont="1" applyFill="1"/>
    <xf numFmtId="49" fontId="7" fillId="37" borderId="0" xfId="0" applyNumberFormat="1" applyFont="1" applyFill="1"/>
    <xf numFmtId="49" fontId="6" fillId="37" borderId="0" xfId="0" applyNumberFormat="1" applyFont="1" applyFill="1"/>
    <xf numFmtId="49" fontId="0" fillId="38" borderId="0" xfId="0" applyNumberFormat="1" applyFill="1"/>
    <xf numFmtId="49" fontId="5" fillId="38" borderId="0" xfId="0" applyNumberFormat="1" applyFont="1" applyFill="1"/>
    <xf numFmtId="49" fontId="0" fillId="39" borderId="0" xfId="0" applyNumberFormat="1" applyFill="1"/>
    <xf numFmtId="49" fontId="5" fillId="39" borderId="0" xfId="0" applyNumberFormat="1" applyFont="1" applyFill="1"/>
    <xf numFmtId="49" fontId="0" fillId="40" borderId="0" xfId="0" applyNumberFormat="1" applyFill="1"/>
    <xf numFmtId="49" fontId="5" fillId="40" borderId="0" xfId="0" applyNumberFormat="1" applyFont="1" applyFill="1"/>
    <xf numFmtId="0" fontId="0" fillId="8" borderId="0" xfId="0" applyFill="1"/>
    <xf numFmtId="49" fontId="0" fillId="41" borderId="0" xfId="0" applyNumberFormat="1" applyFill="1"/>
    <xf numFmtId="49" fontId="5" fillId="41" borderId="0" xfId="0" applyNumberFormat="1" applyFont="1" applyFill="1"/>
    <xf numFmtId="166" fontId="0" fillId="8" borderId="0" xfId="0" applyNumberFormat="1" applyFill="1"/>
    <xf numFmtId="0" fontId="1" fillId="0" borderId="0" xfId="0" applyFont="1"/>
    <xf numFmtId="166" fontId="8" fillId="3" borderId="0" xfId="0" applyNumberFormat="1" applyFont="1" applyFill="1"/>
    <xf numFmtId="49" fontId="1" fillId="0" borderId="0" xfId="0" applyNumberFormat="1" applyFont="1"/>
    <xf numFmtId="49" fontId="1" fillId="3" borderId="0" xfId="0" applyNumberFormat="1" applyFont="1" applyFill="1"/>
    <xf numFmtId="4" fontId="8" fillId="0" borderId="0" xfId="0" applyNumberFormat="1" applyFont="1"/>
    <xf numFmtId="0" fontId="8" fillId="0" borderId="0" xfId="0" applyFont="1"/>
    <xf numFmtId="166" fontId="8" fillId="6" borderId="0" xfId="0" applyNumberFormat="1" applyFont="1" applyFill="1"/>
    <xf numFmtId="0" fontId="8" fillId="34" borderId="0" xfId="0" applyFont="1" applyFill="1"/>
    <xf numFmtId="49" fontId="2" fillId="9" borderId="0" xfId="0" applyNumberFormat="1" applyFont="1" applyFill="1" applyAlignment="1">
      <alignment horizontal="center"/>
    </xf>
    <xf numFmtId="0" fontId="0" fillId="0" borderId="0" xfId="0"/>
    <xf numFmtId="49" fontId="2" fillId="10" borderId="0" xfId="0" applyNumberFormat="1" applyFont="1" applyFill="1" applyAlignment="1">
      <alignment horizontal="center"/>
    </xf>
  </cellXfs>
  <cellStyles count="1">
    <cellStyle name="Normal" xfId="0" builtinId="0"/>
  </cellStyles>
  <dxfs count="2"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ebastian Espinosa" id="{50EE45EC-0C55-42A3-ACF6-EBB91D838DFE}" userId="10b296660bbab779" providerId="Windows Live"/>
</personList>
</file>

<file path=xl/theme/theme1.xml><?xml version="1.0" encoding="utf-8"?>
<a:theme xmlns:a="http://schemas.openxmlformats.org/drawingml/2006/main" name="SpreadsheetLight Office">
  <a:themeElements>
    <a:clrScheme name="SpreadsheetLight 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SpreadsheetLigh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SpreadsheetLigh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9" dT="2026-08-07T16:51:10.86" personId="{50EE45EC-0C55-42A3-ACF6-EBB91D838DFE}" id="{F70B7BD5-3F63-47C6-8CE2-628D4A77D1C9}">
    <text>I01582/I01585</text>
  </threadedComment>
  <threadedComment ref="AB19" dT="2026-08-07T18:21:01.79" personId="{50EE45EC-0C55-42A3-ACF6-EBB91D838DFE}" id="{57CE6E72-FCC6-4A23-BB89-C7C5C81D4430}" parentId="{F70B7BD5-3F63-47C6-8CE2-628D4A77D1C9}">
    <text>SUSTITUYE + FICHA</text>
  </threadedComment>
  <threadedComment ref="AB23" dT="2026-08-07T16:48:31.70" personId="{50EE45EC-0C55-42A3-ACF6-EBB91D838DFE}" id="{C12295F8-D83F-4BB2-9A53-754D119F2846}">
    <text>I02825</text>
  </threadedComment>
  <threadedComment ref="AB37" dT="2026-08-07T16:48:25.99" personId="{50EE45EC-0C55-42A3-ACF6-EBB91D838DFE}" id="{1078455C-5018-4C19-B02C-D6A11BC669F2}">
    <text>I02825</text>
  </threadedComment>
  <threadedComment ref="AB40" dT="2026-08-07T16:50:41.60" personId="{50EE45EC-0C55-42A3-ACF6-EBB91D838DFE}" id="{4FEA2A4D-B1CC-455B-9FC0-3828D3354F57}">
    <text>I02266</text>
  </threadedComment>
  <threadedComment ref="AB44" dT="2026-08-07T16:59:20.93" personId="{50EE45EC-0C55-42A3-ACF6-EBB91D838DFE}" id="{718CF9D0-7D36-4B68-B2BF-D840F49CC386}">
    <text>I02266</text>
  </threadedComment>
  <threadedComment ref="AB117" dT="2026-08-07T17:02:31.14" personId="{50EE45EC-0C55-42A3-ACF6-EBB91D838DFE}" id="{C7DBDDBF-377D-4B95-BE4F-5B17154ED4E7}">
    <text>I02826</text>
  </threadedComment>
  <threadedComment ref="AB194" dT="2026-08-07T17:06:54.16" personId="{50EE45EC-0C55-42A3-ACF6-EBB91D838DFE}" id="{B048E748-4105-478A-83CD-C6DAB7B49151}">
    <text>I02058</text>
  </threadedComment>
  <threadedComment ref="AB201" dT="2026-08-07T17:13:57.72" personId="{50EE45EC-0C55-42A3-ACF6-EBB91D838DFE}" id="{71BB6FBD-5502-4C5C-ACD9-2C4E89309DFE}">
    <text>I01588</text>
  </threadedComment>
  <threadedComment ref="AB220" dT="2026-08-07T17:07:09.06" personId="{50EE45EC-0C55-42A3-ACF6-EBB91D838DFE}" id="{72ED1CD4-E690-4D27-936A-ACB6ED6DA062}">
    <text>I02281</text>
  </threadedComment>
  <threadedComment ref="AB224" dT="2026-08-07T17:11:37.59" personId="{50EE45EC-0C55-42A3-ACF6-EBB91D838DFE}" id="{B1BB6E53-2E38-48B9-B637-95E8CC5B66BA}">
    <text>I02198</text>
  </threadedComment>
  <threadedComment ref="AB243" dT="2026-08-07T14:47:06.73" personId="{50EE45EC-0C55-42A3-ACF6-EBB91D838DFE}" id="{B8EBD6BB-0CA9-4593-8B27-EA9C529C3050}">
    <text>Sust C07 bk i01294</text>
  </threadedComment>
  <threadedComment ref="AB248" dT="2026-08-07T17:14:15.47" personId="{50EE45EC-0C55-42A3-ACF6-EBB91D838DFE}" id="{2274C824-7606-4419-9BA8-77D5BB937C5E}">
    <text>I02708</text>
  </threadedComment>
  <threadedComment ref="AB263" dT="2026-08-07T17:11:25.41" personId="{50EE45EC-0C55-42A3-ACF6-EBB91D838DFE}" id="{E232C264-3124-4B78-B932-7E584103A602}">
    <text>I01287</text>
  </threadedComment>
  <threadedComment ref="AB277" dT="2026-08-07T17:19:37.45" personId="{50EE45EC-0C55-42A3-ACF6-EBB91D838DFE}" id="{0D16C58C-33A4-4E17-BE30-09402BF35418}">
    <text>I02827</text>
  </threadedComment>
  <threadedComment ref="AB280" dT="2026-08-07T17:25:21.60" personId="{50EE45EC-0C55-42A3-ACF6-EBB91D838DFE}" id="{882D971C-6E85-4503-8854-2174959C988C}">
    <text>I02829</text>
  </threadedComment>
  <threadedComment ref="AB282" dT="2026-08-07T17:26:52.67" personId="{50EE45EC-0C55-42A3-ACF6-EBB91D838DFE}" id="{CEF28648-E909-4552-B825-7A28301AB531}">
    <text>I02830</text>
  </threadedComment>
  <threadedComment ref="AB283" dT="2026-08-07T17:24:48.33" personId="{50EE45EC-0C55-42A3-ACF6-EBB91D838DFE}" id="{1ECE3B38-884F-48B9-837E-63048366AFFE}">
    <text>I02828</text>
  </threadedComment>
  <threadedComment ref="AB299" dT="2026-08-07T16:46:38.77" personId="{50EE45EC-0C55-42A3-ACF6-EBB91D838DFE}" id="{398BBB95-402E-441E-B1FF-A06A1B46A690}">
    <text>I01272/I02345</text>
  </threadedComment>
  <threadedComment ref="AB300" dT="2026-08-07T17:02:55.34" personId="{50EE45EC-0C55-42A3-ACF6-EBB91D838DFE}" id="{C9C6A5A4-15F7-436F-A3D7-E0EEDA2F8D99}">
    <text>I01412</text>
  </threadedComment>
  <threadedComment ref="AB301" dT="2026-08-07T17:19:25.84" personId="{50EE45EC-0C55-42A3-ACF6-EBB91D838DFE}" id="{60B616DF-CB99-4A85-9191-2A945BCD201A}">
    <text>I01360</text>
  </threadedComment>
  <threadedComment ref="AB302" dT="2026-08-07T17:24:31.75" personId="{50EE45EC-0C55-42A3-ACF6-EBB91D838DFE}" id="{8892E419-12C4-49D5-B7F4-BA7F8DA167DE}">
    <text>I01266</text>
  </threadedComment>
  <threadedComment ref="AB303" dT="2026-08-07T17:25:35.98" personId="{50EE45EC-0C55-42A3-ACF6-EBB91D838DFE}" id="{64B5002B-61B6-4BFC-8457-A490B3540D4A}">
    <text>I01268</text>
  </threadedComment>
  <threadedComment ref="AB304" dT="2026-08-07T17:27:37.12" personId="{50EE45EC-0C55-42A3-ACF6-EBB91D838DFE}" id="{99D2B63F-2065-4C23-A1A9-9D7C203BAFBE}">
    <text>I01267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L669"/>
  <sheetViews>
    <sheetView workbookViewId="0">
      <pane xSplit="2" ySplit="1" topLeftCell="P245" activePane="bottomRight" state="frozen"/>
      <selection pane="topRight" activeCell="C1" sqref="C1"/>
      <selection pane="bottomLeft" activeCell="A2" sqref="A2"/>
      <selection pane="bottomRight" activeCell="Z292" sqref="V292:Z292"/>
    </sheetView>
  </sheetViews>
  <sheetFormatPr baseColWidth="10" defaultColWidth="9" defaultRowHeight="14.3" x14ac:dyDescent="0.25"/>
  <cols>
    <col min="1" max="1" width="12" customWidth="1"/>
    <col min="2" max="2" width="45" customWidth="1"/>
    <col min="3" max="3" width="20" customWidth="1"/>
    <col min="4" max="31" width="10" customWidth="1"/>
    <col min="33" max="33" width="9.875" style="19" hidden="1" customWidth="1"/>
    <col min="34" max="34" width="9.375" style="19" hidden="1" customWidth="1"/>
    <col min="35" max="35" width="6.375" style="19" hidden="1" customWidth="1"/>
    <col min="36" max="36" width="5.75" style="19" hidden="1" customWidth="1"/>
    <col min="37" max="37" width="7.25" style="19" hidden="1" customWidth="1"/>
    <col min="38" max="38" width="6.25" style="19" bestFit="1" customWidth="1"/>
  </cols>
  <sheetData>
    <row r="1" spans="1:38" x14ac:dyDescent="0.25">
      <c r="A1" s="2" t="s">
        <v>662</v>
      </c>
      <c r="B1" s="2" t="s">
        <v>9</v>
      </c>
      <c r="C1" s="2" t="s">
        <v>8</v>
      </c>
      <c r="D1" s="2" t="s">
        <v>663</v>
      </c>
      <c r="E1" s="2" t="s">
        <v>664</v>
      </c>
      <c r="F1" s="2" t="s">
        <v>665</v>
      </c>
      <c r="G1" s="2" t="s">
        <v>666</v>
      </c>
      <c r="H1" s="2" t="s">
        <v>667</v>
      </c>
      <c r="I1" s="2" t="s">
        <v>668</v>
      </c>
      <c r="J1" s="2" t="s">
        <v>669</v>
      </c>
      <c r="K1" s="2" t="s">
        <v>670</v>
      </c>
      <c r="L1" s="2" t="s">
        <v>671</v>
      </c>
      <c r="M1" s="2" t="s">
        <v>672</v>
      </c>
      <c r="N1" s="2" t="s">
        <v>673</v>
      </c>
      <c r="O1" s="2" t="s">
        <v>674</v>
      </c>
      <c r="P1" s="2" t="s">
        <v>675</v>
      </c>
      <c r="Q1" s="2" t="s">
        <v>676</v>
      </c>
      <c r="R1" s="2" t="s">
        <v>677</v>
      </c>
      <c r="S1" s="2" t="s">
        <v>678</v>
      </c>
      <c r="T1" s="2" t="s">
        <v>679</v>
      </c>
      <c r="U1" s="2" t="s">
        <v>680</v>
      </c>
      <c r="V1" s="2" t="s">
        <v>681</v>
      </c>
      <c r="W1" s="2" t="s">
        <v>682</v>
      </c>
      <c r="X1" s="2" t="s">
        <v>683</v>
      </c>
      <c r="Y1" s="2" t="s">
        <v>684</v>
      </c>
      <c r="Z1" s="2" t="s">
        <v>685</v>
      </c>
      <c r="AA1" s="2" t="s">
        <v>686</v>
      </c>
      <c r="AB1" s="2" t="s">
        <v>687</v>
      </c>
      <c r="AC1" s="2" t="s">
        <v>688</v>
      </c>
      <c r="AD1" s="2" t="s">
        <v>689</v>
      </c>
      <c r="AE1" s="2" t="s">
        <v>690</v>
      </c>
      <c r="AF1" s="2" t="s">
        <v>691</v>
      </c>
      <c r="AG1" s="19" t="s">
        <v>692</v>
      </c>
      <c r="AH1" s="19" t="s">
        <v>692</v>
      </c>
      <c r="AI1" s="19" t="s">
        <v>693</v>
      </c>
      <c r="AJ1" s="19" t="s">
        <v>694</v>
      </c>
      <c r="AK1" s="19" t="s">
        <v>695</v>
      </c>
      <c r="AL1" s="19" t="s">
        <v>696</v>
      </c>
    </row>
    <row r="2" spans="1:38" x14ac:dyDescent="0.25">
      <c r="A2" s="1" t="s">
        <v>651</v>
      </c>
      <c r="B2" s="1" t="s">
        <v>650</v>
      </c>
      <c r="C2" s="1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6">
        <v>0</v>
      </c>
      <c r="AE2" s="4">
        <f t="shared" ref="AE2:AE15" si="0">AVERAGE(W2:AB2)</f>
        <v>0</v>
      </c>
      <c r="AF2" s="1" t="s">
        <v>32</v>
      </c>
      <c r="AG2" s="19">
        <f t="array" ref="AG2">DIASQUIEBRE(Q2:AB2)</f>
        <v>0</v>
      </c>
      <c r="AH2" s="19">
        <f t="array" ref="AH2">DiasMesesGris(Q2:AB2)</f>
        <v>360</v>
      </c>
      <c r="AI2" s="19">
        <f t="shared" ref="AI2:AI65" si="1">AG2+AH2</f>
        <v>360</v>
      </c>
      <c r="AJ2" s="19">
        <f t="shared" ref="AJ2:AJ65" si="2">360-AI2</f>
        <v>0</v>
      </c>
      <c r="AK2" s="20">
        <f t="shared" ref="AK2:AK20" si="3">SUM(D2:O2)</f>
        <v>0</v>
      </c>
      <c r="AL2" s="21">
        <f t="shared" ref="AL2:AL65" si="4">IFERROR(AK2/AJ2,0)</f>
        <v>0</v>
      </c>
    </row>
    <row r="3" spans="1:38" x14ac:dyDescent="0.25">
      <c r="A3" s="1" t="s">
        <v>653</v>
      </c>
      <c r="B3" s="1" t="s">
        <v>652</v>
      </c>
      <c r="C3" s="1"/>
      <c r="D3" s="3"/>
      <c r="E3" s="3"/>
      <c r="F3" s="8">
        <v>6</v>
      </c>
      <c r="G3" s="8">
        <v>1</v>
      </c>
      <c r="H3" s="3"/>
      <c r="I3" s="3"/>
      <c r="J3" s="8">
        <v>2</v>
      </c>
      <c r="K3" s="8">
        <v>2</v>
      </c>
      <c r="L3" s="8">
        <v>2</v>
      </c>
      <c r="M3" s="8">
        <v>2</v>
      </c>
      <c r="N3" s="8">
        <v>3</v>
      </c>
      <c r="O3" s="8">
        <v>4</v>
      </c>
      <c r="P3" s="3"/>
      <c r="Q3" s="4">
        <v>0</v>
      </c>
      <c r="R3" s="4">
        <v>0</v>
      </c>
      <c r="S3" s="9">
        <v>0.2727</v>
      </c>
      <c r="T3" s="5">
        <v>0</v>
      </c>
      <c r="U3" s="9">
        <v>0</v>
      </c>
      <c r="V3" s="4">
        <v>0</v>
      </c>
      <c r="W3" s="4">
        <v>0.11899999999999999</v>
      </c>
      <c r="X3" s="4">
        <v>6.4500000000000002E-2</v>
      </c>
      <c r="Y3" s="4">
        <v>7.8399999999999997E-2</v>
      </c>
      <c r="Z3" s="4">
        <v>6.4500000000000002E-2</v>
      </c>
      <c r="AA3" s="4">
        <v>0.1053</v>
      </c>
      <c r="AB3" s="4">
        <v>0.1173</v>
      </c>
      <c r="AC3" s="10">
        <v>0</v>
      </c>
      <c r="AD3" s="4">
        <v>6.0999999999999999E-2</v>
      </c>
      <c r="AE3" s="4">
        <f t="shared" si="0"/>
        <v>9.1500000000000012E-2</v>
      </c>
      <c r="AF3" s="1" t="s">
        <v>35</v>
      </c>
      <c r="AG3" s="19">
        <f t="array" ref="AG3">DIASQUIEBRE(Q3:AB3)</f>
        <v>12</v>
      </c>
      <c r="AH3" s="19">
        <f t="array" ref="AH3">DiasMesesGris(Q3:AB3)</f>
        <v>30</v>
      </c>
      <c r="AI3" s="19">
        <f t="shared" si="1"/>
        <v>42</v>
      </c>
      <c r="AJ3" s="19">
        <f t="shared" si="2"/>
        <v>318</v>
      </c>
      <c r="AK3" s="20">
        <f t="shared" si="3"/>
        <v>22</v>
      </c>
      <c r="AL3" s="21">
        <f t="shared" si="4"/>
        <v>6.9182389937106917E-2</v>
      </c>
    </row>
    <row r="4" spans="1:38" x14ac:dyDescent="0.25">
      <c r="A4" s="1" t="s">
        <v>57</v>
      </c>
      <c r="B4" s="1" t="s">
        <v>56</v>
      </c>
      <c r="C4" s="1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6">
        <v>0</v>
      </c>
      <c r="AE4" s="4">
        <f t="shared" si="0"/>
        <v>0</v>
      </c>
      <c r="AF4" s="1" t="s">
        <v>35</v>
      </c>
      <c r="AG4" s="19">
        <f t="array" ref="AG4">DIASQUIEBRE(Q4:AB4)</f>
        <v>0</v>
      </c>
      <c r="AH4" s="19">
        <f t="array" ref="AH4">DiasMesesGris(Q4:AB4)</f>
        <v>360</v>
      </c>
      <c r="AI4" s="19">
        <f t="shared" si="1"/>
        <v>360</v>
      </c>
      <c r="AJ4" s="19">
        <f t="shared" si="2"/>
        <v>0</v>
      </c>
      <c r="AK4" s="20">
        <f t="shared" si="3"/>
        <v>0</v>
      </c>
      <c r="AL4" s="21">
        <f t="shared" si="4"/>
        <v>0</v>
      </c>
    </row>
    <row r="5" spans="1:38" x14ac:dyDescent="0.25">
      <c r="A5" s="1" t="s">
        <v>655</v>
      </c>
      <c r="B5" s="1" t="s">
        <v>654</v>
      </c>
      <c r="C5" s="1"/>
      <c r="D5" s="3"/>
      <c r="E5" s="3"/>
      <c r="F5" s="3"/>
      <c r="G5" s="3"/>
      <c r="H5" s="3"/>
      <c r="I5" s="3"/>
      <c r="J5" s="8">
        <v>3</v>
      </c>
      <c r="K5" s="3"/>
      <c r="L5" s="3"/>
      <c r="M5" s="3"/>
      <c r="N5" s="8">
        <v>1</v>
      </c>
      <c r="O5" s="3"/>
      <c r="P5" s="3"/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0.17860000000000001</v>
      </c>
      <c r="X5" s="4">
        <v>0</v>
      </c>
      <c r="Y5" s="4">
        <v>0</v>
      </c>
      <c r="Z5" s="4">
        <v>0</v>
      </c>
      <c r="AA5" s="4">
        <v>3.5099999999999999E-2</v>
      </c>
      <c r="AB5" s="4">
        <v>0</v>
      </c>
      <c r="AC5" s="10">
        <v>0</v>
      </c>
      <c r="AD5" s="4">
        <v>1.78E-2</v>
      </c>
      <c r="AE5" s="4">
        <f t="shared" si="0"/>
        <v>3.5616666666666665E-2</v>
      </c>
      <c r="AF5" s="1" t="s">
        <v>35</v>
      </c>
      <c r="AG5" s="19">
        <f t="array" ref="AG5">DIASQUIEBRE(Q5:AB5)</f>
        <v>0</v>
      </c>
      <c r="AH5" s="19">
        <f t="array" ref="AH5">DiasMesesGris(Q5:AB5)</f>
        <v>0</v>
      </c>
      <c r="AI5" s="19">
        <f t="shared" si="1"/>
        <v>0</v>
      </c>
      <c r="AJ5" s="19">
        <f t="shared" si="2"/>
        <v>360</v>
      </c>
      <c r="AK5" s="20">
        <f t="shared" si="3"/>
        <v>4</v>
      </c>
      <c r="AL5" s="21">
        <f t="shared" si="4"/>
        <v>1.1111111111111112E-2</v>
      </c>
    </row>
    <row r="6" spans="1:38" x14ac:dyDescent="0.25">
      <c r="A6" s="11" t="s">
        <v>31</v>
      </c>
      <c r="B6" s="1" t="s">
        <v>30</v>
      </c>
      <c r="C6" s="1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6">
        <v>0</v>
      </c>
      <c r="AE6" s="4">
        <f t="shared" si="0"/>
        <v>0</v>
      </c>
      <c r="AF6" s="1" t="s">
        <v>32</v>
      </c>
      <c r="AG6" s="19">
        <f t="array" ref="AG6">DIASQUIEBRE(Q6:AB6)</f>
        <v>0</v>
      </c>
      <c r="AH6" s="19">
        <f t="array" ref="AH6">DiasMesesGris(Q6:AB6)</f>
        <v>360</v>
      </c>
      <c r="AI6" s="19">
        <f t="shared" si="1"/>
        <v>360</v>
      </c>
      <c r="AJ6" s="19">
        <f t="shared" si="2"/>
        <v>0</v>
      </c>
      <c r="AK6" s="20">
        <f t="shared" si="3"/>
        <v>0</v>
      </c>
      <c r="AL6" s="21">
        <f t="shared" si="4"/>
        <v>0</v>
      </c>
    </row>
    <row r="7" spans="1:38" x14ac:dyDescent="0.25">
      <c r="A7" s="11" t="s">
        <v>34</v>
      </c>
      <c r="B7" s="1" t="s">
        <v>33</v>
      </c>
      <c r="C7" s="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10">
        <v>0</v>
      </c>
      <c r="AE7" s="4">
        <f t="shared" si="0"/>
        <v>0</v>
      </c>
      <c r="AF7" s="1" t="s">
        <v>35</v>
      </c>
      <c r="AG7" s="19">
        <f t="array" ref="AG7">DIASQUIEBRE(Q7:AB7)</f>
        <v>0</v>
      </c>
      <c r="AH7" s="19">
        <f t="array" ref="AH7">DiasMesesGris(Q7:AB7)</f>
        <v>0</v>
      </c>
      <c r="AI7" s="19">
        <f t="shared" si="1"/>
        <v>0</v>
      </c>
      <c r="AJ7" s="19">
        <f t="shared" si="2"/>
        <v>360</v>
      </c>
      <c r="AK7" s="20">
        <f t="shared" si="3"/>
        <v>0</v>
      </c>
      <c r="AL7" s="21">
        <f t="shared" si="4"/>
        <v>0</v>
      </c>
    </row>
    <row r="8" spans="1:38" x14ac:dyDescent="0.25">
      <c r="A8" s="11" t="s">
        <v>37</v>
      </c>
      <c r="B8" s="1" t="s">
        <v>36</v>
      </c>
      <c r="C8" s="1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10">
        <v>0</v>
      </c>
      <c r="AE8" s="4">
        <f t="shared" si="0"/>
        <v>0</v>
      </c>
      <c r="AF8" s="1" t="s">
        <v>32</v>
      </c>
      <c r="AG8" s="19">
        <f t="array" ref="AG8">DIASQUIEBRE(Q8:AB8)</f>
        <v>0</v>
      </c>
      <c r="AH8" s="19">
        <f t="array" ref="AH8">DiasMesesGris(Q8:AB8)</f>
        <v>0</v>
      </c>
      <c r="AI8" s="19">
        <f t="shared" si="1"/>
        <v>0</v>
      </c>
      <c r="AJ8" s="19">
        <f t="shared" si="2"/>
        <v>360</v>
      </c>
      <c r="AK8" s="20">
        <f t="shared" si="3"/>
        <v>0</v>
      </c>
      <c r="AL8" s="21">
        <f t="shared" si="4"/>
        <v>0</v>
      </c>
    </row>
    <row r="9" spans="1:38" x14ac:dyDescent="0.25">
      <c r="A9" s="11" t="s">
        <v>39</v>
      </c>
      <c r="B9" s="1" t="s">
        <v>38</v>
      </c>
      <c r="C9" s="1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10">
        <v>0</v>
      </c>
      <c r="AE9" s="4">
        <f t="shared" si="0"/>
        <v>0</v>
      </c>
      <c r="AF9" s="1" t="s">
        <v>32</v>
      </c>
      <c r="AG9" s="19">
        <f t="array" ref="AG9">DIASQUIEBRE(Q9:AB9)</f>
        <v>0</v>
      </c>
      <c r="AH9" s="19">
        <f t="array" ref="AH9">DiasMesesGris(Q9:AB9)</f>
        <v>0</v>
      </c>
      <c r="AI9" s="19">
        <f t="shared" si="1"/>
        <v>0</v>
      </c>
      <c r="AJ9" s="19">
        <f t="shared" si="2"/>
        <v>360</v>
      </c>
      <c r="AK9" s="20">
        <f t="shared" si="3"/>
        <v>0</v>
      </c>
      <c r="AL9" s="21">
        <f t="shared" si="4"/>
        <v>0</v>
      </c>
    </row>
    <row r="10" spans="1:38" x14ac:dyDescent="0.25">
      <c r="A10" s="11" t="s">
        <v>41</v>
      </c>
      <c r="B10" s="1" t="s">
        <v>40</v>
      </c>
      <c r="C10" s="1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6">
        <v>0</v>
      </c>
      <c r="AE10" s="4">
        <f t="shared" si="0"/>
        <v>0</v>
      </c>
      <c r="AF10" s="1" t="s">
        <v>32</v>
      </c>
      <c r="AG10" s="19">
        <f t="array" ref="AG10">DIASQUIEBRE(Q10:AB10)</f>
        <v>0</v>
      </c>
      <c r="AH10" s="19">
        <f t="array" ref="AH10">DiasMesesGris(Q10:AB10)</f>
        <v>360</v>
      </c>
      <c r="AI10" s="19">
        <f t="shared" si="1"/>
        <v>360</v>
      </c>
      <c r="AJ10" s="19">
        <f t="shared" si="2"/>
        <v>0</v>
      </c>
      <c r="AK10" s="20">
        <f t="shared" si="3"/>
        <v>0</v>
      </c>
      <c r="AL10" s="21">
        <f t="shared" si="4"/>
        <v>0</v>
      </c>
    </row>
    <row r="11" spans="1:38" x14ac:dyDescent="0.25">
      <c r="A11" s="11" t="s">
        <v>43</v>
      </c>
      <c r="B11" s="1" t="s">
        <v>42</v>
      </c>
      <c r="C11" s="1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9">
        <v>0</v>
      </c>
      <c r="AB11" s="5">
        <v>0</v>
      </c>
      <c r="AC11" s="6">
        <v>0</v>
      </c>
      <c r="AE11" s="4">
        <f t="shared" si="0"/>
        <v>0</v>
      </c>
      <c r="AF11" s="1" t="s">
        <v>32</v>
      </c>
      <c r="AG11" s="19">
        <f t="array" ref="AG11">DIASQUIEBRE(Q11:AB11)</f>
        <v>27</v>
      </c>
      <c r="AH11" s="19">
        <f t="array" ref="AH11">DiasMesesGris(Q11:AB11)</f>
        <v>30</v>
      </c>
      <c r="AI11" s="19">
        <f t="shared" si="1"/>
        <v>57</v>
      </c>
      <c r="AJ11" s="19">
        <f t="shared" si="2"/>
        <v>303</v>
      </c>
      <c r="AK11" s="20">
        <f t="shared" si="3"/>
        <v>0</v>
      </c>
      <c r="AL11" s="21">
        <f t="shared" si="4"/>
        <v>0</v>
      </c>
    </row>
    <row r="12" spans="1:38" x14ac:dyDescent="0.25">
      <c r="A12" s="1" t="s">
        <v>53</v>
      </c>
      <c r="B12" s="1" t="s">
        <v>52</v>
      </c>
      <c r="C12" s="1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6">
        <v>0</v>
      </c>
      <c r="AE12" s="4">
        <f t="shared" si="0"/>
        <v>0</v>
      </c>
      <c r="AF12" s="1" t="s">
        <v>35</v>
      </c>
      <c r="AG12" s="19">
        <f t="array" ref="AG12">DIASQUIEBRE(Q12:AB12)</f>
        <v>0</v>
      </c>
      <c r="AH12" s="19">
        <f t="array" ref="AH12">DiasMesesGris(Q12:AB12)</f>
        <v>360</v>
      </c>
      <c r="AI12" s="19">
        <f t="shared" si="1"/>
        <v>360</v>
      </c>
      <c r="AJ12" s="19">
        <f t="shared" si="2"/>
        <v>0</v>
      </c>
      <c r="AK12" s="20">
        <f t="shared" si="3"/>
        <v>0</v>
      </c>
      <c r="AL12" s="21">
        <f t="shared" si="4"/>
        <v>0</v>
      </c>
    </row>
    <row r="13" spans="1:38" x14ac:dyDescent="0.25">
      <c r="A13" s="1" t="s">
        <v>507</v>
      </c>
      <c r="B13" s="1" t="s">
        <v>506</v>
      </c>
      <c r="C13" s="1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6">
        <v>0</v>
      </c>
      <c r="AE13" s="4">
        <f t="shared" si="0"/>
        <v>0</v>
      </c>
      <c r="AF13" s="1" t="s">
        <v>32</v>
      </c>
      <c r="AG13" s="19">
        <f t="array" ref="AG13">DIASQUIEBRE(Q13:AB13)</f>
        <v>0</v>
      </c>
      <c r="AH13" s="19">
        <f t="array" ref="AH13">DiasMesesGris(Q13:AB13)</f>
        <v>360</v>
      </c>
      <c r="AI13" s="19">
        <f t="shared" si="1"/>
        <v>360</v>
      </c>
      <c r="AJ13" s="19">
        <f t="shared" si="2"/>
        <v>0</v>
      </c>
      <c r="AK13" s="20">
        <f t="shared" si="3"/>
        <v>0</v>
      </c>
      <c r="AL13" s="21">
        <f t="shared" si="4"/>
        <v>0</v>
      </c>
    </row>
    <row r="14" spans="1:38" x14ac:dyDescent="0.25">
      <c r="A14" s="1" t="s">
        <v>509</v>
      </c>
      <c r="B14" s="1" t="s">
        <v>508</v>
      </c>
      <c r="C14" s="1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6">
        <v>0</v>
      </c>
      <c r="AE14" s="4">
        <f t="shared" si="0"/>
        <v>0</v>
      </c>
      <c r="AF14" s="1" t="s">
        <v>35</v>
      </c>
      <c r="AG14" s="19">
        <f t="array" ref="AG14">DIASQUIEBRE(Q14:AB14)</f>
        <v>0</v>
      </c>
      <c r="AH14" s="19">
        <f t="array" ref="AH14">DiasMesesGris(Q14:AB14)</f>
        <v>360</v>
      </c>
      <c r="AI14" s="19">
        <f t="shared" si="1"/>
        <v>360</v>
      </c>
      <c r="AJ14" s="19">
        <f t="shared" si="2"/>
        <v>0</v>
      </c>
      <c r="AK14" s="20">
        <f t="shared" si="3"/>
        <v>0</v>
      </c>
      <c r="AL14" s="21">
        <f t="shared" si="4"/>
        <v>0</v>
      </c>
    </row>
    <row r="15" spans="1:38" x14ac:dyDescent="0.25">
      <c r="A15" s="1" t="s">
        <v>511</v>
      </c>
      <c r="B15" s="1" t="s">
        <v>510</v>
      </c>
      <c r="C15" s="1"/>
      <c r="D15" s="3"/>
      <c r="E15" s="3"/>
      <c r="F15" s="8">
        <v>2</v>
      </c>
      <c r="G15" s="3"/>
      <c r="H15" s="3"/>
      <c r="I15" s="3"/>
      <c r="J15" s="3"/>
      <c r="K15" s="8">
        <v>-1</v>
      </c>
      <c r="L15" s="3"/>
      <c r="M15" s="3"/>
      <c r="N15" s="3"/>
      <c r="O15" s="3"/>
      <c r="P15" s="3"/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6">
        <v>0</v>
      </c>
      <c r="AE15" s="4">
        <f t="shared" si="0"/>
        <v>0</v>
      </c>
      <c r="AF15" s="1" t="s">
        <v>32</v>
      </c>
      <c r="AG15" s="19">
        <f t="array" ref="AG15">DIASQUIEBRE(Q15:AB15)</f>
        <v>0</v>
      </c>
      <c r="AH15" s="19">
        <f t="array" ref="AH15">DiasMesesGris(Q15:AB15)</f>
        <v>360</v>
      </c>
      <c r="AI15" s="19">
        <f t="shared" si="1"/>
        <v>360</v>
      </c>
      <c r="AJ15" s="19">
        <f t="shared" si="2"/>
        <v>0</v>
      </c>
      <c r="AK15" s="20">
        <f t="shared" si="3"/>
        <v>1</v>
      </c>
      <c r="AL15" s="21">
        <f t="shared" si="4"/>
        <v>0</v>
      </c>
    </row>
    <row r="16" spans="1:38" x14ac:dyDescent="0.25">
      <c r="A16" s="1" t="s">
        <v>513</v>
      </c>
      <c r="B16" s="1" t="s">
        <v>512</v>
      </c>
      <c r="C16" s="1"/>
      <c r="D16" s="3"/>
      <c r="E16" s="8">
        <v>59</v>
      </c>
      <c r="F16" s="8">
        <v>55</v>
      </c>
      <c r="G16" s="8">
        <v>86</v>
      </c>
      <c r="H16" s="8">
        <v>42</v>
      </c>
      <c r="I16" s="8">
        <v>1</v>
      </c>
      <c r="J16" s="8">
        <v>1</v>
      </c>
      <c r="K16" s="8">
        <v>54</v>
      </c>
      <c r="L16" s="8">
        <v>66</v>
      </c>
      <c r="M16" s="3"/>
      <c r="N16" s="3"/>
      <c r="O16" s="3"/>
      <c r="P16" s="3"/>
      <c r="Q16" s="5">
        <v>0</v>
      </c>
      <c r="R16" s="9">
        <v>3.0102000000000002</v>
      </c>
      <c r="S16" s="4">
        <v>1.7742</v>
      </c>
      <c r="T16" s="4">
        <v>2.1078000000000001</v>
      </c>
      <c r="U16" s="9">
        <v>2.7450999999999999</v>
      </c>
      <c r="V16" s="5">
        <v>0</v>
      </c>
      <c r="W16" s="5">
        <v>0</v>
      </c>
      <c r="X16" s="9">
        <v>2.4544999999999999</v>
      </c>
      <c r="Y16" s="9">
        <v>3.0219999999999998</v>
      </c>
      <c r="Z16" s="5">
        <v>0</v>
      </c>
      <c r="AA16" s="5">
        <v>0</v>
      </c>
      <c r="AB16" s="5">
        <v>0</v>
      </c>
      <c r="AC16" s="6">
        <v>0</v>
      </c>
      <c r="AD16" s="4">
        <v>1.9410000000000001</v>
      </c>
      <c r="AE16" s="23">
        <v>2.6</v>
      </c>
      <c r="AF16" s="1" t="s">
        <v>32</v>
      </c>
      <c r="AG16" s="19">
        <f t="array" ref="AG16">DIASQUIEBRE(Q16:AB16)</f>
        <v>37</v>
      </c>
      <c r="AH16" s="19">
        <f t="array" ref="AH16">DiasMesesGris(Q16:AB16)</f>
        <v>180</v>
      </c>
      <c r="AI16" s="19">
        <f t="shared" si="1"/>
        <v>217</v>
      </c>
      <c r="AJ16" s="19">
        <f t="shared" si="2"/>
        <v>143</v>
      </c>
      <c r="AK16" s="20">
        <f t="shared" si="3"/>
        <v>364</v>
      </c>
      <c r="AL16" s="21">
        <f t="shared" si="4"/>
        <v>2.5454545454545454</v>
      </c>
    </row>
    <row r="17" spans="1:38" x14ac:dyDescent="0.25">
      <c r="A17" s="1" t="s">
        <v>515</v>
      </c>
      <c r="B17" s="1" t="s">
        <v>514</v>
      </c>
      <c r="C17" s="1"/>
      <c r="D17" s="8">
        <v>40</v>
      </c>
      <c r="E17" s="8">
        <v>45</v>
      </c>
      <c r="F17" s="8">
        <v>19</v>
      </c>
      <c r="G17" s="8">
        <v>36</v>
      </c>
      <c r="H17" s="8">
        <v>93</v>
      </c>
      <c r="I17" s="8">
        <v>32</v>
      </c>
      <c r="J17" s="8">
        <v>7</v>
      </c>
      <c r="K17" s="8">
        <v>38</v>
      </c>
      <c r="L17" s="8">
        <v>30</v>
      </c>
      <c r="M17" s="8">
        <v>36</v>
      </c>
      <c r="N17" s="8">
        <v>40</v>
      </c>
      <c r="O17" s="8">
        <v>54</v>
      </c>
      <c r="P17" s="3"/>
      <c r="Q17" s="4">
        <v>1.2903</v>
      </c>
      <c r="R17" s="4">
        <v>2.1429</v>
      </c>
      <c r="S17" s="4">
        <v>0.6129</v>
      </c>
      <c r="T17" s="4">
        <v>0.88239999999999996</v>
      </c>
      <c r="U17" s="4">
        <v>1.7646999999999999</v>
      </c>
      <c r="V17" s="4">
        <v>1.7203999999999999</v>
      </c>
      <c r="W17" s="4">
        <v>0.41670000000000001</v>
      </c>
      <c r="X17" s="4">
        <v>1.2258</v>
      </c>
      <c r="Y17" s="4">
        <v>1.1904999999999999</v>
      </c>
      <c r="Z17" s="4">
        <v>1.1613</v>
      </c>
      <c r="AA17" s="4">
        <v>1.4815</v>
      </c>
      <c r="AB17" s="4">
        <v>1.34</v>
      </c>
      <c r="AC17" s="10">
        <v>0</v>
      </c>
      <c r="AD17" s="4">
        <v>1.2690999999999999</v>
      </c>
      <c r="AE17" s="4">
        <f>AVERAGE(W17:AB17)</f>
        <v>1.1359666666666666</v>
      </c>
      <c r="AF17" s="1" t="s">
        <v>35</v>
      </c>
      <c r="AG17" s="19">
        <f t="array" ref="AG17">DIASQUIEBRE(Q17:AB17)</f>
        <v>0</v>
      </c>
      <c r="AH17" s="19">
        <f t="array" ref="AH17">DiasMesesGris(Q17:AB17)</f>
        <v>0</v>
      </c>
      <c r="AI17" s="19">
        <f t="shared" si="1"/>
        <v>0</v>
      </c>
      <c r="AJ17" s="19">
        <f t="shared" si="2"/>
        <v>360</v>
      </c>
      <c r="AK17" s="20">
        <f t="shared" si="3"/>
        <v>470</v>
      </c>
      <c r="AL17" s="21">
        <f t="shared" si="4"/>
        <v>1.3055555555555556</v>
      </c>
    </row>
    <row r="18" spans="1:38" x14ac:dyDescent="0.25">
      <c r="A18" s="1" t="s">
        <v>55</v>
      </c>
      <c r="B18" s="1" t="s">
        <v>54</v>
      </c>
      <c r="C18" s="1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6">
        <v>0</v>
      </c>
      <c r="AE18" s="4">
        <f>AVERAGE(W18:AB18)</f>
        <v>0</v>
      </c>
      <c r="AF18" s="1" t="s">
        <v>35</v>
      </c>
      <c r="AG18" s="19">
        <f t="array" ref="AG18">DIASQUIEBRE(Q18:AB18)</f>
        <v>0</v>
      </c>
      <c r="AH18" s="19">
        <f t="array" ref="AH18">DiasMesesGris(Q18:AB18)</f>
        <v>360</v>
      </c>
      <c r="AI18" s="19">
        <f t="shared" si="1"/>
        <v>360</v>
      </c>
      <c r="AJ18" s="19">
        <f t="shared" si="2"/>
        <v>0</v>
      </c>
      <c r="AK18" s="20">
        <f t="shared" si="3"/>
        <v>0</v>
      </c>
      <c r="AL18" s="21">
        <f t="shared" si="4"/>
        <v>0</v>
      </c>
    </row>
    <row r="19" spans="1:38" x14ac:dyDescent="0.25">
      <c r="A19" s="1" t="s">
        <v>569</v>
      </c>
      <c r="B19" s="1" t="s">
        <v>568</v>
      </c>
      <c r="C19" s="1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6">
        <v>0</v>
      </c>
      <c r="AE19" s="4">
        <f>AVERAGE(W19:AB19)</f>
        <v>0</v>
      </c>
      <c r="AF19" s="1" t="s">
        <v>35</v>
      </c>
      <c r="AG19" s="19">
        <f t="array" ref="AG19">DIASQUIEBRE(Q19:AB19)</f>
        <v>0</v>
      </c>
      <c r="AH19" s="19">
        <f t="array" ref="AH19">DiasMesesGris(Q19:AB19)</f>
        <v>360</v>
      </c>
      <c r="AI19" s="19">
        <f t="shared" si="1"/>
        <v>360</v>
      </c>
      <c r="AJ19" s="19">
        <f t="shared" si="2"/>
        <v>0</v>
      </c>
      <c r="AK19" s="20">
        <f t="shared" si="3"/>
        <v>0</v>
      </c>
      <c r="AL19" s="21">
        <f t="shared" si="4"/>
        <v>0</v>
      </c>
    </row>
    <row r="20" spans="1:38" x14ac:dyDescent="0.25">
      <c r="A20" s="1" t="s">
        <v>517</v>
      </c>
      <c r="B20" s="1" t="s">
        <v>516</v>
      </c>
      <c r="C20" s="1"/>
      <c r="D20" s="8">
        <v>77</v>
      </c>
      <c r="E20" s="8">
        <v>69</v>
      </c>
      <c r="F20" s="8">
        <v>23</v>
      </c>
      <c r="G20" s="8">
        <v>40</v>
      </c>
      <c r="H20" s="8">
        <v>129</v>
      </c>
      <c r="I20" s="8">
        <v>48</v>
      </c>
      <c r="J20" s="8">
        <v>108</v>
      </c>
      <c r="K20" s="8">
        <v>74</v>
      </c>
      <c r="L20" s="8">
        <v>56</v>
      </c>
      <c r="M20" s="3"/>
      <c r="N20" s="8">
        <v>1</v>
      </c>
      <c r="O20" s="3"/>
      <c r="P20" s="3"/>
      <c r="Q20" s="4">
        <v>2.4839000000000002</v>
      </c>
      <c r="R20" s="4">
        <v>3.2856999999999998</v>
      </c>
      <c r="S20" s="4">
        <v>0.7419</v>
      </c>
      <c r="T20" s="9">
        <v>1.8382000000000001</v>
      </c>
      <c r="U20" s="9">
        <v>2.7101000000000002</v>
      </c>
      <c r="V20" s="4">
        <v>2.5806</v>
      </c>
      <c r="W20" s="4">
        <v>6.4286000000000003</v>
      </c>
      <c r="X20" s="4">
        <v>2.3871000000000002</v>
      </c>
      <c r="Y20" s="9">
        <v>4.1666999999999996</v>
      </c>
      <c r="Z20" s="5">
        <v>0</v>
      </c>
      <c r="AA20" s="5">
        <v>0</v>
      </c>
      <c r="AB20" s="5">
        <v>0</v>
      </c>
      <c r="AC20" s="6">
        <v>0</v>
      </c>
      <c r="AD20" s="4">
        <v>2.9845999999999999</v>
      </c>
      <c r="AE20" s="24">
        <v>3.53</v>
      </c>
      <c r="AF20" s="1" t="s">
        <v>35</v>
      </c>
      <c r="AG20" s="19">
        <f t="array" ref="AG20">DIASQUIEBRE(Q20:AB20)</f>
        <v>31</v>
      </c>
      <c r="AH20" s="19">
        <f t="array" ref="AH20">DiasMesesGris(Q20:AB20)</f>
        <v>90</v>
      </c>
      <c r="AI20" s="19">
        <f t="shared" si="1"/>
        <v>121</v>
      </c>
      <c r="AJ20" s="19">
        <f t="shared" si="2"/>
        <v>239</v>
      </c>
      <c r="AK20" s="20">
        <f t="shared" si="3"/>
        <v>625</v>
      </c>
      <c r="AL20" s="21">
        <f t="shared" si="4"/>
        <v>2.6150627615062763</v>
      </c>
    </row>
    <row r="21" spans="1:38" x14ac:dyDescent="0.25">
      <c r="A21" s="11" t="s">
        <v>499</v>
      </c>
      <c r="B21" s="1" t="s">
        <v>498</v>
      </c>
      <c r="C21" s="1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6">
        <v>0</v>
      </c>
      <c r="AE21" s="4">
        <f t="shared" ref="AE21:AE29" si="5">AVERAGE(W21:AB21)</f>
        <v>0</v>
      </c>
      <c r="AF21" s="1" t="s">
        <v>35</v>
      </c>
      <c r="AG21" s="19">
        <f t="array" ref="AG21">DIASQUIEBRE(V21:AC21)</f>
        <v>0</v>
      </c>
      <c r="AH21" s="19">
        <f t="array" ref="AH21">DiasMesesGris(V21:AC21)</f>
        <v>210</v>
      </c>
      <c r="AI21" s="19">
        <f t="shared" si="1"/>
        <v>210</v>
      </c>
      <c r="AJ21" s="19">
        <f t="shared" si="2"/>
        <v>150</v>
      </c>
      <c r="AK21" s="20">
        <f>SUM(I21:P21)</f>
        <v>0</v>
      </c>
      <c r="AL21" s="21">
        <f t="shared" si="4"/>
        <v>0</v>
      </c>
    </row>
    <row r="22" spans="1:38" x14ac:dyDescent="0.25">
      <c r="A22" s="11" t="s">
        <v>501</v>
      </c>
      <c r="B22" s="1" t="s">
        <v>500</v>
      </c>
      <c r="C22" s="1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6">
        <v>0</v>
      </c>
      <c r="AE22" s="4">
        <f t="shared" si="5"/>
        <v>0</v>
      </c>
      <c r="AF22" s="1" t="s">
        <v>35</v>
      </c>
      <c r="AG22" s="19">
        <f t="array" ref="AG22">DIASQUIEBRE(Q22:AB22)</f>
        <v>0</v>
      </c>
      <c r="AH22" s="19">
        <f t="array" ref="AH22">DiasMesesGris(Q22:AB22)</f>
        <v>360</v>
      </c>
      <c r="AI22" s="19">
        <f t="shared" si="1"/>
        <v>360</v>
      </c>
      <c r="AJ22" s="19">
        <f t="shared" si="2"/>
        <v>0</v>
      </c>
      <c r="AK22" s="20">
        <f t="shared" ref="AK22:AK85" si="6">SUM(D22:O22)</f>
        <v>0</v>
      </c>
      <c r="AL22" s="21">
        <f t="shared" si="4"/>
        <v>0</v>
      </c>
    </row>
    <row r="23" spans="1:38" x14ac:dyDescent="0.25">
      <c r="A23" s="11" t="s">
        <v>503</v>
      </c>
      <c r="B23" s="1" t="s">
        <v>502</v>
      </c>
      <c r="C23" s="1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6">
        <v>0</v>
      </c>
      <c r="AE23" s="4">
        <f t="shared" si="5"/>
        <v>0</v>
      </c>
      <c r="AF23" s="1" t="s">
        <v>35</v>
      </c>
      <c r="AG23" s="19">
        <f t="array" ref="AG23">DIASQUIEBRE(Q23:AB23)</f>
        <v>0</v>
      </c>
      <c r="AH23" s="19">
        <f t="array" ref="AH23">DiasMesesGris(Q23:AB23)</f>
        <v>360</v>
      </c>
      <c r="AI23" s="19">
        <f t="shared" si="1"/>
        <v>360</v>
      </c>
      <c r="AJ23" s="19">
        <f t="shared" si="2"/>
        <v>0</v>
      </c>
      <c r="AK23" s="20">
        <f t="shared" si="6"/>
        <v>0</v>
      </c>
      <c r="AL23" s="21">
        <f t="shared" si="4"/>
        <v>0</v>
      </c>
    </row>
    <row r="24" spans="1:38" x14ac:dyDescent="0.25">
      <c r="A24" s="11" t="s">
        <v>505</v>
      </c>
      <c r="B24" s="1" t="s">
        <v>504</v>
      </c>
      <c r="C24" s="1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6">
        <v>0</v>
      </c>
      <c r="AE24" s="4">
        <f t="shared" si="5"/>
        <v>0</v>
      </c>
      <c r="AF24" s="1" t="s">
        <v>35</v>
      </c>
      <c r="AG24" s="19">
        <f t="array" ref="AG24">DIASQUIEBRE(Q24:AB24)</f>
        <v>0</v>
      </c>
      <c r="AH24" s="19">
        <f t="array" ref="AH24">DiasMesesGris(Q24:AB24)</f>
        <v>360</v>
      </c>
      <c r="AI24" s="19">
        <f t="shared" si="1"/>
        <v>360</v>
      </c>
      <c r="AJ24" s="19">
        <f t="shared" si="2"/>
        <v>0</v>
      </c>
      <c r="AK24" s="20">
        <f t="shared" si="6"/>
        <v>0</v>
      </c>
      <c r="AL24" s="21">
        <f t="shared" si="4"/>
        <v>0</v>
      </c>
    </row>
    <row r="25" spans="1:38" x14ac:dyDescent="0.25">
      <c r="A25" s="1" t="s">
        <v>519</v>
      </c>
      <c r="B25" s="1" t="s">
        <v>518</v>
      </c>
      <c r="C25" s="1"/>
      <c r="D25" s="8">
        <v>3</v>
      </c>
      <c r="E25" s="8">
        <v>9</v>
      </c>
      <c r="F25" s="8">
        <v>4</v>
      </c>
      <c r="G25" s="3"/>
      <c r="H25" s="8">
        <v>5</v>
      </c>
      <c r="I25" s="8">
        <v>1</v>
      </c>
      <c r="J25" s="8">
        <v>12</v>
      </c>
      <c r="K25" s="3"/>
      <c r="L25" s="8">
        <v>2</v>
      </c>
      <c r="M25" s="3"/>
      <c r="N25" s="8">
        <v>7</v>
      </c>
      <c r="O25" s="8">
        <v>8</v>
      </c>
      <c r="P25" s="3"/>
      <c r="Q25" s="4">
        <v>9.6799999999999997E-2</v>
      </c>
      <c r="R25" s="4">
        <v>0.42859999999999998</v>
      </c>
      <c r="S25" s="4">
        <v>0.129</v>
      </c>
      <c r="T25" s="4">
        <v>0</v>
      </c>
      <c r="U25" s="4">
        <v>9.4899999999999998E-2</v>
      </c>
      <c r="V25" s="4">
        <v>5.3800000000000001E-2</v>
      </c>
      <c r="W25" s="4">
        <v>0.71430000000000005</v>
      </c>
      <c r="X25" s="4">
        <v>0</v>
      </c>
      <c r="Y25" s="4">
        <v>7.9399999999999998E-2</v>
      </c>
      <c r="Z25" s="4">
        <v>0</v>
      </c>
      <c r="AA25" s="4">
        <v>0.25929999999999997</v>
      </c>
      <c r="AB25" s="4">
        <v>0.19850000000000001</v>
      </c>
      <c r="AC25" s="10">
        <v>0</v>
      </c>
      <c r="AD25" s="4">
        <v>0.17119999999999999</v>
      </c>
      <c r="AE25" s="4">
        <f t="shared" si="5"/>
        <v>0.20858333333333334</v>
      </c>
      <c r="AF25" s="1" t="s">
        <v>32</v>
      </c>
      <c r="AG25" s="19">
        <f t="array" ref="AG25">DIASQUIEBRE(Q25:AB25)</f>
        <v>0</v>
      </c>
      <c r="AH25" s="19">
        <f t="array" ref="AH25">DiasMesesGris(Q25:AB25)</f>
        <v>0</v>
      </c>
      <c r="AI25" s="19">
        <f t="shared" si="1"/>
        <v>0</v>
      </c>
      <c r="AJ25" s="19">
        <f t="shared" si="2"/>
        <v>360</v>
      </c>
      <c r="AK25" s="20">
        <f t="shared" si="6"/>
        <v>51</v>
      </c>
      <c r="AL25" s="21">
        <f t="shared" si="4"/>
        <v>0.14166666666666666</v>
      </c>
    </row>
    <row r="26" spans="1:38" x14ac:dyDescent="0.25">
      <c r="A26" s="1" t="s">
        <v>521</v>
      </c>
      <c r="B26" s="1" t="s">
        <v>520</v>
      </c>
      <c r="C26" s="1"/>
      <c r="D26" s="8">
        <v>3</v>
      </c>
      <c r="E26" s="8">
        <v>12</v>
      </c>
      <c r="F26" s="8">
        <v>7</v>
      </c>
      <c r="G26" s="8">
        <v>13</v>
      </c>
      <c r="H26" s="8">
        <v>10</v>
      </c>
      <c r="I26" s="8">
        <v>12</v>
      </c>
      <c r="J26" s="3"/>
      <c r="K26" s="3"/>
      <c r="L26" s="3"/>
      <c r="M26" s="3"/>
      <c r="N26" s="3"/>
      <c r="O26" s="3"/>
      <c r="P26" s="3"/>
      <c r="Q26" s="4">
        <v>9.6799999999999997E-2</v>
      </c>
      <c r="R26" s="4">
        <v>0.57140000000000002</v>
      </c>
      <c r="S26" s="4">
        <v>0.2258</v>
      </c>
      <c r="T26" s="4">
        <v>0.31859999999999999</v>
      </c>
      <c r="U26" s="4">
        <v>0.1898</v>
      </c>
      <c r="V26" s="9">
        <v>3.3332999999999999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6">
        <v>0</v>
      </c>
      <c r="AD26" s="4">
        <v>0.28050000000000003</v>
      </c>
      <c r="AE26" s="4">
        <f t="shared" si="5"/>
        <v>0</v>
      </c>
      <c r="AF26" s="1" t="s">
        <v>32</v>
      </c>
      <c r="AG26" s="19">
        <f t="array" ref="AG26">DIASQUIEBRE(Q26:AB26)</f>
        <v>25</v>
      </c>
      <c r="AH26" s="19">
        <f t="array" ref="AH26">DiasMesesGris(Q26:AB26)</f>
        <v>180</v>
      </c>
      <c r="AI26" s="19">
        <f t="shared" si="1"/>
        <v>205</v>
      </c>
      <c r="AJ26" s="19">
        <f t="shared" si="2"/>
        <v>155</v>
      </c>
      <c r="AK26" s="20">
        <f t="shared" si="6"/>
        <v>57</v>
      </c>
      <c r="AL26" s="21">
        <f t="shared" si="4"/>
        <v>0.36774193548387096</v>
      </c>
    </row>
    <row r="27" spans="1:38" x14ac:dyDescent="0.25">
      <c r="A27" s="1" t="s">
        <v>523</v>
      </c>
      <c r="B27" s="1" t="s">
        <v>522</v>
      </c>
      <c r="C27" s="1"/>
      <c r="D27" s="8">
        <v>5</v>
      </c>
      <c r="E27" s="8">
        <v>27</v>
      </c>
      <c r="F27" s="8">
        <v>5</v>
      </c>
      <c r="G27" s="8">
        <v>11</v>
      </c>
      <c r="H27" s="8">
        <v>7</v>
      </c>
      <c r="I27" s="8">
        <v>4</v>
      </c>
      <c r="J27" s="8">
        <v>12</v>
      </c>
      <c r="K27" s="8">
        <v>11</v>
      </c>
      <c r="L27" s="8">
        <v>14</v>
      </c>
      <c r="M27" s="8">
        <v>12</v>
      </c>
      <c r="N27" s="8">
        <v>10</v>
      </c>
      <c r="O27" s="8">
        <v>29</v>
      </c>
      <c r="P27" s="3"/>
      <c r="Q27" s="4">
        <v>0.1613</v>
      </c>
      <c r="R27" s="4">
        <v>1.2857000000000001</v>
      </c>
      <c r="S27" s="4">
        <v>0.1613</v>
      </c>
      <c r="T27" s="4">
        <v>0.26960000000000001</v>
      </c>
      <c r="U27" s="4">
        <v>0.1328</v>
      </c>
      <c r="V27" s="4">
        <v>0.21510000000000001</v>
      </c>
      <c r="W27" s="4">
        <v>0.71430000000000005</v>
      </c>
      <c r="X27" s="4">
        <v>0.3548</v>
      </c>
      <c r="Y27" s="4">
        <v>0.55559999999999998</v>
      </c>
      <c r="Z27" s="4">
        <v>0.3871</v>
      </c>
      <c r="AA27" s="4">
        <v>0.37040000000000001</v>
      </c>
      <c r="AB27" s="4">
        <v>0.71960000000000002</v>
      </c>
      <c r="AC27" s="10">
        <v>0</v>
      </c>
      <c r="AD27" s="4">
        <v>0.44400000000000001</v>
      </c>
      <c r="AE27" s="4">
        <f t="shared" si="5"/>
        <v>0.51696666666666669</v>
      </c>
      <c r="AF27" s="1" t="s">
        <v>32</v>
      </c>
      <c r="AG27" s="19">
        <f t="array" ref="AG27">DIASQUIEBRE(Q27:AB27)</f>
        <v>0</v>
      </c>
      <c r="AH27" s="19">
        <f t="array" ref="AH27">DiasMesesGris(Q27:AB27)</f>
        <v>0</v>
      </c>
      <c r="AI27" s="19">
        <f t="shared" si="1"/>
        <v>0</v>
      </c>
      <c r="AJ27" s="19">
        <f t="shared" si="2"/>
        <v>360</v>
      </c>
      <c r="AK27" s="20">
        <f t="shared" si="6"/>
        <v>147</v>
      </c>
      <c r="AL27" s="21">
        <f t="shared" si="4"/>
        <v>0.40833333333333333</v>
      </c>
    </row>
    <row r="28" spans="1:38" x14ac:dyDescent="0.25">
      <c r="A28" s="1" t="s">
        <v>525</v>
      </c>
      <c r="B28" s="1" t="s">
        <v>524</v>
      </c>
      <c r="C28" s="1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6">
        <v>0</v>
      </c>
      <c r="AE28" s="4">
        <f t="shared" si="5"/>
        <v>0</v>
      </c>
      <c r="AF28" s="1" t="s">
        <v>32</v>
      </c>
      <c r="AG28" s="19">
        <f t="array" ref="AG28">DIASQUIEBRE(Q28:AB28)</f>
        <v>0</v>
      </c>
      <c r="AH28" s="19">
        <f t="array" ref="AH28">DiasMesesGris(Q28:AB28)</f>
        <v>360</v>
      </c>
      <c r="AI28" s="19">
        <f t="shared" si="1"/>
        <v>360</v>
      </c>
      <c r="AJ28" s="19">
        <f t="shared" si="2"/>
        <v>0</v>
      </c>
      <c r="AK28" s="20">
        <f t="shared" si="6"/>
        <v>0</v>
      </c>
      <c r="AL28" s="21">
        <f t="shared" si="4"/>
        <v>0</v>
      </c>
    </row>
    <row r="29" spans="1:38" x14ac:dyDescent="0.25">
      <c r="A29" s="1" t="s">
        <v>527</v>
      </c>
      <c r="B29" s="1" t="s">
        <v>526</v>
      </c>
      <c r="C29" s="1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6">
        <v>0</v>
      </c>
      <c r="AE29" s="4">
        <f t="shared" si="5"/>
        <v>0</v>
      </c>
      <c r="AF29" s="1" t="s">
        <v>32</v>
      </c>
      <c r="AG29" s="19">
        <f t="array" ref="AG29">DIASQUIEBRE(R29:AC29)</f>
        <v>0</v>
      </c>
      <c r="AH29" s="19">
        <f t="array" ref="AH29">DiasMesesGris(R29:AC29)</f>
        <v>330</v>
      </c>
      <c r="AI29" s="19">
        <f t="shared" si="1"/>
        <v>330</v>
      </c>
      <c r="AJ29" s="19">
        <f t="shared" si="2"/>
        <v>30</v>
      </c>
      <c r="AK29" s="20">
        <f t="shared" si="6"/>
        <v>0</v>
      </c>
      <c r="AL29" s="21">
        <f t="shared" si="4"/>
        <v>0</v>
      </c>
    </row>
    <row r="30" spans="1:38" x14ac:dyDescent="0.25">
      <c r="A30" s="1" t="s">
        <v>529</v>
      </c>
      <c r="B30" s="1" t="s">
        <v>528</v>
      </c>
      <c r="C30" s="1"/>
      <c r="D30" s="8">
        <v>3</v>
      </c>
      <c r="E30" s="8">
        <v>9</v>
      </c>
      <c r="F30" s="8">
        <v>12</v>
      </c>
      <c r="G30" s="8">
        <v>10</v>
      </c>
      <c r="H30" s="8">
        <v>4</v>
      </c>
      <c r="I30" s="8">
        <v>4</v>
      </c>
      <c r="J30" s="8">
        <v>2</v>
      </c>
      <c r="K30" s="8">
        <v>6</v>
      </c>
      <c r="L30" s="8">
        <v>3</v>
      </c>
      <c r="M30" s="8">
        <v>2</v>
      </c>
      <c r="N30" s="3"/>
      <c r="O30" s="8">
        <v>1</v>
      </c>
      <c r="P30" s="3"/>
      <c r="Q30" s="4">
        <v>9.6799999999999997E-2</v>
      </c>
      <c r="R30" s="4">
        <v>0.42859999999999998</v>
      </c>
      <c r="S30" s="4">
        <v>0.3871</v>
      </c>
      <c r="T30" s="4">
        <v>0.24510000000000001</v>
      </c>
      <c r="U30" s="4">
        <v>7.5899999999999995E-2</v>
      </c>
      <c r="V30" s="4">
        <v>0.21510000000000001</v>
      </c>
      <c r="W30" s="4">
        <v>0.11899999999999999</v>
      </c>
      <c r="X30" s="4">
        <v>0.19350000000000001</v>
      </c>
      <c r="Y30" s="9">
        <v>0.13739999999999999</v>
      </c>
      <c r="Z30" s="5">
        <v>0</v>
      </c>
      <c r="AA30" s="5">
        <v>0</v>
      </c>
      <c r="AB30" s="5">
        <v>0</v>
      </c>
      <c r="AC30" s="6">
        <v>0</v>
      </c>
      <c r="AD30" s="4">
        <v>0.22009999999999999</v>
      </c>
      <c r="AE30" s="22">
        <v>0.15</v>
      </c>
      <c r="AF30" s="1" t="s">
        <v>32</v>
      </c>
      <c r="AG30" s="19">
        <f t="array" ref="AG30">DIASQUIEBRE(Q30:AB30)</f>
        <v>4</v>
      </c>
      <c r="AH30" s="19">
        <f t="array" ref="AH30">DiasMesesGris(Q30:AB30)</f>
        <v>90</v>
      </c>
      <c r="AI30" s="19">
        <f t="shared" si="1"/>
        <v>94</v>
      </c>
      <c r="AJ30" s="19">
        <f t="shared" si="2"/>
        <v>266</v>
      </c>
      <c r="AK30" s="20">
        <f t="shared" si="6"/>
        <v>56</v>
      </c>
      <c r="AL30" s="21">
        <f t="shared" si="4"/>
        <v>0.21052631578947367</v>
      </c>
    </row>
    <row r="31" spans="1:38" x14ac:dyDescent="0.25">
      <c r="A31" s="1" t="s">
        <v>291</v>
      </c>
      <c r="B31" s="1" t="s">
        <v>290</v>
      </c>
      <c r="C31" s="1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6">
        <v>0</v>
      </c>
      <c r="AE31" s="4">
        <f t="shared" ref="AE31:AE46" si="7">AVERAGE(W31:AB31)</f>
        <v>0</v>
      </c>
      <c r="AF31" s="1" t="s">
        <v>32</v>
      </c>
      <c r="AG31" s="19">
        <f t="array" ref="AG31">DIASQUIEBRE(Q31:AB31)</f>
        <v>0</v>
      </c>
      <c r="AH31" s="19">
        <f t="array" ref="AH31">DiasMesesGris(Q31:AB31)</f>
        <v>360</v>
      </c>
      <c r="AI31" s="19">
        <f t="shared" si="1"/>
        <v>360</v>
      </c>
      <c r="AJ31" s="19">
        <f t="shared" si="2"/>
        <v>0</v>
      </c>
      <c r="AK31" s="20">
        <f t="shared" si="6"/>
        <v>0</v>
      </c>
      <c r="AL31" s="21">
        <f t="shared" si="4"/>
        <v>0</v>
      </c>
    </row>
    <row r="32" spans="1:38" x14ac:dyDescent="0.25">
      <c r="A32" s="1" t="s">
        <v>531</v>
      </c>
      <c r="B32" s="1" t="s">
        <v>530</v>
      </c>
      <c r="C32" s="1"/>
      <c r="D32" s="8">
        <v>9</v>
      </c>
      <c r="E32" s="8">
        <v>4</v>
      </c>
      <c r="F32" s="3"/>
      <c r="G32" s="8">
        <v>2</v>
      </c>
      <c r="H32" s="8">
        <v>2</v>
      </c>
      <c r="I32" s="8">
        <v>2</v>
      </c>
      <c r="J32" s="3"/>
      <c r="K32" s="8">
        <v>1</v>
      </c>
      <c r="L32" s="8">
        <v>4</v>
      </c>
      <c r="M32" s="8">
        <v>1</v>
      </c>
      <c r="N32" s="8">
        <v>3</v>
      </c>
      <c r="O32" s="3"/>
      <c r="P32" s="3"/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6">
        <v>0</v>
      </c>
      <c r="AE32" s="4">
        <f t="shared" si="7"/>
        <v>0</v>
      </c>
      <c r="AF32" s="1" t="s">
        <v>32</v>
      </c>
      <c r="AG32" s="19">
        <f t="array" ref="AG32">DIASQUIEBRE(Q32:AB32)</f>
        <v>0</v>
      </c>
      <c r="AH32" s="19">
        <f t="array" ref="AH32">DiasMesesGris(Q32:AB32)</f>
        <v>360</v>
      </c>
      <c r="AI32" s="19">
        <f t="shared" si="1"/>
        <v>360</v>
      </c>
      <c r="AJ32" s="19">
        <f t="shared" si="2"/>
        <v>0</v>
      </c>
      <c r="AK32" s="20">
        <f t="shared" si="6"/>
        <v>28</v>
      </c>
      <c r="AL32" s="21">
        <f t="shared" si="4"/>
        <v>0</v>
      </c>
    </row>
    <row r="33" spans="1:38" x14ac:dyDescent="0.25">
      <c r="A33" s="1" t="s">
        <v>533</v>
      </c>
      <c r="B33" s="1" t="s">
        <v>532</v>
      </c>
      <c r="C33" s="1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6">
        <v>0</v>
      </c>
      <c r="AE33" s="4">
        <f t="shared" si="7"/>
        <v>0</v>
      </c>
      <c r="AF33" s="1" t="s">
        <v>35</v>
      </c>
      <c r="AG33" s="19">
        <f t="array" ref="AG33">DIASQUIEBRE(Q33:AB33)</f>
        <v>0</v>
      </c>
      <c r="AH33" s="19">
        <f t="array" ref="AH33">DiasMesesGris(Q33:AB33)</f>
        <v>360</v>
      </c>
      <c r="AI33" s="19">
        <f t="shared" si="1"/>
        <v>360</v>
      </c>
      <c r="AJ33" s="19">
        <f t="shared" si="2"/>
        <v>0</v>
      </c>
      <c r="AK33" s="20">
        <f t="shared" si="6"/>
        <v>0</v>
      </c>
      <c r="AL33" s="21">
        <f t="shared" si="4"/>
        <v>0</v>
      </c>
    </row>
    <row r="34" spans="1:38" x14ac:dyDescent="0.25">
      <c r="A34" s="1" t="s">
        <v>535</v>
      </c>
      <c r="B34" s="1" t="s">
        <v>534</v>
      </c>
      <c r="C34" s="1"/>
      <c r="D34" s="3"/>
      <c r="E34" s="3"/>
      <c r="F34" s="3"/>
      <c r="G34" s="8">
        <v>1</v>
      </c>
      <c r="H34" s="3"/>
      <c r="I34" s="3"/>
      <c r="J34" s="3"/>
      <c r="K34" s="3"/>
      <c r="L34" s="3"/>
      <c r="M34" s="8">
        <v>-1</v>
      </c>
      <c r="N34" s="3"/>
      <c r="O34" s="8">
        <v>1</v>
      </c>
      <c r="P34" s="3"/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6">
        <v>0</v>
      </c>
      <c r="AE34" s="4">
        <f t="shared" si="7"/>
        <v>0</v>
      </c>
      <c r="AF34" s="1" t="s">
        <v>32</v>
      </c>
      <c r="AG34" s="19">
        <f t="array" ref="AG34">DIASQUIEBRE(Q34:AB34)</f>
        <v>0</v>
      </c>
      <c r="AH34" s="19">
        <f t="array" ref="AH34">DiasMesesGris(Q34:AB34)</f>
        <v>360</v>
      </c>
      <c r="AI34" s="19">
        <f t="shared" si="1"/>
        <v>360</v>
      </c>
      <c r="AJ34" s="19">
        <f t="shared" si="2"/>
        <v>0</v>
      </c>
      <c r="AK34" s="20">
        <f t="shared" si="6"/>
        <v>1</v>
      </c>
      <c r="AL34" s="21">
        <f t="shared" si="4"/>
        <v>0</v>
      </c>
    </row>
    <row r="35" spans="1:38" x14ac:dyDescent="0.25">
      <c r="A35" s="1" t="s">
        <v>537</v>
      </c>
      <c r="B35" s="1" t="s">
        <v>536</v>
      </c>
      <c r="C35" s="1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6">
        <v>0</v>
      </c>
      <c r="AE35" s="4">
        <f t="shared" si="7"/>
        <v>0</v>
      </c>
      <c r="AF35" s="1" t="s">
        <v>32</v>
      </c>
      <c r="AG35" s="19">
        <f t="array" ref="AG35">DIASQUIEBRE(Q35:AB35)</f>
        <v>0</v>
      </c>
      <c r="AH35" s="19">
        <f t="array" ref="AH35">DiasMesesGris(Q35:AB35)</f>
        <v>360</v>
      </c>
      <c r="AI35" s="19">
        <f t="shared" si="1"/>
        <v>360</v>
      </c>
      <c r="AJ35" s="19">
        <f t="shared" si="2"/>
        <v>0</v>
      </c>
      <c r="AK35" s="20">
        <f t="shared" si="6"/>
        <v>0</v>
      </c>
      <c r="AL35" s="21">
        <f t="shared" si="4"/>
        <v>0</v>
      </c>
    </row>
    <row r="36" spans="1:38" x14ac:dyDescent="0.25">
      <c r="A36" s="11" t="s">
        <v>45</v>
      </c>
      <c r="B36" s="1" t="s">
        <v>44</v>
      </c>
      <c r="C36" s="1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6">
        <v>0</v>
      </c>
      <c r="AE36" s="4">
        <f t="shared" si="7"/>
        <v>0</v>
      </c>
      <c r="AF36" s="1" t="s">
        <v>35</v>
      </c>
      <c r="AG36" s="19">
        <f t="array" ref="AG36">DIASQUIEBRE(Q36:AB36)</f>
        <v>0</v>
      </c>
      <c r="AH36" s="19">
        <f t="array" ref="AH36">DiasMesesGris(Q36:AB36)</f>
        <v>360</v>
      </c>
      <c r="AI36" s="19">
        <f t="shared" si="1"/>
        <v>360</v>
      </c>
      <c r="AJ36" s="19">
        <f t="shared" si="2"/>
        <v>0</v>
      </c>
      <c r="AK36" s="20">
        <f t="shared" si="6"/>
        <v>0</v>
      </c>
      <c r="AL36" s="21">
        <f t="shared" si="4"/>
        <v>0</v>
      </c>
    </row>
    <row r="37" spans="1:38" x14ac:dyDescent="0.25">
      <c r="A37" s="11" t="s">
        <v>47</v>
      </c>
      <c r="B37" s="1" t="s">
        <v>46</v>
      </c>
      <c r="C37" s="1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6">
        <v>0</v>
      </c>
      <c r="AE37" s="4">
        <f t="shared" si="7"/>
        <v>0</v>
      </c>
      <c r="AF37" s="1" t="s">
        <v>35</v>
      </c>
      <c r="AG37" s="19">
        <f t="array" ref="AG37">DIASQUIEBRE(Q37:AB37)</f>
        <v>0</v>
      </c>
      <c r="AH37" s="19">
        <f t="array" ref="AH37">DiasMesesGris(Q37:AB37)</f>
        <v>360</v>
      </c>
      <c r="AI37" s="19">
        <f t="shared" si="1"/>
        <v>360</v>
      </c>
      <c r="AJ37" s="19">
        <f t="shared" si="2"/>
        <v>0</v>
      </c>
      <c r="AK37" s="20">
        <f t="shared" si="6"/>
        <v>0</v>
      </c>
      <c r="AL37" s="21">
        <f t="shared" si="4"/>
        <v>0</v>
      </c>
    </row>
    <row r="38" spans="1:38" x14ac:dyDescent="0.25">
      <c r="A38" s="11" t="s">
        <v>49</v>
      </c>
      <c r="B38" s="1" t="s">
        <v>48</v>
      </c>
      <c r="C38" s="1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10">
        <v>0</v>
      </c>
      <c r="AE38" s="4">
        <f t="shared" si="7"/>
        <v>0</v>
      </c>
      <c r="AF38" s="1" t="s">
        <v>35</v>
      </c>
      <c r="AG38" s="19">
        <f t="array" ref="AG38">DIASQUIEBRE(Q38:AB38)</f>
        <v>0</v>
      </c>
      <c r="AH38" s="19">
        <f t="array" ref="AH38">DiasMesesGris(Q38:AB38)</f>
        <v>0</v>
      </c>
      <c r="AI38" s="19">
        <f t="shared" si="1"/>
        <v>0</v>
      </c>
      <c r="AJ38" s="19">
        <f t="shared" si="2"/>
        <v>360</v>
      </c>
      <c r="AK38" s="20">
        <f t="shared" si="6"/>
        <v>0</v>
      </c>
      <c r="AL38" s="21">
        <f t="shared" si="4"/>
        <v>0</v>
      </c>
    </row>
    <row r="39" spans="1:38" x14ac:dyDescent="0.25">
      <c r="A39" s="11" t="s">
        <v>51</v>
      </c>
      <c r="B39" s="1" t="s">
        <v>50</v>
      </c>
      <c r="C39" s="1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10">
        <v>0</v>
      </c>
      <c r="AE39" s="4">
        <f t="shared" si="7"/>
        <v>0</v>
      </c>
      <c r="AF39" s="1" t="s">
        <v>35</v>
      </c>
      <c r="AG39" s="19">
        <f t="array" ref="AG39">DIASQUIEBRE(R39:AC39)</f>
        <v>0</v>
      </c>
      <c r="AH39" s="19">
        <f t="array" ref="AH39">DiasMesesGris(R39:AC39)</f>
        <v>0</v>
      </c>
      <c r="AI39" s="19">
        <f t="shared" si="1"/>
        <v>0</v>
      </c>
      <c r="AJ39" s="19">
        <f t="shared" si="2"/>
        <v>360</v>
      </c>
      <c r="AK39" s="20">
        <f t="shared" si="6"/>
        <v>0</v>
      </c>
      <c r="AL39" s="21">
        <f t="shared" si="4"/>
        <v>0</v>
      </c>
    </row>
    <row r="40" spans="1:38" x14ac:dyDescent="0.25">
      <c r="A40" s="1" t="s">
        <v>155</v>
      </c>
      <c r="B40" s="1" t="s">
        <v>154</v>
      </c>
      <c r="C40" s="1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6">
        <v>0</v>
      </c>
      <c r="AE40" s="4">
        <f t="shared" si="7"/>
        <v>0</v>
      </c>
      <c r="AF40" s="1" t="s">
        <v>35</v>
      </c>
      <c r="AG40" s="19">
        <f t="array" ref="AG40">DIASQUIEBRE(Q40:AB40)</f>
        <v>0</v>
      </c>
      <c r="AH40" s="19">
        <f t="array" ref="AH40">DiasMesesGris(Q40:AB40)</f>
        <v>360</v>
      </c>
      <c r="AI40" s="19">
        <f t="shared" si="1"/>
        <v>360</v>
      </c>
      <c r="AJ40" s="19">
        <f t="shared" si="2"/>
        <v>0</v>
      </c>
      <c r="AK40" s="20">
        <f t="shared" si="6"/>
        <v>0</v>
      </c>
      <c r="AL40" s="21">
        <f t="shared" si="4"/>
        <v>0</v>
      </c>
    </row>
    <row r="41" spans="1:38" x14ac:dyDescent="0.25">
      <c r="A41" s="1" t="s">
        <v>157</v>
      </c>
      <c r="B41" s="1" t="s">
        <v>156</v>
      </c>
      <c r="C41" s="1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6">
        <v>0</v>
      </c>
      <c r="AE41" s="4">
        <f t="shared" si="7"/>
        <v>0</v>
      </c>
      <c r="AF41" s="1" t="s">
        <v>32</v>
      </c>
      <c r="AG41" s="19">
        <f t="array" ref="AG41">DIASQUIEBRE(Q41:AB41)</f>
        <v>0</v>
      </c>
      <c r="AH41" s="19">
        <f t="array" ref="AH41">DiasMesesGris(Q41:AB41)</f>
        <v>360</v>
      </c>
      <c r="AI41" s="19">
        <f t="shared" si="1"/>
        <v>360</v>
      </c>
      <c r="AJ41" s="19">
        <f t="shared" si="2"/>
        <v>0</v>
      </c>
      <c r="AK41" s="20">
        <f t="shared" si="6"/>
        <v>0</v>
      </c>
      <c r="AL41" s="21">
        <f t="shared" si="4"/>
        <v>0</v>
      </c>
    </row>
    <row r="42" spans="1:38" x14ac:dyDescent="0.25">
      <c r="A42" s="1" t="s">
        <v>159</v>
      </c>
      <c r="B42" s="1" t="s">
        <v>158</v>
      </c>
      <c r="C42" s="1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6">
        <v>0</v>
      </c>
      <c r="AE42" s="4">
        <f t="shared" si="7"/>
        <v>0</v>
      </c>
      <c r="AF42" s="1" t="s">
        <v>35</v>
      </c>
      <c r="AG42" s="19">
        <f t="array" ref="AG42">DIASQUIEBRE(Q42:AB42)</f>
        <v>0</v>
      </c>
      <c r="AH42" s="19">
        <f t="array" ref="AH42">DiasMesesGris(Q42:AB42)</f>
        <v>360</v>
      </c>
      <c r="AI42" s="19">
        <f t="shared" si="1"/>
        <v>360</v>
      </c>
      <c r="AJ42" s="19">
        <f t="shared" si="2"/>
        <v>0</v>
      </c>
      <c r="AK42" s="20">
        <f t="shared" si="6"/>
        <v>0</v>
      </c>
      <c r="AL42" s="21">
        <f t="shared" si="4"/>
        <v>0</v>
      </c>
    </row>
    <row r="43" spans="1:38" x14ac:dyDescent="0.25">
      <c r="A43" s="1" t="s">
        <v>539</v>
      </c>
      <c r="B43" s="1" t="s">
        <v>538</v>
      </c>
      <c r="C43" s="1"/>
      <c r="D43" s="3"/>
      <c r="E43" s="3"/>
      <c r="F43" s="3"/>
      <c r="G43" s="8">
        <v>1</v>
      </c>
      <c r="H43" s="8">
        <v>106</v>
      </c>
      <c r="I43" s="8">
        <v>12</v>
      </c>
      <c r="J43" s="8">
        <v>3</v>
      </c>
      <c r="K43" s="8">
        <v>2</v>
      </c>
      <c r="L43" s="8">
        <v>13</v>
      </c>
      <c r="M43" s="8">
        <v>6</v>
      </c>
      <c r="N43" s="8">
        <v>54</v>
      </c>
      <c r="O43" s="8">
        <v>21</v>
      </c>
      <c r="P43" s="3"/>
      <c r="Q43" s="5">
        <v>0</v>
      </c>
      <c r="R43" s="5">
        <v>0</v>
      </c>
      <c r="S43" s="5">
        <v>0</v>
      </c>
      <c r="T43" s="5">
        <v>0</v>
      </c>
      <c r="U43" s="9">
        <v>2.2269000000000001</v>
      </c>
      <c r="V43" s="4">
        <v>0.6452</v>
      </c>
      <c r="W43" s="4">
        <v>0.17860000000000001</v>
      </c>
      <c r="X43" s="4">
        <v>6.4500000000000002E-2</v>
      </c>
      <c r="Y43" s="4">
        <v>0.51590000000000003</v>
      </c>
      <c r="Z43" s="4">
        <v>0.19350000000000001</v>
      </c>
      <c r="AA43" s="4">
        <v>2</v>
      </c>
      <c r="AB43" s="4">
        <v>0.52110000000000001</v>
      </c>
      <c r="AC43" s="10">
        <v>0</v>
      </c>
      <c r="AD43" s="4">
        <v>0.58840000000000003</v>
      </c>
      <c r="AE43" s="4">
        <f t="shared" si="7"/>
        <v>0.57893333333333341</v>
      </c>
      <c r="AF43" s="1" t="s">
        <v>35</v>
      </c>
      <c r="AG43" s="19">
        <f t="array" ref="AG43">DIASQUIEBRE(Q43:AB43)</f>
        <v>3</v>
      </c>
      <c r="AH43" s="19">
        <f t="array" ref="AH43">DiasMesesGris(Q43:AB43)</f>
        <v>120</v>
      </c>
      <c r="AI43" s="19">
        <f t="shared" si="1"/>
        <v>123</v>
      </c>
      <c r="AJ43" s="19">
        <f t="shared" si="2"/>
        <v>237</v>
      </c>
      <c r="AK43" s="20">
        <f t="shared" si="6"/>
        <v>218</v>
      </c>
      <c r="AL43" s="21">
        <f t="shared" si="4"/>
        <v>0.91983122362869196</v>
      </c>
    </row>
    <row r="44" spans="1:38" x14ac:dyDescent="0.25">
      <c r="A44" s="1" t="s">
        <v>541</v>
      </c>
      <c r="B44" s="1" t="s">
        <v>540</v>
      </c>
      <c r="C44" s="1"/>
      <c r="D44" s="8">
        <v>94</v>
      </c>
      <c r="E44" s="8">
        <v>245</v>
      </c>
      <c r="F44" s="3"/>
      <c r="G44" s="3"/>
      <c r="H44" s="8">
        <v>120</v>
      </c>
      <c r="I44" s="8">
        <v>74</v>
      </c>
      <c r="J44" s="8">
        <v>28</v>
      </c>
      <c r="K44" s="8">
        <v>5</v>
      </c>
      <c r="L44" s="8">
        <v>23</v>
      </c>
      <c r="M44" s="8">
        <v>27</v>
      </c>
      <c r="N44" s="8">
        <v>170</v>
      </c>
      <c r="O44" s="8">
        <v>61</v>
      </c>
      <c r="P44" s="3"/>
      <c r="Q44" s="4">
        <v>3.0323000000000002</v>
      </c>
      <c r="R44" s="9">
        <v>12.069000000000001</v>
      </c>
      <c r="S44" s="5">
        <v>0</v>
      </c>
      <c r="T44" s="5">
        <v>0</v>
      </c>
      <c r="U44" s="9">
        <v>4.7058999999999997</v>
      </c>
      <c r="V44" s="9">
        <v>5.3623000000000003</v>
      </c>
      <c r="W44" s="4">
        <v>1.6667000000000001</v>
      </c>
      <c r="X44" s="4">
        <v>0.1613</v>
      </c>
      <c r="Y44" s="4">
        <v>0.91269999999999996</v>
      </c>
      <c r="Z44" s="4">
        <v>0.871</v>
      </c>
      <c r="AA44" s="4">
        <v>6.2962999999999996</v>
      </c>
      <c r="AB44" s="4">
        <v>1.5136000000000001</v>
      </c>
      <c r="AC44" s="10">
        <v>0</v>
      </c>
      <c r="AD44" s="4">
        <v>2.0648</v>
      </c>
      <c r="AE44" s="4">
        <f t="shared" si="7"/>
        <v>1.9036</v>
      </c>
      <c r="AF44" s="1" t="s">
        <v>35</v>
      </c>
      <c r="AG44" s="19">
        <f t="array" ref="AG44">DIASQUIEBRE(Q44:AB44)</f>
        <v>25</v>
      </c>
      <c r="AH44" s="19">
        <f t="array" ref="AH44">DiasMesesGris(Q44:AB44)</f>
        <v>60</v>
      </c>
      <c r="AI44" s="19">
        <f t="shared" si="1"/>
        <v>85</v>
      </c>
      <c r="AJ44" s="19">
        <f t="shared" si="2"/>
        <v>275</v>
      </c>
      <c r="AK44" s="20">
        <f t="shared" si="6"/>
        <v>847</v>
      </c>
      <c r="AL44" s="21">
        <f t="shared" si="4"/>
        <v>3.08</v>
      </c>
    </row>
    <row r="45" spans="1:38" x14ac:dyDescent="0.25">
      <c r="A45" s="1" t="s">
        <v>543</v>
      </c>
      <c r="B45" s="1" t="s">
        <v>542</v>
      </c>
      <c r="C45" s="1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6">
        <v>0</v>
      </c>
      <c r="AE45" s="4">
        <f t="shared" si="7"/>
        <v>0</v>
      </c>
      <c r="AF45" s="1" t="s">
        <v>32</v>
      </c>
      <c r="AG45" s="19">
        <f t="array" ref="AG45">DIASQUIEBRE(Q45:AB45)</f>
        <v>0</v>
      </c>
      <c r="AH45" s="19">
        <f t="array" ref="AH45">DiasMesesGris(Q45:AB45)</f>
        <v>360</v>
      </c>
      <c r="AI45" s="19">
        <f t="shared" si="1"/>
        <v>360</v>
      </c>
      <c r="AJ45" s="19">
        <f t="shared" si="2"/>
        <v>0</v>
      </c>
      <c r="AK45" s="20">
        <f t="shared" si="6"/>
        <v>0</v>
      </c>
      <c r="AL45" s="21">
        <f t="shared" si="4"/>
        <v>0</v>
      </c>
    </row>
    <row r="46" spans="1:38" x14ac:dyDescent="0.25">
      <c r="A46" s="1" t="s">
        <v>545</v>
      </c>
      <c r="B46" s="1" t="s">
        <v>544</v>
      </c>
      <c r="C46" s="1"/>
      <c r="D46" s="8">
        <v>37</v>
      </c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9">
        <v>7.4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6">
        <v>0</v>
      </c>
      <c r="AE46" s="4">
        <f t="shared" si="7"/>
        <v>0</v>
      </c>
      <c r="AF46" s="1" t="s">
        <v>32</v>
      </c>
      <c r="AG46" s="19">
        <f t="array" ref="AG46">DIASQUIEBRE(Q46:AB46)</f>
        <v>26</v>
      </c>
      <c r="AH46" s="19">
        <f t="array" ref="AH46">DiasMesesGris(Q46:AB46)</f>
        <v>330</v>
      </c>
      <c r="AI46" s="19">
        <f t="shared" si="1"/>
        <v>356</v>
      </c>
      <c r="AJ46" s="19">
        <f t="shared" si="2"/>
        <v>4</v>
      </c>
      <c r="AK46" s="20">
        <f t="shared" si="6"/>
        <v>37</v>
      </c>
      <c r="AL46" s="21">
        <f t="shared" si="4"/>
        <v>9.25</v>
      </c>
    </row>
    <row r="47" spans="1:38" x14ac:dyDescent="0.25">
      <c r="A47" s="1" t="s">
        <v>547</v>
      </c>
      <c r="B47" s="1" t="s">
        <v>546</v>
      </c>
      <c r="C47" s="1"/>
      <c r="D47" s="3"/>
      <c r="E47" s="3"/>
      <c r="F47" s="3"/>
      <c r="G47" s="3"/>
      <c r="H47" s="3"/>
      <c r="I47" s="3"/>
      <c r="J47" s="3"/>
      <c r="K47" s="3"/>
      <c r="L47" s="3"/>
      <c r="M47" s="8">
        <v>6</v>
      </c>
      <c r="N47" s="8">
        <v>13</v>
      </c>
      <c r="O47" s="8">
        <v>3</v>
      </c>
      <c r="P47" s="8">
        <v>10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9">
        <v>0</v>
      </c>
      <c r="Z47" s="4">
        <v>0.19350000000000001</v>
      </c>
      <c r="AA47" s="4">
        <v>0.48149999999999998</v>
      </c>
      <c r="AB47" s="4">
        <v>7.4399999999999994E-2</v>
      </c>
      <c r="AC47" s="10">
        <v>0.3226</v>
      </c>
      <c r="AD47" s="4">
        <v>0.24979999999999999</v>
      </c>
      <c r="AE47" s="4">
        <v>0.24</v>
      </c>
      <c r="AF47" s="1" t="s">
        <v>35</v>
      </c>
      <c r="AG47" s="19">
        <f t="array" ref="AG47">DIASQUIEBRE(Q47:AB47)</f>
        <v>29</v>
      </c>
      <c r="AH47" s="19">
        <f t="array" ref="AH47">DiasMesesGris(Q47:AB47)</f>
        <v>240</v>
      </c>
      <c r="AI47" s="19">
        <f t="shared" si="1"/>
        <v>269</v>
      </c>
      <c r="AJ47" s="19">
        <f t="shared" si="2"/>
        <v>91</v>
      </c>
      <c r="AK47" s="20">
        <f t="shared" si="6"/>
        <v>22</v>
      </c>
      <c r="AL47" s="21">
        <f t="shared" si="4"/>
        <v>0.24175824175824176</v>
      </c>
    </row>
    <row r="48" spans="1:38" x14ac:dyDescent="0.25">
      <c r="A48" s="1" t="s">
        <v>549</v>
      </c>
      <c r="B48" s="1" t="s">
        <v>548</v>
      </c>
      <c r="C48" s="1"/>
      <c r="D48" s="3"/>
      <c r="E48" s="3"/>
      <c r="F48" s="3"/>
      <c r="G48" s="3"/>
      <c r="H48" s="3"/>
      <c r="I48" s="3"/>
      <c r="J48" s="3"/>
      <c r="K48" s="3"/>
      <c r="L48" s="3"/>
      <c r="M48" s="8">
        <v>1</v>
      </c>
      <c r="N48" s="8">
        <v>11</v>
      </c>
      <c r="O48" s="8">
        <v>12</v>
      </c>
      <c r="P48" s="3"/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9">
        <v>0</v>
      </c>
      <c r="Z48" s="4">
        <v>3.2300000000000002E-2</v>
      </c>
      <c r="AA48" s="4">
        <v>0.40739999999999998</v>
      </c>
      <c r="AB48" s="4">
        <v>0.29780000000000001</v>
      </c>
      <c r="AC48" s="10">
        <v>0</v>
      </c>
      <c r="AD48" s="4">
        <v>0.24579999999999999</v>
      </c>
      <c r="AE48" s="4">
        <v>0.26</v>
      </c>
      <c r="AF48" s="1" t="s">
        <v>35</v>
      </c>
      <c r="AG48" s="19">
        <f t="array" ref="AG48">DIASQUIEBRE(Q48:AB48)</f>
        <v>29</v>
      </c>
      <c r="AH48" s="19">
        <f t="array" ref="AH48">DiasMesesGris(Q48:AB48)</f>
        <v>240</v>
      </c>
      <c r="AI48" s="19">
        <f t="shared" si="1"/>
        <v>269</v>
      </c>
      <c r="AJ48" s="19">
        <f t="shared" si="2"/>
        <v>91</v>
      </c>
      <c r="AK48" s="20">
        <f t="shared" si="6"/>
        <v>24</v>
      </c>
      <c r="AL48" s="21">
        <f t="shared" si="4"/>
        <v>0.26373626373626374</v>
      </c>
    </row>
    <row r="49" spans="1:38" x14ac:dyDescent="0.25">
      <c r="A49" s="1" t="s">
        <v>551</v>
      </c>
      <c r="B49" s="1" t="s">
        <v>550</v>
      </c>
      <c r="C49" s="1"/>
      <c r="D49" s="8">
        <v>6</v>
      </c>
      <c r="E49" s="8">
        <v>28</v>
      </c>
      <c r="F49" s="8">
        <v>6</v>
      </c>
      <c r="G49" s="8">
        <v>38</v>
      </c>
      <c r="H49" s="3"/>
      <c r="I49" s="8">
        <v>18</v>
      </c>
      <c r="J49" s="8">
        <v>10</v>
      </c>
      <c r="K49" s="8">
        <v>18</v>
      </c>
      <c r="L49" s="8">
        <v>10</v>
      </c>
      <c r="M49" s="8">
        <v>10</v>
      </c>
      <c r="N49" s="8">
        <v>3</v>
      </c>
      <c r="O49" s="8">
        <v>27</v>
      </c>
      <c r="P49" s="3"/>
      <c r="Q49" s="9">
        <v>1</v>
      </c>
      <c r="R49" s="9">
        <v>1.4286000000000001</v>
      </c>
      <c r="S49" s="4">
        <v>0.19350000000000001</v>
      </c>
      <c r="T49" s="4">
        <v>0.93140000000000001</v>
      </c>
      <c r="U49" s="4">
        <v>0</v>
      </c>
      <c r="V49" s="4">
        <v>0.9677</v>
      </c>
      <c r="W49" s="4">
        <v>0.59519999999999995</v>
      </c>
      <c r="X49" s="4">
        <v>0.5806</v>
      </c>
      <c r="Y49" s="4">
        <v>0.39679999999999999</v>
      </c>
      <c r="Z49" s="4">
        <v>0.3226</v>
      </c>
      <c r="AA49" s="4">
        <v>0.1111</v>
      </c>
      <c r="AB49" s="4">
        <v>0.67</v>
      </c>
      <c r="AC49" s="10">
        <v>0</v>
      </c>
      <c r="AD49" s="4">
        <v>0.47689999999999999</v>
      </c>
      <c r="AE49" s="4">
        <v>0.52</v>
      </c>
      <c r="AF49" s="1" t="s">
        <v>35</v>
      </c>
      <c r="AG49" s="19">
        <f t="array" ref="AG49">DIASQUIEBRE(Q49:AB49)</f>
        <v>27</v>
      </c>
      <c r="AH49" s="19">
        <f t="array" ref="AH49">DiasMesesGris(Q49:AB49)</f>
        <v>0</v>
      </c>
      <c r="AI49" s="19">
        <f t="shared" si="1"/>
        <v>27</v>
      </c>
      <c r="AJ49" s="19">
        <f t="shared" si="2"/>
        <v>333</v>
      </c>
      <c r="AK49" s="20">
        <f t="shared" si="6"/>
        <v>174</v>
      </c>
      <c r="AL49" s="21">
        <f t="shared" si="4"/>
        <v>0.52252252252252251</v>
      </c>
    </row>
    <row r="50" spans="1:38" x14ac:dyDescent="0.25">
      <c r="A50" s="1" t="s">
        <v>553</v>
      </c>
      <c r="B50" s="1" t="s">
        <v>552</v>
      </c>
      <c r="C50" s="1"/>
      <c r="D50" s="8">
        <v>155</v>
      </c>
      <c r="E50" s="3"/>
      <c r="F50" s="3"/>
      <c r="G50" s="3"/>
      <c r="H50" s="8">
        <v>74</v>
      </c>
      <c r="I50" s="8">
        <v>103</v>
      </c>
      <c r="J50" s="8">
        <v>6</v>
      </c>
      <c r="K50" s="8">
        <v>10</v>
      </c>
      <c r="L50" s="8">
        <v>47</v>
      </c>
      <c r="M50" s="8">
        <v>114</v>
      </c>
      <c r="N50" s="8">
        <v>10</v>
      </c>
      <c r="O50" s="8">
        <v>110</v>
      </c>
      <c r="P50" s="8">
        <v>6</v>
      </c>
      <c r="Q50" s="9">
        <v>7.3810000000000002</v>
      </c>
      <c r="R50" s="9">
        <v>0</v>
      </c>
      <c r="S50" s="5">
        <v>0</v>
      </c>
      <c r="T50" s="5">
        <v>0</v>
      </c>
      <c r="U50" s="9">
        <v>1.5546</v>
      </c>
      <c r="V50" s="4">
        <v>5.5376000000000003</v>
      </c>
      <c r="W50" s="4">
        <v>0.35709999999999997</v>
      </c>
      <c r="X50" s="4">
        <v>0.3226</v>
      </c>
      <c r="Y50" s="9">
        <v>55.952399999999997</v>
      </c>
      <c r="Z50" s="4">
        <v>3.6774</v>
      </c>
      <c r="AA50" s="4">
        <v>0.37040000000000001</v>
      </c>
      <c r="AB50" s="4">
        <v>2.7294999999999998</v>
      </c>
      <c r="AC50" s="6">
        <v>2</v>
      </c>
      <c r="AD50" s="4">
        <v>2.1657999999999999</v>
      </c>
      <c r="AE50" s="4">
        <v>2.17</v>
      </c>
      <c r="AF50" s="1" t="s">
        <v>35</v>
      </c>
      <c r="AG50" s="19">
        <f t="array" ref="AG50">DIASQUIEBRE(Q50:AB50)</f>
        <v>70</v>
      </c>
      <c r="AH50" s="19">
        <f t="array" ref="AH50">DiasMesesGris(Q50:AB50)</f>
        <v>60</v>
      </c>
      <c r="AI50" s="19">
        <f t="shared" si="1"/>
        <v>130</v>
      </c>
      <c r="AJ50" s="19">
        <f t="shared" si="2"/>
        <v>230</v>
      </c>
      <c r="AK50" s="20">
        <f t="shared" si="6"/>
        <v>629</v>
      </c>
      <c r="AL50" s="21">
        <f t="shared" si="4"/>
        <v>2.7347826086956522</v>
      </c>
    </row>
    <row r="51" spans="1:38" x14ac:dyDescent="0.25">
      <c r="A51" s="1" t="s">
        <v>555</v>
      </c>
      <c r="B51" s="1" t="s">
        <v>554</v>
      </c>
      <c r="C51" s="1"/>
      <c r="D51" s="3"/>
      <c r="E51" s="3"/>
      <c r="F51" s="3"/>
      <c r="G51" s="3"/>
      <c r="H51" s="8">
        <v>32</v>
      </c>
      <c r="I51" s="8">
        <v>16</v>
      </c>
      <c r="J51" s="8">
        <v>8</v>
      </c>
      <c r="K51" s="8">
        <v>15</v>
      </c>
      <c r="L51" s="8">
        <v>21</v>
      </c>
      <c r="M51" s="8">
        <v>8</v>
      </c>
      <c r="N51" s="8">
        <v>86</v>
      </c>
      <c r="O51" s="8">
        <v>44</v>
      </c>
      <c r="P51" s="3"/>
      <c r="Q51" s="5">
        <v>0</v>
      </c>
      <c r="R51" s="5">
        <v>0</v>
      </c>
      <c r="S51" s="5">
        <v>0</v>
      </c>
      <c r="T51" s="5">
        <v>0</v>
      </c>
      <c r="U51" s="9">
        <v>0.67230000000000001</v>
      </c>
      <c r="V51" s="4">
        <v>0.86019999999999996</v>
      </c>
      <c r="W51" s="4">
        <v>0.47620000000000001</v>
      </c>
      <c r="X51" s="4">
        <v>0.4839</v>
      </c>
      <c r="Y51" s="4">
        <v>0.83330000000000004</v>
      </c>
      <c r="Z51" s="4">
        <v>0.2581</v>
      </c>
      <c r="AA51" s="4">
        <v>3.1852</v>
      </c>
      <c r="AB51" s="4">
        <v>1.0918000000000001</v>
      </c>
      <c r="AC51" s="10">
        <v>0</v>
      </c>
      <c r="AD51" s="4">
        <v>1.0269999999999999</v>
      </c>
      <c r="AE51" s="4">
        <v>1.2</v>
      </c>
      <c r="AF51" s="1" t="s">
        <v>32</v>
      </c>
      <c r="AG51" s="19">
        <f t="array" ref="AG51">DIASQUIEBRE(Q51:AB51)</f>
        <v>3</v>
      </c>
      <c r="AH51" s="19">
        <f t="array" ref="AH51">DiasMesesGris(Q51:AB51)</f>
        <v>120</v>
      </c>
      <c r="AI51" s="19">
        <f t="shared" si="1"/>
        <v>123</v>
      </c>
      <c r="AJ51" s="19">
        <f t="shared" si="2"/>
        <v>237</v>
      </c>
      <c r="AK51" s="20">
        <f t="shared" si="6"/>
        <v>230</v>
      </c>
      <c r="AL51" s="21">
        <f t="shared" si="4"/>
        <v>0.97046413502109707</v>
      </c>
    </row>
    <row r="52" spans="1:38" x14ac:dyDescent="0.25">
      <c r="A52" s="1" t="s">
        <v>557</v>
      </c>
      <c r="B52" s="1" t="s">
        <v>556</v>
      </c>
      <c r="C52" s="1"/>
      <c r="D52" s="3"/>
      <c r="E52" s="3"/>
      <c r="F52" s="3"/>
      <c r="G52" s="3"/>
      <c r="H52" s="8">
        <v>30</v>
      </c>
      <c r="I52" s="8">
        <v>10</v>
      </c>
      <c r="J52" s="8">
        <v>8</v>
      </c>
      <c r="K52" s="3"/>
      <c r="L52" s="8">
        <v>9</v>
      </c>
      <c r="M52" s="8">
        <v>6</v>
      </c>
      <c r="N52" s="8">
        <v>80</v>
      </c>
      <c r="O52" s="8">
        <v>6</v>
      </c>
      <c r="P52" s="3"/>
      <c r="Q52" s="5">
        <v>0</v>
      </c>
      <c r="R52" s="5">
        <v>0</v>
      </c>
      <c r="S52" s="5">
        <v>0</v>
      </c>
      <c r="T52" s="5">
        <v>0</v>
      </c>
      <c r="U52" s="9">
        <v>0.63029999999999997</v>
      </c>
      <c r="V52" s="4">
        <v>0.53759999999999997</v>
      </c>
      <c r="W52" s="4">
        <v>0.47620000000000001</v>
      </c>
      <c r="X52" s="4">
        <v>0</v>
      </c>
      <c r="Y52" s="4">
        <v>0.35709999999999997</v>
      </c>
      <c r="Z52" s="4">
        <v>0.19350000000000001</v>
      </c>
      <c r="AA52" s="4">
        <v>2.9630000000000001</v>
      </c>
      <c r="AB52" s="4">
        <v>0.1489</v>
      </c>
      <c r="AC52" s="10">
        <v>0</v>
      </c>
      <c r="AD52" s="4">
        <v>0.66800000000000004</v>
      </c>
      <c r="AE52" s="4">
        <f>AVERAGE(W52:AB52)</f>
        <v>0.6897833333333333</v>
      </c>
      <c r="AF52" s="1" t="s">
        <v>32</v>
      </c>
      <c r="AG52" s="19">
        <f t="array" ref="AG52">DIASQUIEBRE(Q52:AB52)</f>
        <v>3</v>
      </c>
      <c r="AH52" s="19">
        <f t="array" ref="AH52">DiasMesesGris(Q52:AB52)</f>
        <v>120</v>
      </c>
      <c r="AI52" s="19">
        <f t="shared" si="1"/>
        <v>123</v>
      </c>
      <c r="AJ52" s="19">
        <f t="shared" si="2"/>
        <v>237</v>
      </c>
      <c r="AK52" s="20">
        <f t="shared" si="6"/>
        <v>149</v>
      </c>
      <c r="AL52" s="21">
        <f t="shared" si="4"/>
        <v>0.62869198312236285</v>
      </c>
    </row>
    <row r="53" spans="1:38" x14ac:dyDescent="0.25">
      <c r="A53" s="1" t="s">
        <v>559</v>
      </c>
      <c r="B53" s="1" t="s">
        <v>558</v>
      </c>
      <c r="C53" s="1"/>
      <c r="D53" s="3"/>
      <c r="E53" s="3"/>
      <c r="F53" s="3"/>
      <c r="G53" s="3"/>
      <c r="H53" s="3"/>
      <c r="I53" s="8">
        <v>5</v>
      </c>
      <c r="J53" s="8">
        <v>17</v>
      </c>
      <c r="K53" s="8">
        <v>1</v>
      </c>
      <c r="L53" s="8">
        <v>50</v>
      </c>
      <c r="M53" s="8">
        <v>8</v>
      </c>
      <c r="N53" s="8">
        <v>59</v>
      </c>
      <c r="O53" s="8">
        <v>11</v>
      </c>
      <c r="P53" s="3"/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9">
        <v>0.36230000000000001</v>
      </c>
      <c r="W53" s="4">
        <v>1.0119</v>
      </c>
      <c r="X53" s="4">
        <v>3.2300000000000002E-2</v>
      </c>
      <c r="Y53" s="4">
        <v>1.9841</v>
      </c>
      <c r="Z53" s="4">
        <v>0.2581</v>
      </c>
      <c r="AA53" s="4">
        <v>2.1852</v>
      </c>
      <c r="AB53" s="5">
        <v>0</v>
      </c>
      <c r="AC53" s="6">
        <v>0</v>
      </c>
      <c r="AD53" s="4">
        <v>1.0943000000000001</v>
      </c>
      <c r="AE53" s="4">
        <v>1.1000000000000001</v>
      </c>
      <c r="AF53" s="1" t="s">
        <v>35</v>
      </c>
      <c r="AG53" s="19">
        <f t="array" ref="AG53">DIASQUIEBRE(Q53:AB53)</f>
        <v>8</v>
      </c>
      <c r="AH53" s="19">
        <f t="array" ref="AH53">DiasMesesGris(Q53:AB53)</f>
        <v>180</v>
      </c>
      <c r="AI53" s="19">
        <f t="shared" si="1"/>
        <v>188</v>
      </c>
      <c r="AJ53" s="19">
        <f t="shared" si="2"/>
        <v>172</v>
      </c>
      <c r="AK53" s="20">
        <f t="shared" si="6"/>
        <v>151</v>
      </c>
      <c r="AL53" s="21">
        <f t="shared" si="4"/>
        <v>0.87790697674418605</v>
      </c>
    </row>
    <row r="54" spans="1:38" x14ac:dyDescent="0.25">
      <c r="A54" s="1" t="s">
        <v>561</v>
      </c>
      <c r="B54" s="1" t="s">
        <v>560</v>
      </c>
      <c r="C54" s="1"/>
      <c r="D54" s="3"/>
      <c r="E54" s="3"/>
      <c r="F54" s="3"/>
      <c r="G54" s="3"/>
      <c r="H54" s="3"/>
      <c r="I54" s="8">
        <v>3</v>
      </c>
      <c r="J54" s="8">
        <v>130</v>
      </c>
      <c r="K54" s="8">
        <v>67</v>
      </c>
      <c r="L54" s="8">
        <v>167</v>
      </c>
      <c r="M54" s="8">
        <v>34</v>
      </c>
      <c r="N54" s="8">
        <v>35</v>
      </c>
      <c r="O54" s="8">
        <v>89</v>
      </c>
      <c r="P54" s="8">
        <v>10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9">
        <v>0.21740000000000001</v>
      </c>
      <c r="W54" s="4">
        <v>7.7381000000000002</v>
      </c>
      <c r="X54" s="4">
        <v>2.1613000000000002</v>
      </c>
      <c r="Y54" s="4">
        <v>6.6269999999999998</v>
      </c>
      <c r="Z54" s="4">
        <v>1.0968</v>
      </c>
      <c r="AA54" s="4">
        <v>1.2963</v>
      </c>
      <c r="AB54" s="4">
        <v>2.2084000000000001</v>
      </c>
      <c r="AC54" s="10">
        <v>0.3226</v>
      </c>
      <c r="AD54" s="4">
        <v>3.5213000000000001</v>
      </c>
      <c r="AE54" s="4">
        <f>AVERAGE(W54:AB54)</f>
        <v>3.521316666666666</v>
      </c>
      <c r="AF54" s="1" t="s">
        <v>35</v>
      </c>
      <c r="AG54" s="19">
        <f t="array" ref="AG54">DIASQUIEBRE(Q54:AB54)</f>
        <v>8</v>
      </c>
      <c r="AH54" s="19">
        <f t="array" ref="AH54">DiasMesesGris(Q54:AB54)</f>
        <v>150</v>
      </c>
      <c r="AI54" s="19">
        <f t="shared" si="1"/>
        <v>158</v>
      </c>
      <c r="AJ54" s="19">
        <f t="shared" si="2"/>
        <v>202</v>
      </c>
      <c r="AK54" s="20">
        <f t="shared" si="6"/>
        <v>525</v>
      </c>
      <c r="AL54" s="21">
        <f t="shared" si="4"/>
        <v>2.5990099009900991</v>
      </c>
    </row>
    <row r="55" spans="1:38" x14ac:dyDescent="0.25">
      <c r="A55" s="1" t="s">
        <v>563</v>
      </c>
      <c r="B55" s="1" t="s">
        <v>562</v>
      </c>
      <c r="C55" s="1"/>
      <c r="D55" s="3"/>
      <c r="E55" s="3"/>
      <c r="F55" s="3"/>
      <c r="G55" s="3"/>
      <c r="H55" s="3"/>
      <c r="I55" s="3"/>
      <c r="J55" s="3"/>
      <c r="K55" s="3"/>
      <c r="L55" s="3"/>
      <c r="M55" s="8">
        <v>76</v>
      </c>
      <c r="N55" s="8">
        <v>87</v>
      </c>
      <c r="O55" s="8">
        <v>103</v>
      </c>
      <c r="P55" s="8">
        <v>10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9">
        <v>0</v>
      </c>
      <c r="Z55" s="4">
        <v>2.4516</v>
      </c>
      <c r="AA55" s="4">
        <v>3.2222</v>
      </c>
      <c r="AB55" s="4">
        <v>2.5558000000000001</v>
      </c>
      <c r="AC55" s="10">
        <v>0.3226</v>
      </c>
      <c r="AD55" s="4">
        <v>2.7431999999999999</v>
      </c>
      <c r="AE55" s="23">
        <v>2.92</v>
      </c>
      <c r="AF55" s="1" t="s">
        <v>35</v>
      </c>
      <c r="AG55" s="19">
        <f t="array" ref="AG55">DIASQUIEBRE(Q55:AB55)</f>
        <v>29</v>
      </c>
      <c r="AH55" s="19">
        <f t="array" ref="AH55">DiasMesesGris(Q55:AB55)</f>
        <v>240</v>
      </c>
      <c r="AI55" s="19">
        <f t="shared" si="1"/>
        <v>269</v>
      </c>
      <c r="AJ55" s="19">
        <f t="shared" si="2"/>
        <v>91</v>
      </c>
      <c r="AK55" s="20">
        <f t="shared" si="6"/>
        <v>266</v>
      </c>
      <c r="AL55" s="21">
        <f t="shared" si="4"/>
        <v>2.9230769230769229</v>
      </c>
    </row>
    <row r="56" spans="1:38" x14ac:dyDescent="0.25">
      <c r="A56" s="1" t="s">
        <v>59</v>
      </c>
      <c r="B56" s="1" t="s">
        <v>58</v>
      </c>
      <c r="C56" s="1"/>
      <c r="D56" s="8">
        <v>459</v>
      </c>
      <c r="E56" s="8">
        <v>141</v>
      </c>
      <c r="F56" s="3"/>
      <c r="G56" s="3"/>
      <c r="H56" s="8">
        <v>405</v>
      </c>
      <c r="I56" s="8">
        <v>236</v>
      </c>
      <c r="J56" s="8">
        <v>344</v>
      </c>
      <c r="K56" s="8">
        <v>425</v>
      </c>
      <c r="L56" s="8">
        <v>113</v>
      </c>
      <c r="M56" s="8">
        <v>232</v>
      </c>
      <c r="N56" s="8">
        <v>85</v>
      </c>
      <c r="O56" s="8">
        <v>451</v>
      </c>
      <c r="P56" s="3"/>
      <c r="Q56" s="4">
        <v>14.8065</v>
      </c>
      <c r="R56" s="9">
        <v>12.818199999999999</v>
      </c>
      <c r="S56" s="5">
        <v>0</v>
      </c>
      <c r="T56" s="5">
        <v>0</v>
      </c>
      <c r="U56" s="9">
        <v>14.4643</v>
      </c>
      <c r="V56" s="4">
        <v>7.6128999999999998</v>
      </c>
      <c r="W56" s="4">
        <v>12.2857</v>
      </c>
      <c r="X56" s="4">
        <v>13.7097</v>
      </c>
      <c r="Y56" s="4">
        <v>3.7667000000000002</v>
      </c>
      <c r="Z56" s="4">
        <v>7.4839000000000002</v>
      </c>
      <c r="AA56" s="4">
        <v>2.8332999999999999</v>
      </c>
      <c r="AB56" s="4">
        <v>14.548400000000001</v>
      </c>
      <c r="AC56" s="10">
        <v>0</v>
      </c>
      <c r="AD56" s="4">
        <v>9.6309000000000005</v>
      </c>
      <c r="AE56" s="4">
        <v>10.4</v>
      </c>
      <c r="AF56" s="1" t="s">
        <v>35</v>
      </c>
      <c r="AG56" s="19">
        <f t="array" ref="AG56">DIASQUIEBRE(Q56:AB56)</f>
        <v>22</v>
      </c>
      <c r="AH56" s="19">
        <f t="array" ref="AH56">DiasMesesGris(Q56:AB56)</f>
        <v>60</v>
      </c>
      <c r="AI56" s="19">
        <f t="shared" si="1"/>
        <v>82</v>
      </c>
      <c r="AJ56" s="19">
        <f t="shared" si="2"/>
        <v>278</v>
      </c>
      <c r="AK56" s="20">
        <f t="shared" si="6"/>
        <v>2891</v>
      </c>
      <c r="AL56" s="21">
        <f t="shared" si="4"/>
        <v>10.399280575539569</v>
      </c>
    </row>
    <row r="57" spans="1:38" x14ac:dyDescent="0.25">
      <c r="A57" s="1" t="s">
        <v>61</v>
      </c>
      <c r="B57" s="1" t="s">
        <v>60</v>
      </c>
      <c r="C57" s="1"/>
      <c r="D57" s="3"/>
      <c r="E57" s="8">
        <v>6</v>
      </c>
      <c r="F57" s="3"/>
      <c r="G57" s="8">
        <v>10</v>
      </c>
      <c r="H57" s="8">
        <v>5</v>
      </c>
      <c r="I57" s="3"/>
      <c r="J57" s="8">
        <v>2</v>
      </c>
      <c r="K57" s="3"/>
      <c r="L57" s="3"/>
      <c r="M57" s="3"/>
      <c r="N57" s="8">
        <v>10</v>
      </c>
      <c r="O57" s="3"/>
      <c r="P57" s="3"/>
      <c r="Q57" s="4">
        <v>0</v>
      </c>
      <c r="R57" s="4">
        <v>0.2</v>
      </c>
      <c r="S57" s="4">
        <v>0</v>
      </c>
      <c r="T57" s="4">
        <v>0.33329999999999999</v>
      </c>
      <c r="U57" s="4">
        <v>0.1613</v>
      </c>
      <c r="V57" s="4">
        <v>0</v>
      </c>
      <c r="W57" s="4">
        <v>7.1400000000000005E-2</v>
      </c>
      <c r="X57" s="4">
        <v>0</v>
      </c>
      <c r="Y57" s="4">
        <v>0</v>
      </c>
      <c r="Z57" s="4">
        <v>0</v>
      </c>
      <c r="AA57" s="4">
        <v>0.33329999999999999</v>
      </c>
      <c r="AB57" s="4">
        <v>0</v>
      </c>
      <c r="AC57" s="10">
        <v>0</v>
      </c>
      <c r="AD57" s="4">
        <v>9.1600000000000001E-2</v>
      </c>
      <c r="AE57" s="4">
        <f t="shared" ref="AE57:AE62" si="8">AVERAGE(W57:AB57)</f>
        <v>6.7449999999999996E-2</v>
      </c>
      <c r="AF57" s="1" t="s">
        <v>32</v>
      </c>
      <c r="AG57" s="19">
        <f t="array" ref="AG57">DIASQUIEBRE(Q57:AB57)</f>
        <v>0</v>
      </c>
      <c r="AH57" s="19">
        <f t="array" ref="AH57">DiasMesesGris(Q57:AB57)</f>
        <v>0</v>
      </c>
      <c r="AI57" s="19">
        <f t="shared" si="1"/>
        <v>0</v>
      </c>
      <c r="AJ57" s="19">
        <f t="shared" si="2"/>
        <v>360</v>
      </c>
      <c r="AK57" s="20">
        <f t="shared" si="6"/>
        <v>33</v>
      </c>
      <c r="AL57" s="21">
        <f t="shared" si="4"/>
        <v>9.166666666666666E-2</v>
      </c>
    </row>
    <row r="58" spans="1:38" x14ac:dyDescent="0.25">
      <c r="A58" s="1" t="s">
        <v>63</v>
      </c>
      <c r="B58" s="1" t="s">
        <v>62</v>
      </c>
      <c r="C58" s="1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6">
        <v>0</v>
      </c>
      <c r="AE58" s="4">
        <f t="shared" si="8"/>
        <v>0</v>
      </c>
      <c r="AF58" s="1" t="s">
        <v>35</v>
      </c>
      <c r="AG58" s="19">
        <f t="array" ref="AG58">DIASQUIEBRE(Q58:AB58)</f>
        <v>0</v>
      </c>
      <c r="AH58" s="19">
        <f t="array" ref="AH58">DiasMesesGris(Q58:AB58)</f>
        <v>360</v>
      </c>
      <c r="AI58" s="19">
        <f t="shared" si="1"/>
        <v>360</v>
      </c>
      <c r="AJ58" s="19">
        <f t="shared" si="2"/>
        <v>0</v>
      </c>
      <c r="AK58" s="20">
        <f t="shared" si="6"/>
        <v>0</v>
      </c>
      <c r="AL58" s="21">
        <f t="shared" si="4"/>
        <v>0</v>
      </c>
    </row>
    <row r="59" spans="1:38" x14ac:dyDescent="0.25">
      <c r="A59" s="1" t="s">
        <v>65</v>
      </c>
      <c r="B59" s="1" t="s">
        <v>64</v>
      </c>
      <c r="C59" s="1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6">
        <v>0</v>
      </c>
      <c r="AE59" s="4">
        <f t="shared" si="8"/>
        <v>0</v>
      </c>
      <c r="AF59" s="1" t="s">
        <v>35</v>
      </c>
      <c r="AG59" s="19">
        <f t="array" ref="AG59">DIASQUIEBRE(Q59:AB59)</f>
        <v>0</v>
      </c>
      <c r="AH59" s="19">
        <f t="array" ref="AH59">DiasMesesGris(Q59:AB59)</f>
        <v>360</v>
      </c>
      <c r="AI59" s="19">
        <f t="shared" si="1"/>
        <v>360</v>
      </c>
      <c r="AJ59" s="19">
        <f t="shared" si="2"/>
        <v>0</v>
      </c>
      <c r="AK59" s="20">
        <f t="shared" si="6"/>
        <v>0</v>
      </c>
      <c r="AL59" s="21">
        <f t="shared" si="4"/>
        <v>0</v>
      </c>
    </row>
    <row r="60" spans="1:38" x14ac:dyDescent="0.25">
      <c r="A60" s="1" t="s">
        <v>67</v>
      </c>
      <c r="B60" s="1" t="s">
        <v>66</v>
      </c>
      <c r="C60" s="1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6">
        <v>0</v>
      </c>
      <c r="AE60" s="4">
        <f t="shared" si="8"/>
        <v>0</v>
      </c>
      <c r="AF60" s="1" t="s">
        <v>35</v>
      </c>
      <c r="AG60" s="19">
        <f t="array" ref="AG60">DIASQUIEBRE(Q60:AB60)</f>
        <v>0</v>
      </c>
      <c r="AH60" s="19">
        <f t="array" ref="AH60">DiasMesesGris(Q60:AB60)</f>
        <v>360</v>
      </c>
      <c r="AI60" s="19">
        <f t="shared" si="1"/>
        <v>360</v>
      </c>
      <c r="AJ60" s="19">
        <f t="shared" si="2"/>
        <v>0</v>
      </c>
      <c r="AK60" s="20">
        <f t="shared" si="6"/>
        <v>0</v>
      </c>
      <c r="AL60" s="21">
        <f t="shared" si="4"/>
        <v>0</v>
      </c>
    </row>
    <row r="61" spans="1:38" x14ac:dyDescent="0.25">
      <c r="A61" s="1" t="s">
        <v>69</v>
      </c>
      <c r="B61" s="1" t="s">
        <v>68</v>
      </c>
      <c r="C61" s="1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6">
        <v>0</v>
      </c>
      <c r="AE61" s="4">
        <f t="shared" si="8"/>
        <v>0</v>
      </c>
      <c r="AF61" s="1" t="s">
        <v>35</v>
      </c>
      <c r="AG61" s="19">
        <f t="array" ref="AG61">DIASQUIEBRE(Q61:AB61)</f>
        <v>0</v>
      </c>
      <c r="AH61" s="19">
        <f t="array" ref="AH61">DiasMesesGris(Q61:AB61)</f>
        <v>360</v>
      </c>
      <c r="AI61" s="19">
        <f t="shared" si="1"/>
        <v>360</v>
      </c>
      <c r="AJ61" s="19">
        <f t="shared" si="2"/>
        <v>0</v>
      </c>
      <c r="AK61" s="20">
        <f t="shared" si="6"/>
        <v>0</v>
      </c>
      <c r="AL61" s="21">
        <f t="shared" si="4"/>
        <v>0</v>
      </c>
    </row>
    <row r="62" spans="1:38" x14ac:dyDescent="0.25">
      <c r="A62" s="1" t="s">
        <v>71</v>
      </c>
      <c r="B62" s="1" t="s">
        <v>70</v>
      </c>
      <c r="C62" s="1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6">
        <v>0</v>
      </c>
      <c r="AE62" s="4">
        <f t="shared" si="8"/>
        <v>0</v>
      </c>
      <c r="AF62" s="1" t="s">
        <v>35</v>
      </c>
      <c r="AG62" s="19">
        <f t="array" ref="AG62">DIASQUIEBRE(Q62:AB62)</f>
        <v>0</v>
      </c>
      <c r="AH62" s="19">
        <f t="array" ref="AH62">DiasMesesGris(Q62:AB62)</f>
        <v>360</v>
      </c>
      <c r="AI62" s="19">
        <f t="shared" si="1"/>
        <v>360</v>
      </c>
      <c r="AJ62" s="19">
        <f t="shared" si="2"/>
        <v>0</v>
      </c>
      <c r="AK62" s="20">
        <f t="shared" si="6"/>
        <v>0</v>
      </c>
      <c r="AL62" s="21">
        <f t="shared" si="4"/>
        <v>0</v>
      </c>
    </row>
    <row r="63" spans="1:38" x14ac:dyDescent="0.25">
      <c r="A63" s="1" t="s">
        <v>73</v>
      </c>
      <c r="B63" s="1" t="s">
        <v>72</v>
      </c>
      <c r="C63" s="1"/>
      <c r="D63" s="8">
        <v>6</v>
      </c>
      <c r="E63" s="8">
        <v>3</v>
      </c>
      <c r="F63" s="8">
        <v>3</v>
      </c>
      <c r="G63" s="8">
        <v>3</v>
      </c>
      <c r="H63" s="8">
        <v>2</v>
      </c>
      <c r="I63" s="8">
        <v>4</v>
      </c>
      <c r="J63" s="8">
        <v>11</v>
      </c>
      <c r="K63" s="8">
        <v>8</v>
      </c>
      <c r="L63" s="8">
        <v>13</v>
      </c>
      <c r="M63" s="8">
        <v>5</v>
      </c>
      <c r="N63" s="3"/>
      <c r="O63" s="3"/>
      <c r="P63" s="3"/>
      <c r="Q63" s="4">
        <v>0.19350000000000001</v>
      </c>
      <c r="R63" s="4">
        <v>0.1</v>
      </c>
      <c r="S63" s="4">
        <v>9.6799999999999997E-2</v>
      </c>
      <c r="T63" s="4">
        <v>0.1</v>
      </c>
      <c r="U63" s="4">
        <v>6.4500000000000002E-2</v>
      </c>
      <c r="V63" s="4">
        <v>0.129</v>
      </c>
      <c r="W63" s="4">
        <v>0.39290000000000003</v>
      </c>
      <c r="X63" s="4">
        <v>0.2581</v>
      </c>
      <c r="Y63" s="4">
        <v>0.43330000000000002</v>
      </c>
      <c r="Z63" s="9">
        <v>0.3846</v>
      </c>
      <c r="AA63" s="5">
        <v>0</v>
      </c>
      <c r="AB63" s="5">
        <v>0</v>
      </c>
      <c r="AC63" s="6">
        <v>0</v>
      </c>
      <c r="AD63" s="4">
        <v>0.19650000000000001</v>
      </c>
      <c r="AE63" s="4">
        <v>0.26</v>
      </c>
      <c r="AF63" s="1" t="s">
        <v>35</v>
      </c>
      <c r="AG63" s="19">
        <f t="array" ref="AG63">DIASQUIEBRE(Q63:AB63)</f>
        <v>18</v>
      </c>
      <c r="AH63" s="19">
        <f t="array" ref="AH63">DiasMesesGris(Q63:AB63)</f>
        <v>60</v>
      </c>
      <c r="AI63" s="19">
        <f t="shared" si="1"/>
        <v>78</v>
      </c>
      <c r="AJ63" s="19">
        <f t="shared" si="2"/>
        <v>282</v>
      </c>
      <c r="AK63" s="20">
        <f t="shared" si="6"/>
        <v>58</v>
      </c>
      <c r="AL63" s="21">
        <f t="shared" si="4"/>
        <v>0.20567375886524822</v>
      </c>
    </row>
    <row r="64" spans="1:38" x14ac:dyDescent="0.25">
      <c r="A64" s="1" t="s">
        <v>75</v>
      </c>
      <c r="B64" s="1" t="s">
        <v>74</v>
      </c>
      <c r="C64" s="1"/>
      <c r="D64" s="8">
        <v>5</v>
      </c>
      <c r="E64" s="8">
        <v>10</v>
      </c>
      <c r="F64" s="8">
        <v>3</v>
      </c>
      <c r="G64" s="8">
        <v>2</v>
      </c>
      <c r="H64" s="3"/>
      <c r="I64" s="3"/>
      <c r="J64" s="8">
        <v>1</v>
      </c>
      <c r="K64" s="8">
        <v>7</v>
      </c>
      <c r="L64" s="8">
        <v>22</v>
      </c>
      <c r="M64" s="8">
        <v>6</v>
      </c>
      <c r="N64" s="8">
        <v>6</v>
      </c>
      <c r="O64" s="8">
        <v>2</v>
      </c>
      <c r="P64" s="3"/>
      <c r="Q64" s="4">
        <v>0.1613</v>
      </c>
      <c r="R64" s="4">
        <v>0.33329999999999999</v>
      </c>
      <c r="S64" s="9">
        <v>0.2</v>
      </c>
      <c r="T64" s="5">
        <v>0</v>
      </c>
      <c r="U64" s="5">
        <v>0</v>
      </c>
      <c r="V64" s="9">
        <v>0</v>
      </c>
      <c r="W64" s="4">
        <v>3.5700000000000003E-2</v>
      </c>
      <c r="X64" s="4">
        <v>0.2258</v>
      </c>
      <c r="Y64" s="9">
        <v>1.375</v>
      </c>
      <c r="Z64" s="4">
        <v>0.19350000000000001</v>
      </c>
      <c r="AA64" s="4">
        <v>0.2</v>
      </c>
      <c r="AB64" s="4">
        <v>6.4500000000000002E-2</v>
      </c>
      <c r="AC64" s="10">
        <v>0</v>
      </c>
      <c r="AD64" s="4">
        <v>0.1734</v>
      </c>
      <c r="AE64" s="4">
        <v>0.24</v>
      </c>
      <c r="AF64" s="1" t="s">
        <v>35</v>
      </c>
      <c r="AG64" s="19">
        <f t="array" ref="AG64">DIASQUIEBRE(Q64:AB64)</f>
        <v>38</v>
      </c>
      <c r="AH64" s="19">
        <f t="array" ref="AH64">DiasMesesGris(Q64:AB64)</f>
        <v>60</v>
      </c>
      <c r="AI64" s="19">
        <f t="shared" si="1"/>
        <v>98</v>
      </c>
      <c r="AJ64" s="19">
        <f t="shared" si="2"/>
        <v>262</v>
      </c>
      <c r="AK64" s="20">
        <f t="shared" si="6"/>
        <v>64</v>
      </c>
      <c r="AL64" s="21">
        <f t="shared" si="4"/>
        <v>0.24427480916030533</v>
      </c>
    </row>
    <row r="65" spans="1:38" x14ac:dyDescent="0.25">
      <c r="A65" s="1" t="s">
        <v>77</v>
      </c>
      <c r="B65" s="1" t="s">
        <v>76</v>
      </c>
      <c r="C65" s="1"/>
      <c r="D65" s="3"/>
      <c r="E65" s="8">
        <v>2</v>
      </c>
      <c r="F65" s="3"/>
      <c r="G65" s="3"/>
      <c r="H65" s="3"/>
      <c r="I65" s="3"/>
      <c r="J65" s="3"/>
      <c r="K65" s="3"/>
      <c r="L65" s="3"/>
      <c r="M65" s="8">
        <v>1</v>
      </c>
      <c r="N65" s="3"/>
      <c r="O65" s="3"/>
      <c r="P65" s="3"/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6">
        <v>0</v>
      </c>
      <c r="AE65" s="4">
        <f>AVERAGE(W65:AB65)</f>
        <v>0</v>
      </c>
      <c r="AF65" s="1" t="s">
        <v>32</v>
      </c>
      <c r="AG65" s="19">
        <f t="array" ref="AG65">DIASQUIEBRE(Q65:AB65)</f>
        <v>0</v>
      </c>
      <c r="AH65" s="19">
        <f t="array" ref="AH65">DiasMesesGris(Q65:AB65)</f>
        <v>360</v>
      </c>
      <c r="AI65" s="19">
        <f t="shared" si="1"/>
        <v>360</v>
      </c>
      <c r="AJ65" s="19">
        <f t="shared" si="2"/>
        <v>0</v>
      </c>
      <c r="AK65" s="20">
        <f t="shared" si="6"/>
        <v>3</v>
      </c>
      <c r="AL65" s="21">
        <f t="shared" si="4"/>
        <v>0</v>
      </c>
    </row>
    <row r="66" spans="1:38" x14ac:dyDescent="0.25">
      <c r="A66" s="1" t="s">
        <v>79</v>
      </c>
      <c r="B66" s="1" t="s">
        <v>78</v>
      </c>
      <c r="C66" s="1"/>
      <c r="D66" s="8">
        <v>16</v>
      </c>
      <c r="E66" s="8">
        <v>10</v>
      </c>
      <c r="F66" s="8">
        <v>10</v>
      </c>
      <c r="G66" s="3"/>
      <c r="H66" s="8">
        <v>6</v>
      </c>
      <c r="I66" s="3"/>
      <c r="J66" s="3"/>
      <c r="K66" s="8">
        <v>5</v>
      </c>
      <c r="L66" s="8">
        <v>6</v>
      </c>
      <c r="M66" s="8">
        <v>10</v>
      </c>
      <c r="N66" s="3"/>
      <c r="O66" s="3"/>
      <c r="P66" s="3"/>
      <c r="Q66" s="4">
        <v>0.5161</v>
      </c>
      <c r="R66" s="4">
        <v>0.33329999999999999</v>
      </c>
      <c r="S66" s="4">
        <v>0.3226</v>
      </c>
      <c r="T66" s="4">
        <v>0</v>
      </c>
      <c r="U66" s="4">
        <v>0.19350000000000001</v>
      </c>
      <c r="V66" s="4">
        <v>0</v>
      </c>
      <c r="W66" s="4">
        <v>0</v>
      </c>
      <c r="X66" s="4">
        <v>0.1613</v>
      </c>
      <c r="Y66" s="4">
        <v>0.2</v>
      </c>
      <c r="Z66" s="4">
        <v>0.3226</v>
      </c>
      <c r="AA66" s="4">
        <v>0</v>
      </c>
      <c r="AB66" s="4">
        <v>0</v>
      </c>
      <c r="AC66" s="10">
        <v>0</v>
      </c>
      <c r="AD66" s="4">
        <v>0.17080000000000001</v>
      </c>
      <c r="AE66" s="4">
        <v>0.18</v>
      </c>
      <c r="AF66" s="1" t="s">
        <v>32</v>
      </c>
      <c r="AG66" s="19">
        <f t="array" ref="AG66">DIASQUIEBRE(Q66:AB66)</f>
        <v>0</v>
      </c>
      <c r="AH66" s="19">
        <f t="array" ref="AH66">DiasMesesGris(Q66:AB66)</f>
        <v>0</v>
      </c>
      <c r="AI66" s="19">
        <f t="shared" ref="AI66:AI129" si="9">AG66+AH66</f>
        <v>0</v>
      </c>
      <c r="AJ66" s="19">
        <f t="shared" ref="AJ66:AJ129" si="10">360-AI66</f>
        <v>360</v>
      </c>
      <c r="AK66" s="20">
        <f t="shared" si="6"/>
        <v>63</v>
      </c>
      <c r="AL66" s="21">
        <f t="shared" ref="AL66:AL129" si="11">IFERROR(AK66/AJ66,0)</f>
        <v>0.17499999999999999</v>
      </c>
    </row>
    <row r="67" spans="1:38" x14ac:dyDescent="0.25">
      <c r="A67" s="1" t="s">
        <v>81</v>
      </c>
      <c r="B67" s="1" t="s">
        <v>80</v>
      </c>
      <c r="C67" s="1"/>
      <c r="D67" s="8">
        <v>195</v>
      </c>
      <c r="E67" s="8">
        <v>241</v>
      </c>
      <c r="F67" s="8">
        <v>162</v>
      </c>
      <c r="G67" s="8">
        <v>37</v>
      </c>
      <c r="H67" s="8">
        <v>114</v>
      </c>
      <c r="I67" s="8">
        <v>261</v>
      </c>
      <c r="J67" s="8">
        <v>180</v>
      </c>
      <c r="K67" s="8">
        <v>107</v>
      </c>
      <c r="L67" s="8">
        <v>204</v>
      </c>
      <c r="M67" s="8">
        <v>89</v>
      </c>
      <c r="N67" s="8">
        <v>114</v>
      </c>
      <c r="O67" s="8">
        <v>166</v>
      </c>
      <c r="P67" s="3"/>
      <c r="Q67" s="4">
        <v>6.2903000000000002</v>
      </c>
      <c r="R67" s="4">
        <v>8.0333000000000006</v>
      </c>
      <c r="S67" s="4">
        <v>5.2257999999999996</v>
      </c>
      <c r="T67" s="9">
        <v>3.3635999999999999</v>
      </c>
      <c r="U67" s="9">
        <v>4.0713999999999997</v>
      </c>
      <c r="V67" s="4">
        <v>8.4193999999999996</v>
      </c>
      <c r="W67" s="4">
        <v>6.4286000000000003</v>
      </c>
      <c r="X67" s="4">
        <v>3.4516</v>
      </c>
      <c r="Y67" s="4">
        <v>6.8</v>
      </c>
      <c r="Z67" s="4">
        <v>2.871</v>
      </c>
      <c r="AA67" s="4">
        <v>3.8</v>
      </c>
      <c r="AB67" s="4">
        <v>5.3548</v>
      </c>
      <c r="AC67" s="10">
        <v>0</v>
      </c>
      <c r="AD67" s="4">
        <v>5.6675000000000004</v>
      </c>
      <c r="AE67" s="4">
        <v>5.3</v>
      </c>
      <c r="AF67" s="1" t="s">
        <v>35</v>
      </c>
      <c r="AG67" s="19">
        <f t="array" ref="AG67">DIASQUIEBRE(Q67:AB67)</f>
        <v>22</v>
      </c>
      <c r="AH67" s="19">
        <f t="array" ref="AH67">DiasMesesGris(Q67:AB67)</f>
        <v>0</v>
      </c>
      <c r="AI67" s="19">
        <f t="shared" si="9"/>
        <v>22</v>
      </c>
      <c r="AJ67" s="19">
        <f t="shared" si="10"/>
        <v>338</v>
      </c>
      <c r="AK67" s="20">
        <f t="shared" si="6"/>
        <v>1870</v>
      </c>
      <c r="AL67" s="21">
        <f t="shared" si="11"/>
        <v>5.5325443786982245</v>
      </c>
    </row>
    <row r="68" spans="1:38" x14ac:dyDescent="0.25">
      <c r="A68" s="1" t="s">
        <v>83</v>
      </c>
      <c r="B68" s="1" t="s">
        <v>82</v>
      </c>
      <c r="C68" s="1"/>
      <c r="D68" s="8">
        <v>141</v>
      </c>
      <c r="E68" s="8">
        <v>101</v>
      </c>
      <c r="F68" s="8">
        <v>208</v>
      </c>
      <c r="G68" s="8">
        <v>51</v>
      </c>
      <c r="H68" s="8">
        <v>113</v>
      </c>
      <c r="I68" s="8">
        <v>126</v>
      </c>
      <c r="J68" s="8">
        <v>136</v>
      </c>
      <c r="K68" s="8">
        <v>90</v>
      </c>
      <c r="L68" s="8">
        <v>101</v>
      </c>
      <c r="M68" s="8">
        <v>148</v>
      </c>
      <c r="N68" s="8">
        <v>73</v>
      </c>
      <c r="O68" s="8">
        <v>209</v>
      </c>
      <c r="P68" s="3"/>
      <c r="Q68" s="9">
        <v>7.05</v>
      </c>
      <c r="R68" s="9">
        <v>3.6071</v>
      </c>
      <c r="S68" s="4">
        <v>6.7096999999999998</v>
      </c>
      <c r="T68" s="9">
        <v>12.75</v>
      </c>
      <c r="U68" s="9">
        <v>4.0357000000000003</v>
      </c>
      <c r="V68" s="4">
        <v>4.0644999999999998</v>
      </c>
      <c r="W68" s="4">
        <v>4.8571</v>
      </c>
      <c r="X68" s="4">
        <v>2.9032</v>
      </c>
      <c r="Y68" s="4">
        <v>3.3666999999999998</v>
      </c>
      <c r="Z68" s="4">
        <v>4.7742000000000004</v>
      </c>
      <c r="AA68" s="4">
        <v>2.4333</v>
      </c>
      <c r="AB68" s="4">
        <v>6.7419000000000002</v>
      </c>
      <c r="AC68" s="10">
        <v>0</v>
      </c>
      <c r="AD68" s="4">
        <v>4.4813000000000001</v>
      </c>
      <c r="AE68" s="4">
        <f>AVERAGE(W68:AB68)</f>
        <v>4.1794000000000002</v>
      </c>
      <c r="AF68" s="1" t="s">
        <v>35</v>
      </c>
      <c r="AG68" s="19">
        <f t="array" ref="AG68">DIASQUIEBRE(Q68:AB68)</f>
        <v>42</v>
      </c>
      <c r="AH68" s="19">
        <f t="array" ref="AH68">DiasMesesGris(Q68:AB68)</f>
        <v>0</v>
      </c>
      <c r="AI68" s="19">
        <f t="shared" si="9"/>
        <v>42</v>
      </c>
      <c r="AJ68" s="19">
        <f t="shared" si="10"/>
        <v>318</v>
      </c>
      <c r="AK68" s="20">
        <f t="shared" si="6"/>
        <v>1497</v>
      </c>
      <c r="AL68" s="21">
        <f t="shared" si="11"/>
        <v>4.7075471698113205</v>
      </c>
    </row>
    <row r="69" spans="1:38" x14ac:dyDescent="0.25">
      <c r="A69" s="1" t="s">
        <v>85</v>
      </c>
      <c r="B69" s="1" t="s">
        <v>84</v>
      </c>
      <c r="C69" s="1"/>
      <c r="D69" s="8">
        <v>223</v>
      </c>
      <c r="E69" s="8">
        <v>50</v>
      </c>
      <c r="F69" s="8">
        <v>53</v>
      </c>
      <c r="G69" s="8">
        <v>89</v>
      </c>
      <c r="H69" s="8">
        <v>48</v>
      </c>
      <c r="I69" s="8">
        <v>157</v>
      </c>
      <c r="J69" s="8">
        <v>101</v>
      </c>
      <c r="K69" s="8">
        <v>66</v>
      </c>
      <c r="L69" s="8">
        <v>47</v>
      </c>
      <c r="M69" s="8">
        <v>42</v>
      </c>
      <c r="N69" s="8">
        <v>55</v>
      </c>
      <c r="O69" s="8">
        <v>106</v>
      </c>
      <c r="P69" s="3"/>
      <c r="Q69" s="4">
        <v>7.1935000000000002</v>
      </c>
      <c r="R69" s="4">
        <v>1.6667000000000001</v>
      </c>
      <c r="S69" s="4">
        <v>1.7097</v>
      </c>
      <c r="T69" s="4">
        <v>2.9666999999999999</v>
      </c>
      <c r="U69" s="4">
        <v>1.5484</v>
      </c>
      <c r="V69" s="4">
        <v>5.0644999999999998</v>
      </c>
      <c r="W69" s="4">
        <v>3.6071</v>
      </c>
      <c r="X69" s="4">
        <v>2.129</v>
      </c>
      <c r="Y69" s="4">
        <v>1.5667</v>
      </c>
      <c r="Z69" s="4">
        <v>1.3548</v>
      </c>
      <c r="AA69" s="4">
        <v>1.8332999999999999</v>
      </c>
      <c r="AB69" s="4">
        <v>3.4194</v>
      </c>
      <c r="AC69" s="10">
        <v>0</v>
      </c>
      <c r="AD69" s="4">
        <v>2.8382999999999998</v>
      </c>
      <c r="AE69" s="4">
        <f>AVERAGE(W69:AB69)</f>
        <v>2.3183833333333332</v>
      </c>
      <c r="AF69" s="1" t="s">
        <v>35</v>
      </c>
      <c r="AG69" s="19">
        <f t="array" ref="AG69">DIASQUIEBRE(Q69:AB69)</f>
        <v>0</v>
      </c>
      <c r="AH69" s="19">
        <f t="array" ref="AH69">DiasMesesGris(Q69:AB69)</f>
        <v>0</v>
      </c>
      <c r="AI69" s="19">
        <f t="shared" si="9"/>
        <v>0</v>
      </c>
      <c r="AJ69" s="19">
        <f t="shared" si="10"/>
        <v>360</v>
      </c>
      <c r="AK69" s="20">
        <f t="shared" si="6"/>
        <v>1037</v>
      </c>
      <c r="AL69" s="21">
        <f t="shared" si="11"/>
        <v>2.8805555555555555</v>
      </c>
    </row>
    <row r="70" spans="1:38" x14ac:dyDescent="0.25">
      <c r="A70" s="1" t="s">
        <v>87</v>
      </c>
      <c r="B70" s="1" t="s">
        <v>86</v>
      </c>
      <c r="C70" s="1"/>
      <c r="D70" s="8">
        <v>61</v>
      </c>
      <c r="E70" s="8">
        <v>35</v>
      </c>
      <c r="F70" s="8">
        <v>35</v>
      </c>
      <c r="G70" s="8">
        <v>153</v>
      </c>
      <c r="H70" s="8">
        <v>13</v>
      </c>
      <c r="I70" s="8">
        <v>54</v>
      </c>
      <c r="J70" s="8">
        <v>40</v>
      </c>
      <c r="K70" s="8">
        <v>31</v>
      </c>
      <c r="L70" s="8">
        <v>13</v>
      </c>
      <c r="M70" s="8">
        <v>60</v>
      </c>
      <c r="N70" s="8">
        <v>41</v>
      </c>
      <c r="O70" s="8">
        <v>83</v>
      </c>
      <c r="P70" s="3"/>
      <c r="Q70" s="4">
        <v>1.9677</v>
      </c>
      <c r="R70" s="4">
        <v>1.1667000000000001</v>
      </c>
      <c r="S70" s="4">
        <v>1.129</v>
      </c>
      <c r="T70" s="9">
        <v>11.7692</v>
      </c>
      <c r="U70" s="9">
        <v>0.46429999999999999</v>
      </c>
      <c r="V70" s="4">
        <v>1.7419</v>
      </c>
      <c r="W70" s="4">
        <v>1.4286000000000001</v>
      </c>
      <c r="X70" s="4">
        <v>1</v>
      </c>
      <c r="Y70" s="4">
        <v>0.43330000000000002</v>
      </c>
      <c r="Z70" s="4">
        <v>1.9355</v>
      </c>
      <c r="AA70" s="4">
        <v>1.3667</v>
      </c>
      <c r="AB70" s="4">
        <v>2.6774</v>
      </c>
      <c r="AC70" s="10">
        <v>0</v>
      </c>
      <c r="AD70" s="4">
        <v>1.4846999999999999</v>
      </c>
      <c r="AE70" s="4">
        <f>AVERAGE(W70:AB70)</f>
        <v>1.4735833333333332</v>
      </c>
      <c r="AF70" s="1" t="s">
        <v>35</v>
      </c>
      <c r="AG70" s="19">
        <f t="array" ref="AG70">DIASQUIEBRE(Q70:AB70)</f>
        <v>20</v>
      </c>
      <c r="AH70" s="19">
        <f t="array" ref="AH70">DiasMesesGris(Q70:AB70)</f>
        <v>0</v>
      </c>
      <c r="AI70" s="19">
        <f t="shared" si="9"/>
        <v>20</v>
      </c>
      <c r="AJ70" s="19">
        <f t="shared" si="10"/>
        <v>340</v>
      </c>
      <c r="AK70" s="20">
        <f t="shared" si="6"/>
        <v>619</v>
      </c>
      <c r="AL70" s="21">
        <f t="shared" si="11"/>
        <v>1.8205882352941176</v>
      </c>
    </row>
    <row r="71" spans="1:38" x14ac:dyDescent="0.25">
      <c r="A71" s="1" t="s">
        <v>89</v>
      </c>
      <c r="B71" s="1" t="s">
        <v>88</v>
      </c>
      <c r="C71" s="1"/>
      <c r="D71" s="8">
        <v>258</v>
      </c>
      <c r="E71" s="8">
        <v>217</v>
      </c>
      <c r="F71" s="8">
        <v>175</v>
      </c>
      <c r="G71" s="8">
        <v>48</v>
      </c>
      <c r="H71" s="8">
        <v>193</v>
      </c>
      <c r="I71" s="8">
        <v>52</v>
      </c>
      <c r="J71" s="8">
        <v>52</v>
      </c>
      <c r="K71" s="8">
        <v>200</v>
      </c>
      <c r="L71" s="8">
        <v>160</v>
      </c>
      <c r="M71" s="8">
        <v>59</v>
      </c>
      <c r="N71" s="8">
        <v>47</v>
      </c>
      <c r="O71" s="8">
        <v>103</v>
      </c>
      <c r="P71" s="3"/>
      <c r="Q71" s="4">
        <v>8.3225999999999996</v>
      </c>
      <c r="R71" s="4">
        <v>7.2332999999999998</v>
      </c>
      <c r="S71" s="4">
        <v>5.6452</v>
      </c>
      <c r="T71" s="4">
        <v>1.6</v>
      </c>
      <c r="U71" s="4">
        <v>6.2257999999999996</v>
      </c>
      <c r="V71" s="4">
        <v>1.6774</v>
      </c>
      <c r="W71" s="4">
        <v>1.8571</v>
      </c>
      <c r="X71" s="4">
        <v>6.4516</v>
      </c>
      <c r="Y71" s="4">
        <v>5.3333000000000004</v>
      </c>
      <c r="Z71" s="4">
        <v>1.9032</v>
      </c>
      <c r="AA71" s="4">
        <v>1.5667</v>
      </c>
      <c r="AB71" s="4">
        <v>3.3226</v>
      </c>
      <c r="AC71" s="10">
        <v>0</v>
      </c>
      <c r="AD71" s="4">
        <v>4.2615999999999996</v>
      </c>
      <c r="AE71" s="4">
        <f>AVERAGE(W71:AB71)</f>
        <v>3.4057499999999998</v>
      </c>
      <c r="AF71" s="1" t="s">
        <v>35</v>
      </c>
      <c r="AG71" s="19">
        <f t="array" ref="AG71">DIASQUIEBRE(Q71:AB71)</f>
        <v>0</v>
      </c>
      <c r="AH71" s="19">
        <f t="array" ref="AH71">DiasMesesGris(Q71:AB71)</f>
        <v>0</v>
      </c>
      <c r="AI71" s="19">
        <f t="shared" si="9"/>
        <v>0</v>
      </c>
      <c r="AJ71" s="19">
        <f t="shared" si="10"/>
        <v>360</v>
      </c>
      <c r="AK71" s="20">
        <f t="shared" si="6"/>
        <v>1564</v>
      </c>
      <c r="AL71" s="21">
        <f t="shared" si="11"/>
        <v>4.3444444444444441</v>
      </c>
    </row>
    <row r="72" spans="1:38" x14ac:dyDescent="0.25">
      <c r="A72" s="1" t="s">
        <v>91</v>
      </c>
      <c r="B72" s="1" t="s">
        <v>90</v>
      </c>
      <c r="C72" s="1"/>
      <c r="D72" s="3"/>
      <c r="E72" s="8">
        <v>352</v>
      </c>
      <c r="F72" s="8">
        <v>8</v>
      </c>
      <c r="G72" s="3"/>
      <c r="H72" s="8">
        <v>199</v>
      </c>
      <c r="I72" s="8">
        <v>276</v>
      </c>
      <c r="J72" s="8">
        <v>249</v>
      </c>
      <c r="K72" s="8">
        <v>279</v>
      </c>
      <c r="L72" s="8">
        <v>94</v>
      </c>
      <c r="M72" s="8">
        <v>344</v>
      </c>
      <c r="N72" s="8">
        <v>57</v>
      </c>
      <c r="O72" s="8">
        <v>367</v>
      </c>
      <c r="P72" s="3"/>
      <c r="Q72" s="5">
        <v>0</v>
      </c>
      <c r="R72" s="9">
        <v>12.571400000000001</v>
      </c>
      <c r="S72" s="9">
        <v>1.6</v>
      </c>
      <c r="T72" s="5">
        <v>0</v>
      </c>
      <c r="U72" s="9">
        <v>7.1071</v>
      </c>
      <c r="V72" s="4">
        <v>8.9032</v>
      </c>
      <c r="W72" s="4">
        <v>8.8928999999999991</v>
      </c>
      <c r="X72" s="4">
        <v>9</v>
      </c>
      <c r="Y72" s="4">
        <v>3.1333000000000002</v>
      </c>
      <c r="Z72" s="4">
        <v>11.0968</v>
      </c>
      <c r="AA72" s="4">
        <v>1.9</v>
      </c>
      <c r="AB72" s="4">
        <v>11.838699999999999</v>
      </c>
      <c r="AC72" s="10">
        <v>0</v>
      </c>
      <c r="AD72" s="4">
        <v>7.8235999999999999</v>
      </c>
      <c r="AE72" s="4">
        <v>7.82</v>
      </c>
      <c r="AF72" s="1" t="s">
        <v>35</v>
      </c>
      <c r="AG72" s="19">
        <f t="array" ref="AG72">DIASQUIEBRE(Q72:AB72)</f>
        <v>31</v>
      </c>
      <c r="AH72" s="19">
        <f t="array" ref="AH72">DiasMesesGris(Q72:AB72)</f>
        <v>60</v>
      </c>
      <c r="AI72" s="19">
        <f t="shared" si="9"/>
        <v>91</v>
      </c>
      <c r="AJ72" s="19">
        <f t="shared" si="10"/>
        <v>269</v>
      </c>
      <c r="AK72" s="20">
        <f t="shared" si="6"/>
        <v>2225</v>
      </c>
      <c r="AL72" s="21">
        <f t="shared" si="11"/>
        <v>8.2713754646840147</v>
      </c>
    </row>
    <row r="73" spans="1:38" x14ac:dyDescent="0.25">
      <c r="A73" s="1" t="s">
        <v>93</v>
      </c>
      <c r="B73" s="1" t="s">
        <v>92</v>
      </c>
      <c r="C73" s="1"/>
      <c r="D73" s="8">
        <v>16</v>
      </c>
      <c r="E73" s="8">
        <v>27</v>
      </c>
      <c r="F73" s="8">
        <v>20</v>
      </c>
      <c r="G73" s="8">
        <v>14</v>
      </c>
      <c r="H73" s="8">
        <v>8</v>
      </c>
      <c r="I73" s="3"/>
      <c r="J73" s="3"/>
      <c r="K73" s="3"/>
      <c r="L73" s="3"/>
      <c r="M73" s="3"/>
      <c r="N73" s="3"/>
      <c r="O73" s="3"/>
      <c r="P73" s="3"/>
      <c r="Q73" s="4">
        <v>0.5161</v>
      </c>
      <c r="R73" s="4">
        <v>0.9</v>
      </c>
      <c r="S73" s="4">
        <v>0.6452</v>
      </c>
      <c r="T73" s="4">
        <v>0.4667</v>
      </c>
      <c r="U73" s="9">
        <v>0.88890000000000002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6">
        <v>0</v>
      </c>
      <c r="AD73" s="4">
        <v>0.63200000000000001</v>
      </c>
      <c r="AE73" s="4">
        <f>AVERAGE(W73:AB73)</f>
        <v>0</v>
      </c>
      <c r="AF73" s="1" t="s">
        <v>32</v>
      </c>
      <c r="AG73" s="19">
        <f t="array" ref="AG73">DIASQUIEBRE(Q73:AB73)</f>
        <v>22</v>
      </c>
      <c r="AH73" s="19">
        <f t="array" ref="AH73">DiasMesesGris(Q73:AB73)</f>
        <v>210</v>
      </c>
      <c r="AI73" s="19">
        <f t="shared" si="9"/>
        <v>232</v>
      </c>
      <c r="AJ73" s="19">
        <f t="shared" si="10"/>
        <v>128</v>
      </c>
      <c r="AK73" s="20">
        <f t="shared" si="6"/>
        <v>85</v>
      </c>
      <c r="AL73" s="21">
        <f t="shared" si="11"/>
        <v>0.6640625</v>
      </c>
    </row>
    <row r="74" spans="1:38" x14ac:dyDescent="0.25">
      <c r="A74" s="1" t="s">
        <v>95</v>
      </c>
      <c r="B74" s="1" t="s">
        <v>94</v>
      </c>
      <c r="C74" s="1"/>
      <c r="D74" s="8">
        <v>40</v>
      </c>
      <c r="E74" s="8">
        <v>28</v>
      </c>
      <c r="F74" s="8">
        <v>38</v>
      </c>
      <c r="G74" s="8">
        <v>60</v>
      </c>
      <c r="H74" s="3"/>
      <c r="I74" s="8">
        <v>3</v>
      </c>
      <c r="J74" s="8">
        <v>15</v>
      </c>
      <c r="K74" s="8">
        <v>53</v>
      </c>
      <c r="L74" s="8">
        <v>96</v>
      </c>
      <c r="M74" s="8">
        <v>55</v>
      </c>
      <c r="N74" s="8">
        <v>33</v>
      </c>
      <c r="O74" s="3"/>
      <c r="P74" s="3"/>
      <c r="Q74" s="4">
        <v>1.2903</v>
      </c>
      <c r="R74" s="4">
        <v>0.93330000000000002</v>
      </c>
      <c r="S74" s="4">
        <v>1.2258</v>
      </c>
      <c r="T74" s="9">
        <v>2.4</v>
      </c>
      <c r="U74" s="5">
        <v>0</v>
      </c>
      <c r="V74" s="9">
        <v>0.13039999999999999</v>
      </c>
      <c r="W74" s="4">
        <v>0.53569999999999995</v>
      </c>
      <c r="X74" s="4">
        <v>1.7097</v>
      </c>
      <c r="Y74" s="4">
        <v>3.2</v>
      </c>
      <c r="Z74" s="4">
        <v>1.7742</v>
      </c>
      <c r="AA74" s="9">
        <v>1.5</v>
      </c>
      <c r="AB74" s="5">
        <v>0</v>
      </c>
      <c r="AC74" s="6">
        <v>0</v>
      </c>
      <c r="AD74" s="4">
        <v>1.5241</v>
      </c>
      <c r="AE74" s="4">
        <v>1.51</v>
      </c>
      <c r="AF74" s="1" t="s">
        <v>35</v>
      </c>
      <c r="AG74" s="19">
        <f t="array" ref="AG74">DIASQUIEBRE(Q74:AB74)</f>
        <v>21</v>
      </c>
      <c r="AH74" s="19">
        <f t="array" ref="AH74">DiasMesesGris(Q74:AB74)</f>
        <v>60</v>
      </c>
      <c r="AI74" s="19">
        <f t="shared" si="9"/>
        <v>81</v>
      </c>
      <c r="AJ74" s="19">
        <f t="shared" si="10"/>
        <v>279</v>
      </c>
      <c r="AK74" s="20">
        <f t="shared" si="6"/>
        <v>421</v>
      </c>
      <c r="AL74" s="21">
        <f t="shared" si="11"/>
        <v>1.5089605734767024</v>
      </c>
    </row>
    <row r="75" spans="1:38" x14ac:dyDescent="0.25">
      <c r="A75" s="1" t="s">
        <v>97</v>
      </c>
      <c r="B75" s="1" t="s">
        <v>96</v>
      </c>
      <c r="C75" s="1"/>
      <c r="D75" s="8">
        <v>31</v>
      </c>
      <c r="E75" s="8">
        <v>20</v>
      </c>
      <c r="F75" s="8">
        <v>16</v>
      </c>
      <c r="G75" s="8">
        <v>15</v>
      </c>
      <c r="H75" s="8">
        <v>6</v>
      </c>
      <c r="I75" s="8">
        <v>4</v>
      </c>
      <c r="J75" s="8">
        <v>16</v>
      </c>
      <c r="K75" s="8">
        <v>31</v>
      </c>
      <c r="L75" s="8">
        <v>47</v>
      </c>
      <c r="M75" s="8">
        <v>18</v>
      </c>
      <c r="N75" s="3"/>
      <c r="O75" s="3"/>
      <c r="P75" s="3"/>
      <c r="Q75" s="4">
        <v>1</v>
      </c>
      <c r="R75" s="4">
        <v>0.66669999999999996</v>
      </c>
      <c r="S75" s="4">
        <v>0.5161</v>
      </c>
      <c r="T75" s="4">
        <v>0.5</v>
      </c>
      <c r="U75" s="4">
        <v>0.19350000000000001</v>
      </c>
      <c r="V75" s="4">
        <v>0.129</v>
      </c>
      <c r="W75" s="4">
        <v>0.57140000000000002</v>
      </c>
      <c r="X75" s="4">
        <v>1</v>
      </c>
      <c r="Y75" s="4">
        <v>1.5667</v>
      </c>
      <c r="Z75" s="9">
        <v>3.6</v>
      </c>
      <c r="AA75" s="5">
        <v>0</v>
      </c>
      <c r="AB75" s="5">
        <v>0</v>
      </c>
      <c r="AC75" s="6">
        <v>0</v>
      </c>
      <c r="AD75" s="4">
        <v>0.68259999999999998</v>
      </c>
      <c r="AE75" s="4">
        <v>0.74</v>
      </c>
      <c r="AF75" s="1" t="s">
        <v>35</v>
      </c>
      <c r="AG75" s="19">
        <f t="array" ref="AG75">DIASQUIEBRE(Q75:AB75)</f>
        <v>26</v>
      </c>
      <c r="AH75" s="19">
        <f t="array" ref="AH75">DiasMesesGris(Q75:AB75)</f>
        <v>60</v>
      </c>
      <c r="AI75" s="19">
        <f t="shared" si="9"/>
        <v>86</v>
      </c>
      <c r="AJ75" s="19">
        <f t="shared" si="10"/>
        <v>274</v>
      </c>
      <c r="AK75" s="20">
        <f t="shared" si="6"/>
        <v>204</v>
      </c>
      <c r="AL75" s="21">
        <f t="shared" si="11"/>
        <v>0.74452554744525545</v>
      </c>
    </row>
    <row r="76" spans="1:38" x14ac:dyDescent="0.25">
      <c r="A76" s="1" t="s">
        <v>99</v>
      </c>
      <c r="B76" s="1" t="s">
        <v>98</v>
      </c>
      <c r="C76" s="1"/>
      <c r="D76" s="3"/>
      <c r="E76" s="3"/>
      <c r="F76" s="3"/>
      <c r="G76" s="3"/>
      <c r="H76" s="3"/>
      <c r="I76" s="3"/>
      <c r="J76" s="3"/>
      <c r="K76" s="3"/>
      <c r="L76" s="3"/>
      <c r="M76" s="3"/>
      <c r="N76" s="8">
        <v>1</v>
      </c>
      <c r="O76" s="3"/>
      <c r="P76" s="3"/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6">
        <v>0</v>
      </c>
      <c r="AE76" s="4">
        <f t="shared" ref="AE76:AE81" si="12">AVERAGE(W76:AB76)</f>
        <v>0</v>
      </c>
      <c r="AF76" s="1" t="s">
        <v>32</v>
      </c>
      <c r="AG76" s="19">
        <f t="array" ref="AG76">DIASQUIEBRE(Q76:AB76)</f>
        <v>0</v>
      </c>
      <c r="AH76" s="19">
        <f t="array" ref="AH76">DiasMesesGris(Q76:AB76)</f>
        <v>360</v>
      </c>
      <c r="AI76" s="19">
        <f t="shared" si="9"/>
        <v>360</v>
      </c>
      <c r="AJ76" s="19">
        <f t="shared" si="10"/>
        <v>0</v>
      </c>
      <c r="AK76" s="20">
        <f t="shared" si="6"/>
        <v>1</v>
      </c>
      <c r="AL76" s="21">
        <f t="shared" si="11"/>
        <v>0</v>
      </c>
    </row>
    <row r="77" spans="1:38" x14ac:dyDescent="0.25">
      <c r="A77" s="1" t="s">
        <v>101</v>
      </c>
      <c r="B77" s="1" t="s">
        <v>100</v>
      </c>
      <c r="C77" s="1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6">
        <v>0</v>
      </c>
      <c r="AE77" s="4">
        <f t="shared" si="12"/>
        <v>0</v>
      </c>
      <c r="AF77" s="1" t="s">
        <v>32</v>
      </c>
      <c r="AG77" s="19">
        <f t="array" ref="AG77">DIASQUIEBRE(Q77:AB77)</f>
        <v>0</v>
      </c>
      <c r="AH77" s="19">
        <f t="array" ref="AH77">DiasMesesGris(Q77:AB77)</f>
        <v>360</v>
      </c>
      <c r="AI77" s="19">
        <f t="shared" si="9"/>
        <v>360</v>
      </c>
      <c r="AJ77" s="19">
        <f t="shared" si="10"/>
        <v>0</v>
      </c>
      <c r="AK77" s="20">
        <f t="shared" si="6"/>
        <v>0</v>
      </c>
      <c r="AL77" s="21">
        <f t="shared" si="11"/>
        <v>0</v>
      </c>
    </row>
    <row r="78" spans="1:38" x14ac:dyDescent="0.25">
      <c r="A78" s="1" t="s">
        <v>103</v>
      </c>
      <c r="B78" s="1" t="s">
        <v>102</v>
      </c>
      <c r="C78" s="1"/>
      <c r="D78" s="8">
        <v>6</v>
      </c>
      <c r="E78" s="3"/>
      <c r="F78" s="3"/>
      <c r="G78" s="8">
        <v>1</v>
      </c>
      <c r="H78" s="3"/>
      <c r="I78" s="3"/>
      <c r="J78" s="3"/>
      <c r="K78" s="3"/>
      <c r="L78" s="3"/>
      <c r="M78" s="3"/>
      <c r="N78" s="3"/>
      <c r="O78" s="3"/>
      <c r="P78" s="3"/>
      <c r="Q78" s="9">
        <v>1.5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6">
        <v>0</v>
      </c>
      <c r="AE78" s="4">
        <f t="shared" si="12"/>
        <v>0</v>
      </c>
      <c r="AF78" s="1" t="s">
        <v>32</v>
      </c>
      <c r="AG78" s="19">
        <f t="array" ref="AG78">DIASQUIEBRE(Q78:AB78)</f>
        <v>27</v>
      </c>
      <c r="AH78" s="19">
        <f t="array" ref="AH78">DiasMesesGris(Q78:AB78)</f>
        <v>330</v>
      </c>
      <c r="AI78" s="19">
        <f t="shared" si="9"/>
        <v>357</v>
      </c>
      <c r="AJ78" s="19">
        <f t="shared" si="10"/>
        <v>3</v>
      </c>
      <c r="AK78" s="20">
        <f t="shared" si="6"/>
        <v>7</v>
      </c>
      <c r="AL78" s="21">
        <f t="shared" si="11"/>
        <v>2.3333333333333335</v>
      </c>
    </row>
    <row r="79" spans="1:38" x14ac:dyDescent="0.25">
      <c r="A79" s="1" t="s">
        <v>105</v>
      </c>
      <c r="B79" s="1" t="s">
        <v>104</v>
      </c>
      <c r="C79" s="1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6">
        <v>0</v>
      </c>
      <c r="AE79" s="4">
        <f t="shared" si="12"/>
        <v>0</v>
      </c>
      <c r="AF79" s="1" t="s">
        <v>32</v>
      </c>
      <c r="AG79" s="19">
        <f t="array" ref="AG79">DIASQUIEBRE(Q79:AB79)</f>
        <v>0</v>
      </c>
      <c r="AH79" s="19">
        <f t="array" ref="AH79">DiasMesesGris(Q79:AB79)</f>
        <v>360</v>
      </c>
      <c r="AI79" s="19">
        <f t="shared" si="9"/>
        <v>360</v>
      </c>
      <c r="AJ79" s="19">
        <f t="shared" si="10"/>
        <v>0</v>
      </c>
      <c r="AK79" s="20">
        <f t="shared" si="6"/>
        <v>0</v>
      </c>
      <c r="AL79" s="21">
        <f t="shared" si="11"/>
        <v>0</v>
      </c>
    </row>
    <row r="80" spans="1:38" x14ac:dyDescent="0.25">
      <c r="A80" s="1" t="s">
        <v>107</v>
      </c>
      <c r="B80" s="1" t="s">
        <v>106</v>
      </c>
      <c r="C80" s="1"/>
      <c r="D80" s="8">
        <v>8</v>
      </c>
      <c r="E80" s="8">
        <v>39</v>
      </c>
      <c r="F80" s="8">
        <v>4</v>
      </c>
      <c r="G80" s="3"/>
      <c r="H80" s="8">
        <v>12</v>
      </c>
      <c r="I80" s="3"/>
      <c r="J80" s="3"/>
      <c r="K80" s="3"/>
      <c r="L80" s="3"/>
      <c r="M80" s="3"/>
      <c r="N80" s="3"/>
      <c r="O80" s="3"/>
      <c r="P80" s="3"/>
      <c r="Q80" s="4">
        <v>0.2581</v>
      </c>
      <c r="R80" s="4">
        <v>1.3</v>
      </c>
      <c r="S80" s="4">
        <v>0.129</v>
      </c>
      <c r="T80" s="4">
        <v>0</v>
      </c>
      <c r="U80" s="9">
        <v>1.5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6">
        <v>0</v>
      </c>
      <c r="AD80" s="4">
        <v>0.42180000000000001</v>
      </c>
      <c r="AE80" s="4">
        <f t="shared" si="12"/>
        <v>0</v>
      </c>
      <c r="AF80" s="1" t="s">
        <v>32</v>
      </c>
      <c r="AG80" s="19">
        <f t="array" ref="AG80">DIASQUIEBRE(Q80:AB80)</f>
        <v>23</v>
      </c>
      <c r="AH80" s="19">
        <f t="array" ref="AH80">DiasMesesGris(Q80:AB80)</f>
        <v>210</v>
      </c>
      <c r="AI80" s="19">
        <f t="shared" si="9"/>
        <v>233</v>
      </c>
      <c r="AJ80" s="19">
        <f t="shared" si="10"/>
        <v>127</v>
      </c>
      <c r="AK80" s="20">
        <f t="shared" si="6"/>
        <v>63</v>
      </c>
      <c r="AL80" s="21">
        <f t="shared" si="11"/>
        <v>0.49606299212598426</v>
      </c>
    </row>
    <row r="81" spans="1:38" x14ac:dyDescent="0.25">
      <c r="A81" s="1" t="s">
        <v>109</v>
      </c>
      <c r="B81" s="1" t="s">
        <v>108</v>
      </c>
      <c r="C81" s="1"/>
      <c r="D81" s="8">
        <v>20</v>
      </c>
      <c r="E81" s="8">
        <v>1</v>
      </c>
      <c r="F81" s="3"/>
      <c r="G81" s="8">
        <v>12</v>
      </c>
      <c r="H81" s="8">
        <v>25</v>
      </c>
      <c r="I81" s="8">
        <v>5</v>
      </c>
      <c r="J81" s="8">
        <v>5</v>
      </c>
      <c r="K81" s="8">
        <v>8</v>
      </c>
      <c r="L81" s="8">
        <v>16</v>
      </c>
      <c r="M81" s="8">
        <v>-10</v>
      </c>
      <c r="N81" s="8">
        <v>46</v>
      </c>
      <c r="O81" s="8">
        <v>6</v>
      </c>
      <c r="P81" s="3"/>
      <c r="Q81" s="4">
        <v>0.6452</v>
      </c>
      <c r="R81" s="4">
        <v>3.3300000000000003E-2</v>
      </c>
      <c r="S81" s="4">
        <v>0</v>
      </c>
      <c r="T81" s="4">
        <v>0.4</v>
      </c>
      <c r="U81" s="4">
        <v>0.80649999999999999</v>
      </c>
      <c r="V81" s="4">
        <v>0.1613</v>
      </c>
      <c r="W81" s="4">
        <v>0.17860000000000001</v>
      </c>
      <c r="X81" s="4">
        <v>0.2581</v>
      </c>
      <c r="Y81" s="4">
        <v>0.5333</v>
      </c>
      <c r="Z81" s="4">
        <v>-0.3226</v>
      </c>
      <c r="AA81" s="4">
        <v>1.5333000000000001</v>
      </c>
      <c r="AB81" s="4">
        <v>0.19350000000000001</v>
      </c>
      <c r="AC81" s="10">
        <v>0</v>
      </c>
      <c r="AD81" s="4">
        <v>0.36840000000000001</v>
      </c>
      <c r="AE81" s="4">
        <f t="shared" si="12"/>
        <v>0.3957</v>
      </c>
      <c r="AF81" s="1" t="s">
        <v>32</v>
      </c>
      <c r="AG81" s="19">
        <f t="array" ref="AG81">DIASQUIEBRE(Q81:AB81)</f>
        <v>0</v>
      </c>
      <c r="AH81" s="19">
        <f t="array" ref="AH81">DiasMesesGris(Q81:AB81)</f>
        <v>0</v>
      </c>
      <c r="AI81" s="19">
        <f t="shared" si="9"/>
        <v>0</v>
      </c>
      <c r="AJ81" s="19">
        <f t="shared" si="10"/>
        <v>360</v>
      </c>
      <c r="AK81" s="20">
        <f t="shared" si="6"/>
        <v>134</v>
      </c>
      <c r="AL81" s="21">
        <f t="shared" si="11"/>
        <v>0.37222222222222223</v>
      </c>
    </row>
    <row r="82" spans="1:38" x14ac:dyDescent="0.25">
      <c r="A82" s="1" t="s">
        <v>111</v>
      </c>
      <c r="B82" s="1" t="s">
        <v>110</v>
      </c>
      <c r="C82" s="1"/>
      <c r="D82" s="8">
        <v>58</v>
      </c>
      <c r="E82" s="8">
        <v>47</v>
      </c>
      <c r="F82" s="8">
        <v>49</v>
      </c>
      <c r="G82" s="8">
        <v>75</v>
      </c>
      <c r="H82" s="8">
        <v>102</v>
      </c>
      <c r="I82" s="8">
        <v>113</v>
      </c>
      <c r="J82" s="8">
        <v>49</v>
      </c>
      <c r="K82" s="8">
        <v>113</v>
      </c>
      <c r="L82" s="8">
        <v>103</v>
      </c>
      <c r="M82" s="8">
        <v>24</v>
      </c>
      <c r="N82" s="8">
        <v>151</v>
      </c>
      <c r="O82" s="8">
        <v>57</v>
      </c>
      <c r="P82" s="3"/>
      <c r="Q82" s="4">
        <v>1.871</v>
      </c>
      <c r="R82" s="4">
        <v>1.5667</v>
      </c>
      <c r="S82" s="4">
        <v>1.5806</v>
      </c>
      <c r="T82" s="4">
        <v>2.5</v>
      </c>
      <c r="U82" s="4">
        <v>3.2902999999999998</v>
      </c>
      <c r="V82" s="4">
        <v>3.6452</v>
      </c>
      <c r="W82" s="4">
        <v>1.75</v>
      </c>
      <c r="X82" s="4">
        <v>3.6452</v>
      </c>
      <c r="Y82" s="4">
        <v>3.4333</v>
      </c>
      <c r="Z82" s="4">
        <v>0.7742</v>
      </c>
      <c r="AA82" s="4">
        <v>5.0332999999999997</v>
      </c>
      <c r="AB82" s="4">
        <v>1.8387</v>
      </c>
      <c r="AC82" s="10">
        <v>0</v>
      </c>
      <c r="AD82" s="4">
        <v>2.5773999999999999</v>
      </c>
      <c r="AE82" s="4">
        <v>3</v>
      </c>
      <c r="AF82" s="1" t="s">
        <v>35</v>
      </c>
      <c r="AG82" s="19">
        <f t="array" ref="AG82">DIASQUIEBRE(Q82:AB82)</f>
        <v>0</v>
      </c>
      <c r="AH82" s="19">
        <f t="array" ref="AH82">DiasMesesGris(Q82:AB82)</f>
        <v>0</v>
      </c>
      <c r="AI82" s="19">
        <f t="shared" si="9"/>
        <v>0</v>
      </c>
      <c r="AJ82" s="19">
        <f t="shared" si="10"/>
        <v>360</v>
      </c>
      <c r="AK82" s="20">
        <f t="shared" si="6"/>
        <v>941</v>
      </c>
      <c r="AL82" s="21">
        <f t="shared" si="11"/>
        <v>2.6138888888888889</v>
      </c>
    </row>
    <row r="83" spans="1:38" x14ac:dyDescent="0.25">
      <c r="A83" s="1" t="s">
        <v>113</v>
      </c>
      <c r="B83" s="1" t="s">
        <v>112</v>
      </c>
      <c r="C83" s="1"/>
      <c r="D83" s="8">
        <v>19</v>
      </c>
      <c r="E83" s="8">
        <v>33</v>
      </c>
      <c r="F83" s="8">
        <v>27</v>
      </c>
      <c r="G83" s="8">
        <v>37</v>
      </c>
      <c r="H83" s="8">
        <v>14</v>
      </c>
      <c r="I83" s="8">
        <v>27</v>
      </c>
      <c r="J83" s="8">
        <v>3</v>
      </c>
      <c r="K83" s="8">
        <v>56</v>
      </c>
      <c r="L83" s="8">
        <v>5</v>
      </c>
      <c r="M83" s="8">
        <v>14</v>
      </c>
      <c r="N83" s="8">
        <v>49</v>
      </c>
      <c r="O83" s="8">
        <v>20</v>
      </c>
      <c r="P83" s="3"/>
      <c r="Q83" s="4">
        <v>0.6129</v>
      </c>
      <c r="R83" s="4">
        <v>1.1000000000000001</v>
      </c>
      <c r="S83" s="4">
        <v>0.871</v>
      </c>
      <c r="T83" s="4">
        <v>1.2333000000000001</v>
      </c>
      <c r="U83" s="4">
        <v>0.4516</v>
      </c>
      <c r="V83" s="4">
        <v>0.871</v>
      </c>
      <c r="W83" s="4">
        <v>0.1071</v>
      </c>
      <c r="X83" s="4">
        <v>1.8065</v>
      </c>
      <c r="Y83" s="4">
        <v>0.16669999999999999</v>
      </c>
      <c r="Z83" s="4">
        <v>0.4516</v>
      </c>
      <c r="AA83" s="4">
        <v>1.6333</v>
      </c>
      <c r="AB83" s="4">
        <v>0.6452</v>
      </c>
      <c r="AC83" s="10">
        <v>0</v>
      </c>
      <c r="AD83" s="4">
        <v>0.82920000000000005</v>
      </c>
      <c r="AE83" s="4">
        <f t="shared" ref="AE83:AE89" si="13">AVERAGE(W83:AB83)</f>
        <v>0.8017333333333333</v>
      </c>
      <c r="AF83" s="1" t="s">
        <v>35</v>
      </c>
      <c r="AG83" s="19">
        <f t="array" ref="AG83">DIASQUIEBRE(Q83:AB83)</f>
        <v>0</v>
      </c>
      <c r="AH83" s="19">
        <f t="array" ref="AH83">DiasMesesGris(Q83:AB83)</f>
        <v>0</v>
      </c>
      <c r="AI83" s="19">
        <f t="shared" si="9"/>
        <v>0</v>
      </c>
      <c r="AJ83" s="19">
        <f t="shared" si="10"/>
        <v>360</v>
      </c>
      <c r="AK83" s="20">
        <f t="shared" si="6"/>
        <v>304</v>
      </c>
      <c r="AL83" s="21">
        <f t="shared" si="11"/>
        <v>0.84444444444444444</v>
      </c>
    </row>
    <row r="84" spans="1:38" x14ac:dyDescent="0.25">
      <c r="A84" s="1" t="s">
        <v>115</v>
      </c>
      <c r="B84" s="1" t="s">
        <v>114</v>
      </c>
      <c r="C84" s="1"/>
      <c r="D84" s="8">
        <v>14</v>
      </c>
      <c r="E84" s="8">
        <v>6</v>
      </c>
      <c r="F84" s="8">
        <v>6</v>
      </c>
      <c r="G84" s="3"/>
      <c r="H84" s="3"/>
      <c r="I84" s="3"/>
      <c r="J84" s="3"/>
      <c r="K84" s="8">
        <v>5</v>
      </c>
      <c r="L84" s="8">
        <v>5</v>
      </c>
      <c r="M84" s="8">
        <v>9</v>
      </c>
      <c r="N84" s="3"/>
      <c r="O84" s="3"/>
      <c r="P84" s="3"/>
      <c r="Q84" s="4">
        <v>0.4516</v>
      </c>
      <c r="R84" s="4">
        <v>0.2</v>
      </c>
      <c r="S84" s="4">
        <v>0.19350000000000001</v>
      </c>
      <c r="T84" s="4">
        <v>0</v>
      </c>
      <c r="U84" s="4">
        <v>0</v>
      </c>
      <c r="V84" s="4">
        <v>0</v>
      </c>
      <c r="W84" s="4">
        <v>0</v>
      </c>
      <c r="X84" s="4">
        <v>0.1613</v>
      </c>
      <c r="Y84" s="4">
        <v>0.16669999999999999</v>
      </c>
      <c r="Z84" s="4">
        <v>0.2903</v>
      </c>
      <c r="AA84" s="4">
        <v>0</v>
      </c>
      <c r="AB84" s="4">
        <v>0</v>
      </c>
      <c r="AC84" s="10">
        <v>0</v>
      </c>
      <c r="AD84" s="4">
        <v>0.122</v>
      </c>
      <c r="AE84" s="4">
        <f t="shared" si="13"/>
        <v>0.10304999999999999</v>
      </c>
      <c r="AF84" s="1" t="s">
        <v>32</v>
      </c>
      <c r="AG84" s="19">
        <f t="array" ref="AG84">DIASQUIEBRE(Q84:AB84)</f>
        <v>0</v>
      </c>
      <c r="AH84" s="19">
        <f t="array" ref="AH84">DiasMesesGris(Q84:AB84)</f>
        <v>0</v>
      </c>
      <c r="AI84" s="19">
        <f t="shared" si="9"/>
        <v>0</v>
      </c>
      <c r="AJ84" s="19">
        <f t="shared" si="10"/>
        <v>360</v>
      </c>
      <c r="AK84" s="20">
        <f t="shared" si="6"/>
        <v>45</v>
      </c>
      <c r="AL84" s="21">
        <f t="shared" si="11"/>
        <v>0.125</v>
      </c>
    </row>
    <row r="85" spans="1:38" x14ac:dyDescent="0.25">
      <c r="A85" s="1" t="s">
        <v>117</v>
      </c>
      <c r="B85" s="1" t="s">
        <v>116</v>
      </c>
      <c r="C85" s="1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6">
        <v>0</v>
      </c>
      <c r="AE85" s="4">
        <f t="shared" si="13"/>
        <v>0</v>
      </c>
      <c r="AF85" s="1" t="s">
        <v>35</v>
      </c>
      <c r="AG85" s="19">
        <f t="array" ref="AG85">DIASQUIEBRE(Q85:AB85)</f>
        <v>0</v>
      </c>
      <c r="AH85" s="19">
        <f t="array" ref="AH85">DiasMesesGris(Q85:AB85)</f>
        <v>360</v>
      </c>
      <c r="AI85" s="19">
        <f t="shared" si="9"/>
        <v>360</v>
      </c>
      <c r="AJ85" s="19">
        <f t="shared" si="10"/>
        <v>0</v>
      </c>
      <c r="AK85" s="20">
        <f t="shared" si="6"/>
        <v>0</v>
      </c>
      <c r="AL85" s="21">
        <f t="shared" si="11"/>
        <v>0</v>
      </c>
    </row>
    <row r="86" spans="1:38" x14ac:dyDescent="0.25">
      <c r="A86" s="1" t="s">
        <v>119</v>
      </c>
      <c r="B86" s="1" t="s">
        <v>118</v>
      </c>
      <c r="C86" s="1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6">
        <v>0</v>
      </c>
      <c r="AE86" s="4">
        <f t="shared" si="13"/>
        <v>0</v>
      </c>
      <c r="AF86" s="1" t="s">
        <v>35</v>
      </c>
      <c r="AG86" s="19">
        <f t="array" ref="AG86">DIASQUIEBRE(Q86:AB86)</f>
        <v>0</v>
      </c>
      <c r="AH86" s="19">
        <f t="array" ref="AH86">DiasMesesGris(Q86:AB86)</f>
        <v>360</v>
      </c>
      <c r="AI86" s="19">
        <f t="shared" si="9"/>
        <v>360</v>
      </c>
      <c r="AJ86" s="19">
        <f t="shared" si="10"/>
        <v>0</v>
      </c>
      <c r="AK86" s="20">
        <f t="shared" ref="AK86:AK149" si="14">SUM(D86:O86)</f>
        <v>0</v>
      </c>
      <c r="AL86" s="21">
        <f t="shared" si="11"/>
        <v>0</v>
      </c>
    </row>
    <row r="87" spans="1:38" x14ac:dyDescent="0.25">
      <c r="A87" s="1" t="s">
        <v>121</v>
      </c>
      <c r="B87" s="1" t="s">
        <v>120</v>
      </c>
      <c r="C87" s="1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6">
        <v>0</v>
      </c>
      <c r="AE87" s="4">
        <f t="shared" si="13"/>
        <v>0</v>
      </c>
      <c r="AF87" s="1" t="s">
        <v>35</v>
      </c>
      <c r="AG87" s="19">
        <f t="array" ref="AG87">DIASQUIEBRE(Q87:AB87)</f>
        <v>0</v>
      </c>
      <c r="AH87" s="19">
        <f t="array" ref="AH87">DiasMesesGris(Q87:AB87)</f>
        <v>360</v>
      </c>
      <c r="AI87" s="19">
        <f t="shared" si="9"/>
        <v>360</v>
      </c>
      <c r="AJ87" s="19">
        <f t="shared" si="10"/>
        <v>0</v>
      </c>
      <c r="AK87" s="20">
        <f t="shared" si="14"/>
        <v>0</v>
      </c>
      <c r="AL87" s="21">
        <f t="shared" si="11"/>
        <v>0</v>
      </c>
    </row>
    <row r="88" spans="1:38" x14ac:dyDescent="0.25">
      <c r="A88" s="1" t="s">
        <v>123</v>
      </c>
      <c r="B88" s="1" t="s">
        <v>122</v>
      </c>
      <c r="C88" s="1"/>
      <c r="D88" s="8">
        <v>5</v>
      </c>
      <c r="E88" s="8">
        <v>5</v>
      </c>
      <c r="F88" s="8">
        <v>7</v>
      </c>
      <c r="G88" s="8">
        <v>5</v>
      </c>
      <c r="H88" s="3"/>
      <c r="I88" s="3"/>
      <c r="J88" s="3"/>
      <c r="K88" s="3"/>
      <c r="L88" s="3"/>
      <c r="M88" s="3"/>
      <c r="N88" s="3"/>
      <c r="O88" s="3"/>
      <c r="P88" s="3"/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6">
        <v>0</v>
      </c>
      <c r="AE88" s="4">
        <f t="shared" si="13"/>
        <v>0</v>
      </c>
      <c r="AF88" s="1" t="s">
        <v>35</v>
      </c>
      <c r="AG88" s="19">
        <f t="array" ref="AG88">DIASQUIEBRE(Q88:AB88)</f>
        <v>0</v>
      </c>
      <c r="AH88" s="19">
        <f t="array" ref="AH88">DiasMesesGris(Q88:AB88)</f>
        <v>360</v>
      </c>
      <c r="AI88" s="19">
        <f t="shared" si="9"/>
        <v>360</v>
      </c>
      <c r="AJ88" s="19">
        <f t="shared" si="10"/>
        <v>0</v>
      </c>
      <c r="AK88" s="20">
        <f t="shared" si="14"/>
        <v>22</v>
      </c>
      <c r="AL88" s="21">
        <f t="shared" si="11"/>
        <v>0</v>
      </c>
    </row>
    <row r="89" spans="1:38" x14ac:dyDescent="0.25">
      <c r="A89" s="1" t="s">
        <v>125</v>
      </c>
      <c r="B89" s="1" t="s">
        <v>124</v>
      </c>
      <c r="C89" s="1"/>
      <c r="D89" s="8">
        <v>3</v>
      </c>
      <c r="E89" s="8">
        <v>4</v>
      </c>
      <c r="F89" s="8">
        <v>8</v>
      </c>
      <c r="G89" s="8">
        <v>2</v>
      </c>
      <c r="H89" s="8">
        <v>2</v>
      </c>
      <c r="I89" s="3"/>
      <c r="J89" s="3"/>
      <c r="K89" s="3"/>
      <c r="L89" s="3"/>
      <c r="M89" s="8">
        <v>1</v>
      </c>
      <c r="N89" s="3"/>
      <c r="O89" s="3"/>
      <c r="P89" s="3"/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6">
        <v>0</v>
      </c>
      <c r="AE89" s="4">
        <f t="shared" si="13"/>
        <v>0</v>
      </c>
      <c r="AF89" s="1" t="s">
        <v>35</v>
      </c>
      <c r="AG89" s="19">
        <f t="array" ref="AG89">DIASQUIEBRE(Q89:AB89)</f>
        <v>0</v>
      </c>
      <c r="AH89" s="19">
        <f t="array" ref="AH89">DiasMesesGris(Q89:AB89)</f>
        <v>360</v>
      </c>
      <c r="AI89" s="19">
        <f t="shared" si="9"/>
        <v>360</v>
      </c>
      <c r="AJ89" s="19">
        <f t="shared" si="10"/>
        <v>0</v>
      </c>
      <c r="AK89" s="20">
        <f t="shared" si="14"/>
        <v>20</v>
      </c>
      <c r="AL89" s="21">
        <f t="shared" si="11"/>
        <v>0</v>
      </c>
    </row>
    <row r="90" spans="1:38" x14ac:dyDescent="0.25">
      <c r="A90" s="84" t="s">
        <v>127</v>
      </c>
      <c r="B90" s="1" t="s">
        <v>126</v>
      </c>
      <c r="C90" s="1"/>
      <c r="D90" s="8">
        <v>20</v>
      </c>
      <c r="E90" s="8">
        <v>92</v>
      </c>
      <c r="F90" s="8">
        <v>42</v>
      </c>
      <c r="G90" s="8">
        <v>57</v>
      </c>
      <c r="H90" s="8">
        <v>54</v>
      </c>
      <c r="I90" s="8">
        <v>40</v>
      </c>
      <c r="J90" s="8">
        <v>49</v>
      </c>
      <c r="K90" s="8">
        <v>41</v>
      </c>
      <c r="L90" s="3"/>
      <c r="M90" s="8">
        <v>3</v>
      </c>
      <c r="N90" s="8">
        <v>1</v>
      </c>
      <c r="O90" s="3"/>
      <c r="P90" s="3"/>
      <c r="Q90" s="4">
        <v>0.6452</v>
      </c>
      <c r="R90" s="4">
        <v>3.0667</v>
      </c>
      <c r="S90" s="4">
        <v>1.3548</v>
      </c>
      <c r="T90" s="4">
        <v>1.9</v>
      </c>
      <c r="U90" s="4">
        <v>1.7419</v>
      </c>
      <c r="V90" s="4">
        <v>1.2903</v>
      </c>
      <c r="W90" s="4">
        <v>1.75</v>
      </c>
      <c r="X90" s="9">
        <v>1.64</v>
      </c>
      <c r="Y90" s="5">
        <v>0</v>
      </c>
      <c r="Z90" s="5">
        <v>0</v>
      </c>
      <c r="AA90" s="5">
        <v>0</v>
      </c>
      <c r="AB90" s="5">
        <v>0</v>
      </c>
      <c r="AC90" s="6">
        <v>0</v>
      </c>
      <c r="AD90" s="4">
        <v>1.6783999999999999</v>
      </c>
      <c r="AE90" s="23">
        <v>1.71</v>
      </c>
      <c r="AF90" s="1" t="s">
        <v>32</v>
      </c>
      <c r="AG90" s="19">
        <f t="array" ref="AG90">DIASQUIEBRE(Q90:AB90)</f>
        <v>6</v>
      </c>
      <c r="AH90" s="19">
        <f t="array" ref="AH90">DiasMesesGris(Q90:AB90)</f>
        <v>120</v>
      </c>
      <c r="AI90" s="19">
        <f t="shared" si="9"/>
        <v>126</v>
      </c>
      <c r="AJ90" s="19">
        <f t="shared" si="10"/>
        <v>234</v>
      </c>
      <c r="AK90" s="20">
        <f t="shared" si="14"/>
        <v>399</v>
      </c>
      <c r="AL90" s="21">
        <f t="shared" si="11"/>
        <v>1.7051282051282051</v>
      </c>
    </row>
    <row r="91" spans="1:38" x14ac:dyDescent="0.25">
      <c r="A91" s="1" t="s">
        <v>129</v>
      </c>
      <c r="B91" s="1" t="s">
        <v>128</v>
      </c>
      <c r="C91" s="1"/>
      <c r="D91" s="8">
        <v>32</v>
      </c>
      <c r="E91" s="8">
        <v>34</v>
      </c>
      <c r="F91" s="8">
        <v>33</v>
      </c>
      <c r="G91" s="8">
        <v>33</v>
      </c>
      <c r="H91" s="8">
        <v>63</v>
      </c>
      <c r="I91" s="8">
        <v>46</v>
      </c>
      <c r="J91" s="8">
        <v>9</v>
      </c>
      <c r="K91" s="3"/>
      <c r="L91" s="3"/>
      <c r="M91" s="3"/>
      <c r="N91" s="8">
        <v>1</v>
      </c>
      <c r="O91" s="3"/>
      <c r="P91" s="3"/>
      <c r="Q91" s="4">
        <v>1.0323</v>
      </c>
      <c r="R91" s="4">
        <v>1.1333</v>
      </c>
      <c r="S91" s="4">
        <v>1.0645</v>
      </c>
      <c r="T91" s="4">
        <v>1.1000000000000001</v>
      </c>
      <c r="U91" s="4">
        <v>2.0323000000000002</v>
      </c>
      <c r="V91" s="4">
        <v>1.4839</v>
      </c>
      <c r="W91" s="9">
        <v>3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6">
        <v>0</v>
      </c>
      <c r="AD91" s="4">
        <v>1.3077000000000001</v>
      </c>
      <c r="AE91" s="23">
        <v>1.36</v>
      </c>
      <c r="AF91" s="1" t="s">
        <v>32</v>
      </c>
      <c r="AG91" s="19">
        <f t="array" ref="AG91">DIASQUIEBRE(Q91:AB91)</f>
        <v>25</v>
      </c>
      <c r="AH91" s="19">
        <f t="array" ref="AH91">DiasMesesGris(Q91:AB91)</f>
        <v>150</v>
      </c>
      <c r="AI91" s="19">
        <f t="shared" si="9"/>
        <v>175</v>
      </c>
      <c r="AJ91" s="19">
        <f t="shared" si="10"/>
        <v>185</v>
      </c>
      <c r="AK91" s="20">
        <f t="shared" si="14"/>
        <v>251</v>
      </c>
      <c r="AL91" s="21">
        <f t="shared" si="11"/>
        <v>1.3567567567567567</v>
      </c>
    </row>
    <row r="92" spans="1:38" x14ac:dyDescent="0.25">
      <c r="A92" s="84" t="s">
        <v>131</v>
      </c>
      <c r="B92" s="1" t="s">
        <v>130</v>
      </c>
      <c r="C92" s="1"/>
      <c r="D92" s="8">
        <v>101</v>
      </c>
      <c r="E92" s="8">
        <v>82</v>
      </c>
      <c r="F92" s="8">
        <v>37</v>
      </c>
      <c r="G92" s="8">
        <v>87</v>
      </c>
      <c r="H92" s="8">
        <v>67</v>
      </c>
      <c r="I92" s="8">
        <v>97</v>
      </c>
      <c r="J92" s="8">
        <v>93</v>
      </c>
      <c r="K92" s="8">
        <v>91</v>
      </c>
      <c r="L92" s="8">
        <v>42</v>
      </c>
      <c r="M92" s="3"/>
      <c r="N92" s="3"/>
      <c r="O92" s="3"/>
      <c r="P92" s="3"/>
      <c r="Q92" s="4">
        <v>3.2581000000000002</v>
      </c>
      <c r="R92" s="4">
        <v>2.7332999999999998</v>
      </c>
      <c r="S92" s="4">
        <v>1.1935</v>
      </c>
      <c r="T92" s="4">
        <v>2.9</v>
      </c>
      <c r="U92" s="4">
        <v>2.1613000000000002</v>
      </c>
      <c r="V92" s="4">
        <v>3.129</v>
      </c>
      <c r="W92" s="4">
        <v>3.3214000000000001</v>
      </c>
      <c r="X92" s="4">
        <v>2.9355000000000002</v>
      </c>
      <c r="Y92" s="9">
        <v>1.8261000000000001</v>
      </c>
      <c r="Z92" s="5">
        <v>0</v>
      </c>
      <c r="AA92" s="5">
        <v>0</v>
      </c>
      <c r="AB92" s="5">
        <v>0</v>
      </c>
      <c r="AC92" s="6">
        <v>0</v>
      </c>
      <c r="AD92" s="4">
        <v>2.7040000000000002</v>
      </c>
      <c r="AE92" s="23">
        <v>2.65</v>
      </c>
      <c r="AF92" s="1" t="s">
        <v>32</v>
      </c>
      <c r="AG92" s="19">
        <f t="array" ref="AG92">DIASQUIEBRE(Q92:AB92)</f>
        <v>7</v>
      </c>
      <c r="AH92" s="19">
        <f t="array" ref="AH92">DiasMesesGris(Q92:AB92)</f>
        <v>90</v>
      </c>
      <c r="AI92" s="19">
        <f t="shared" si="9"/>
        <v>97</v>
      </c>
      <c r="AJ92" s="19">
        <f t="shared" si="10"/>
        <v>263</v>
      </c>
      <c r="AK92" s="20">
        <f t="shared" si="14"/>
        <v>697</v>
      </c>
      <c r="AL92" s="21">
        <f t="shared" si="11"/>
        <v>2.6501901140684412</v>
      </c>
    </row>
    <row r="93" spans="1:38" x14ac:dyDescent="0.25">
      <c r="A93" s="1" t="s">
        <v>133</v>
      </c>
      <c r="B93" s="1" t="s">
        <v>132</v>
      </c>
      <c r="C93" s="1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6">
        <v>0</v>
      </c>
      <c r="AE93" s="4">
        <f t="shared" ref="AE93:AE98" si="15">AVERAGE(W93:AB93)</f>
        <v>0</v>
      </c>
      <c r="AF93" s="1" t="s">
        <v>32</v>
      </c>
      <c r="AG93" s="19">
        <f t="array" ref="AG93">DIASQUIEBRE(Q93:AB93)</f>
        <v>0</v>
      </c>
      <c r="AH93" s="19">
        <f t="array" ref="AH93">DiasMesesGris(Q93:AB93)</f>
        <v>360</v>
      </c>
      <c r="AI93" s="19">
        <f t="shared" si="9"/>
        <v>360</v>
      </c>
      <c r="AJ93" s="19">
        <f t="shared" si="10"/>
        <v>0</v>
      </c>
      <c r="AK93" s="20">
        <f t="shared" si="14"/>
        <v>0</v>
      </c>
      <c r="AL93" s="21">
        <f t="shared" si="11"/>
        <v>0</v>
      </c>
    </row>
    <row r="94" spans="1:38" x14ac:dyDescent="0.25">
      <c r="A94" s="1" t="s">
        <v>135</v>
      </c>
      <c r="B94" s="1" t="s">
        <v>134</v>
      </c>
      <c r="C94" s="1"/>
      <c r="D94" s="8">
        <v>31</v>
      </c>
      <c r="E94" s="8">
        <v>62</v>
      </c>
      <c r="F94" s="8">
        <v>40</v>
      </c>
      <c r="G94" s="8">
        <v>53</v>
      </c>
      <c r="H94" s="8">
        <v>49</v>
      </c>
      <c r="I94" s="8">
        <v>74</v>
      </c>
      <c r="J94" s="8">
        <v>78</v>
      </c>
      <c r="K94" s="8">
        <v>33</v>
      </c>
      <c r="L94" s="8">
        <v>42</v>
      </c>
      <c r="M94" s="8">
        <v>31</v>
      </c>
      <c r="N94" s="8">
        <v>44</v>
      </c>
      <c r="O94" s="8">
        <v>44</v>
      </c>
      <c r="P94" s="3"/>
      <c r="Q94" s="4">
        <v>1</v>
      </c>
      <c r="R94" s="4">
        <v>2.0667</v>
      </c>
      <c r="S94" s="4">
        <v>1.2903</v>
      </c>
      <c r="T94" s="4">
        <v>1.7666999999999999</v>
      </c>
      <c r="U94" s="4">
        <v>1.5806</v>
      </c>
      <c r="V94" s="4">
        <v>2.3871000000000002</v>
      </c>
      <c r="W94" s="4">
        <v>2.7856999999999998</v>
      </c>
      <c r="X94" s="4">
        <v>1.0645</v>
      </c>
      <c r="Y94" s="4">
        <v>1.4</v>
      </c>
      <c r="Z94" s="4">
        <v>1</v>
      </c>
      <c r="AA94" s="4">
        <v>1.4666999999999999</v>
      </c>
      <c r="AB94" s="4">
        <v>1.4194</v>
      </c>
      <c r="AC94" s="10">
        <v>0</v>
      </c>
      <c r="AD94" s="4">
        <v>1.6023000000000001</v>
      </c>
      <c r="AE94" s="4">
        <f t="shared" si="15"/>
        <v>1.5227166666666665</v>
      </c>
      <c r="AF94" s="1" t="s">
        <v>35</v>
      </c>
      <c r="AG94" s="19">
        <f t="array" ref="AG94">DIASQUIEBRE(Q94:AB94)</f>
        <v>0</v>
      </c>
      <c r="AH94" s="19">
        <f t="array" ref="AH94">DiasMesesGris(Q94:AB94)</f>
        <v>0</v>
      </c>
      <c r="AI94" s="19">
        <f t="shared" si="9"/>
        <v>0</v>
      </c>
      <c r="AJ94" s="19">
        <f t="shared" si="10"/>
        <v>360</v>
      </c>
      <c r="AK94" s="20">
        <f t="shared" si="14"/>
        <v>581</v>
      </c>
      <c r="AL94" s="21">
        <f t="shared" si="11"/>
        <v>1.6138888888888889</v>
      </c>
    </row>
    <row r="95" spans="1:38" x14ac:dyDescent="0.25">
      <c r="A95" s="1" t="s">
        <v>137</v>
      </c>
      <c r="B95" s="1" t="s">
        <v>136</v>
      </c>
      <c r="C95" s="1"/>
      <c r="D95" s="8">
        <v>8</v>
      </c>
      <c r="E95" s="8">
        <v>108</v>
      </c>
      <c r="F95" s="8">
        <v>110</v>
      </c>
      <c r="G95" s="8">
        <v>209</v>
      </c>
      <c r="H95" s="8">
        <v>19</v>
      </c>
      <c r="I95" s="3"/>
      <c r="J95" s="3"/>
      <c r="K95" s="3"/>
      <c r="L95" s="3"/>
      <c r="M95" s="3"/>
      <c r="N95" s="8">
        <v>1</v>
      </c>
      <c r="O95" s="3"/>
      <c r="P95" s="3"/>
      <c r="Q95" s="4">
        <v>0.2581</v>
      </c>
      <c r="R95" s="4">
        <v>3.6</v>
      </c>
      <c r="S95" s="4">
        <v>3.5484</v>
      </c>
      <c r="T95" s="4">
        <v>6.9667000000000003</v>
      </c>
      <c r="U95" s="9">
        <v>9.5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6">
        <v>0</v>
      </c>
      <c r="AD95" s="4">
        <v>3.5933000000000002</v>
      </c>
      <c r="AE95" s="4">
        <f t="shared" si="15"/>
        <v>0</v>
      </c>
      <c r="AF95" s="1" t="s">
        <v>32</v>
      </c>
      <c r="AG95" s="19">
        <f t="array" ref="AG95">DIASQUIEBRE(Q95:AB95)</f>
        <v>29</v>
      </c>
      <c r="AH95" s="19">
        <f t="array" ref="AH95">DiasMesesGris(Q95:AB95)</f>
        <v>210</v>
      </c>
      <c r="AI95" s="19">
        <f t="shared" si="9"/>
        <v>239</v>
      </c>
      <c r="AJ95" s="19">
        <f t="shared" si="10"/>
        <v>121</v>
      </c>
      <c r="AK95" s="20">
        <f t="shared" si="14"/>
        <v>455</v>
      </c>
      <c r="AL95" s="21">
        <f t="shared" si="11"/>
        <v>3.7603305785123968</v>
      </c>
    </row>
    <row r="96" spans="1:38" x14ac:dyDescent="0.25">
      <c r="A96" s="1" t="s">
        <v>139</v>
      </c>
      <c r="B96" s="1" t="s">
        <v>138</v>
      </c>
      <c r="C96" s="1"/>
      <c r="D96" s="3"/>
      <c r="E96" s="8">
        <v>6</v>
      </c>
      <c r="F96" s="8">
        <v>10</v>
      </c>
      <c r="G96" s="8">
        <v>52</v>
      </c>
      <c r="H96" s="8">
        <v>7</v>
      </c>
      <c r="I96" s="3"/>
      <c r="J96" s="3"/>
      <c r="K96" s="3"/>
      <c r="L96" s="3"/>
      <c r="M96" s="3"/>
      <c r="N96" s="3"/>
      <c r="O96" s="3"/>
      <c r="P96" s="3"/>
      <c r="Q96" s="4">
        <v>0</v>
      </c>
      <c r="R96" s="4">
        <v>0.2</v>
      </c>
      <c r="S96" s="4">
        <v>0.3226</v>
      </c>
      <c r="T96" s="4">
        <v>1.7333000000000001</v>
      </c>
      <c r="U96" s="9">
        <v>0.31819999999999998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6">
        <v>0</v>
      </c>
      <c r="AD96" s="4">
        <v>0.56399999999999995</v>
      </c>
      <c r="AE96" s="4">
        <f t="shared" si="15"/>
        <v>0</v>
      </c>
      <c r="AF96" s="1" t="s">
        <v>32</v>
      </c>
      <c r="AG96" s="19">
        <f t="array" ref="AG96">DIASQUIEBRE(Q96:AB96)</f>
        <v>9</v>
      </c>
      <c r="AH96" s="19">
        <f t="array" ref="AH96">DiasMesesGris(Q96:AB96)</f>
        <v>210</v>
      </c>
      <c r="AI96" s="19">
        <f t="shared" si="9"/>
        <v>219</v>
      </c>
      <c r="AJ96" s="19">
        <f t="shared" si="10"/>
        <v>141</v>
      </c>
      <c r="AK96" s="20">
        <f t="shared" si="14"/>
        <v>75</v>
      </c>
      <c r="AL96" s="21">
        <f t="shared" si="11"/>
        <v>0.53191489361702127</v>
      </c>
    </row>
    <row r="97" spans="1:38" x14ac:dyDescent="0.25">
      <c r="A97" s="1" t="s">
        <v>141</v>
      </c>
      <c r="B97" s="1" t="s">
        <v>140</v>
      </c>
      <c r="C97" s="1"/>
      <c r="D97" s="8">
        <v>2</v>
      </c>
      <c r="E97" s="8">
        <v>3</v>
      </c>
      <c r="F97" s="8">
        <v>1</v>
      </c>
      <c r="G97" s="8">
        <v>1</v>
      </c>
      <c r="H97" s="3"/>
      <c r="I97" s="8">
        <v>1</v>
      </c>
      <c r="J97" s="3"/>
      <c r="K97" s="8">
        <v>2</v>
      </c>
      <c r="L97" s="8">
        <v>2</v>
      </c>
      <c r="M97" s="8">
        <v>4</v>
      </c>
      <c r="N97" s="8">
        <v>5</v>
      </c>
      <c r="O97" s="8">
        <v>2</v>
      </c>
      <c r="P97" s="3"/>
      <c r="Q97" s="4">
        <v>6.4500000000000002E-2</v>
      </c>
      <c r="R97" s="4">
        <v>0.1</v>
      </c>
      <c r="S97" s="4">
        <v>3.2300000000000002E-2</v>
      </c>
      <c r="T97" s="4">
        <v>3.3300000000000003E-2</v>
      </c>
      <c r="U97" s="4">
        <v>0</v>
      </c>
      <c r="V97" s="4">
        <v>3.2300000000000002E-2</v>
      </c>
      <c r="W97" s="4">
        <v>0</v>
      </c>
      <c r="X97" s="4">
        <v>6.4500000000000002E-2</v>
      </c>
      <c r="Y97" s="4">
        <v>6.6699999999999995E-2</v>
      </c>
      <c r="Z97" s="4">
        <v>0.129</v>
      </c>
      <c r="AA97" s="4">
        <v>0.16669999999999999</v>
      </c>
      <c r="AB97" s="4">
        <v>6.4500000000000002E-2</v>
      </c>
      <c r="AC97" s="10">
        <v>0</v>
      </c>
      <c r="AD97" s="4">
        <v>6.2799999999999995E-2</v>
      </c>
      <c r="AE97" s="4">
        <f t="shared" si="15"/>
        <v>8.1899999999999987E-2</v>
      </c>
      <c r="AF97" s="1" t="s">
        <v>35</v>
      </c>
      <c r="AG97" s="19">
        <f t="array" ref="AG97">DIASQUIEBRE(Q97:AB97)</f>
        <v>0</v>
      </c>
      <c r="AH97" s="19">
        <f t="array" ref="AH97">DiasMesesGris(Q97:AB97)</f>
        <v>0</v>
      </c>
      <c r="AI97" s="19">
        <f t="shared" si="9"/>
        <v>0</v>
      </c>
      <c r="AJ97" s="19">
        <f t="shared" si="10"/>
        <v>360</v>
      </c>
      <c r="AK97" s="20">
        <f t="shared" si="14"/>
        <v>23</v>
      </c>
      <c r="AL97" s="21">
        <f t="shared" si="11"/>
        <v>6.3888888888888884E-2</v>
      </c>
    </row>
    <row r="98" spans="1:38" x14ac:dyDescent="0.25">
      <c r="A98" s="1" t="s">
        <v>143</v>
      </c>
      <c r="B98" s="1" t="s">
        <v>142</v>
      </c>
      <c r="C98" s="1"/>
      <c r="D98" s="8">
        <v>13</v>
      </c>
      <c r="E98" s="8">
        <v>34</v>
      </c>
      <c r="F98" s="8">
        <v>10</v>
      </c>
      <c r="G98" s="8">
        <v>62</v>
      </c>
      <c r="H98" s="8">
        <v>5</v>
      </c>
      <c r="I98" s="3"/>
      <c r="J98" s="8">
        <v>18</v>
      </c>
      <c r="K98" s="8">
        <v>32</v>
      </c>
      <c r="L98" s="8">
        <v>27</v>
      </c>
      <c r="M98" s="8">
        <v>30</v>
      </c>
      <c r="N98" s="8">
        <v>8</v>
      </c>
      <c r="O98" s="8">
        <v>22</v>
      </c>
      <c r="P98" s="3"/>
      <c r="Q98" s="4">
        <v>0.4194</v>
      </c>
      <c r="R98" s="4">
        <v>1.1333</v>
      </c>
      <c r="S98" s="4">
        <v>0.3226</v>
      </c>
      <c r="T98" s="4">
        <v>2.0667</v>
      </c>
      <c r="U98" s="4">
        <v>0.1613</v>
      </c>
      <c r="V98" s="4">
        <v>0</v>
      </c>
      <c r="W98" s="4">
        <v>0.64290000000000003</v>
      </c>
      <c r="X98" s="4">
        <v>1.0323</v>
      </c>
      <c r="Y98" s="4">
        <v>0.9</v>
      </c>
      <c r="Z98" s="4">
        <v>0.9677</v>
      </c>
      <c r="AA98" s="4">
        <v>0.26669999999999999</v>
      </c>
      <c r="AB98" s="4">
        <v>0.7097</v>
      </c>
      <c r="AC98" s="10">
        <v>0</v>
      </c>
      <c r="AD98" s="4">
        <v>0.71860000000000002</v>
      </c>
      <c r="AE98" s="4">
        <f t="shared" si="15"/>
        <v>0.75321666666666676</v>
      </c>
      <c r="AF98" s="1" t="s">
        <v>32</v>
      </c>
      <c r="AG98" s="19">
        <f t="array" ref="AG98">DIASQUIEBRE(Q98:AB98)</f>
        <v>0</v>
      </c>
      <c r="AH98" s="19">
        <f t="array" ref="AH98">DiasMesesGris(Q98:AB98)</f>
        <v>0</v>
      </c>
      <c r="AI98" s="19">
        <f t="shared" si="9"/>
        <v>0</v>
      </c>
      <c r="AJ98" s="19">
        <f t="shared" si="10"/>
        <v>360</v>
      </c>
      <c r="AK98" s="20">
        <f t="shared" si="14"/>
        <v>261</v>
      </c>
      <c r="AL98" s="21">
        <f t="shared" si="11"/>
        <v>0.72499999999999998</v>
      </c>
    </row>
    <row r="99" spans="1:38" x14ac:dyDescent="0.25">
      <c r="A99" s="1" t="s">
        <v>145</v>
      </c>
      <c r="B99" s="1" t="s">
        <v>144</v>
      </c>
      <c r="C99" s="1"/>
      <c r="D99" s="3"/>
      <c r="E99" s="8">
        <v>14</v>
      </c>
      <c r="F99" s="8">
        <v>22</v>
      </c>
      <c r="G99" s="8">
        <v>90</v>
      </c>
      <c r="H99" s="8">
        <v>40</v>
      </c>
      <c r="I99" s="3"/>
      <c r="J99" s="3"/>
      <c r="K99" s="8">
        <v>22</v>
      </c>
      <c r="L99" s="8">
        <v>38</v>
      </c>
      <c r="M99" s="8">
        <v>26</v>
      </c>
      <c r="N99" s="8">
        <v>46</v>
      </c>
      <c r="O99" s="8">
        <v>36</v>
      </c>
      <c r="P99" s="3"/>
      <c r="Q99" s="4">
        <v>0</v>
      </c>
      <c r="R99" s="4">
        <v>0.4667</v>
      </c>
      <c r="S99" s="4">
        <v>0.7097</v>
      </c>
      <c r="T99" s="4">
        <v>3</v>
      </c>
      <c r="U99" s="9">
        <v>20</v>
      </c>
      <c r="V99" s="5">
        <v>0</v>
      </c>
      <c r="W99" s="5">
        <v>0</v>
      </c>
      <c r="X99" s="9">
        <v>1</v>
      </c>
      <c r="Y99" s="4">
        <v>1.2666999999999999</v>
      </c>
      <c r="Z99" s="4">
        <v>0.8387</v>
      </c>
      <c r="AA99" s="4">
        <v>1.5333000000000001</v>
      </c>
      <c r="AB99" s="9">
        <v>1.7142999999999999</v>
      </c>
      <c r="AC99" s="6">
        <v>0</v>
      </c>
      <c r="AD99" s="4">
        <v>1.1164000000000001</v>
      </c>
      <c r="AE99" s="4">
        <v>1.33</v>
      </c>
      <c r="AF99" s="1" t="s">
        <v>35</v>
      </c>
      <c r="AG99" s="19">
        <f t="array" ref="AG99">DIASQUIEBRE(Q99:AB99)</f>
        <v>48</v>
      </c>
      <c r="AH99" s="19">
        <f t="array" ref="AH99">DiasMesesGris(Q99:AB99)</f>
        <v>60</v>
      </c>
      <c r="AI99" s="19">
        <f t="shared" si="9"/>
        <v>108</v>
      </c>
      <c r="AJ99" s="19">
        <f t="shared" si="10"/>
        <v>252</v>
      </c>
      <c r="AK99" s="20">
        <f t="shared" si="14"/>
        <v>334</v>
      </c>
      <c r="AL99" s="21">
        <f t="shared" si="11"/>
        <v>1.3253968253968254</v>
      </c>
    </row>
    <row r="100" spans="1:38" x14ac:dyDescent="0.25">
      <c r="A100" s="1" t="s">
        <v>147</v>
      </c>
      <c r="B100" s="1" t="s">
        <v>146</v>
      </c>
      <c r="C100" s="1"/>
      <c r="D100" s="3"/>
      <c r="E100" s="8">
        <v>10</v>
      </c>
      <c r="F100" s="3"/>
      <c r="G100" s="3"/>
      <c r="H100" s="8">
        <v>7</v>
      </c>
      <c r="I100" s="3"/>
      <c r="J100" s="3"/>
      <c r="K100" s="3"/>
      <c r="L100" s="8">
        <v>1</v>
      </c>
      <c r="M100" s="3"/>
      <c r="N100" s="3"/>
      <c r="O100" s="3"/>
      <c r="P100" s="3"/>
      <c r="Q100" s="4">
        <v>0</v>
      </c>
      <c r="R100" s="4">
        <v>0.33329999999999999</v>
      </c>
      <c r="S100" s="4">
        <v>0</v>
      </c>
      <c r="T100" s="4">
        <v>0</v>
      </c>
      <c r="U100" s="9">
        <v>3.5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6">
        <v>0</v>
      </c>
      <c r="AD100" s="4">
        <v>8.3299999999999999E-2</v>
      </c>
      <c r="AE100" s="4">
        <f t="shared" ref="AE100:AE108" si="16">AVERAGE(W100:AB100)</f>
        <v>0</v>
      </c>
      <c r="AF100" s="1" t="s">
        <v>32</v>
      </c>
      <c r="AG100" s="19">
        <f t="array" ref="AG100">DIASQUIEBRE(Q100:AB100)</f>
        <v>29</v>
      </c>
      <c r="AH100" s="19">
        <f t="array" ref="AH100">DiasMesesGris(Q100:AB100)</f>
        <v>210</v>
      </c>
      <c r="AI100" s="19">
        <f t="shared" si="9"/>
        <v>239</v>
      </c>
      <c r="AJ100" s="19">
        <f t="shared" si="10"/>
        <v>121</v>
      </c>
      <c r="AK100" s="20">
        <f t="shared" si="14"/>
        <v>18</v>
      </c>
      <c r="AL100" s="21">
        <f t="shared" si="11"/>
        <v>0.1487603305785124</v>
      </c>
    </row>
    <row r="101" spans="1:38" x14ac:dyDescent="0.25">
      <c r="A101" s="1" t="s">
        <v>149</v>
      </c>
      <c r="B101" s="1" t="s">
        <v>148</v>
      </c>
      <c r="C101" s="1"/>
      <c r="D101" s="8">
        <v>1</v>
      </c>
      <c r="E101" s="8">
        <v>-15</v>
      </c>
      <c r="F101" s="8">
        <v>15</v>
      </c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5">
        <v>0</v>
      </c>
      <c r="R101" s="9">
        <v>-0.71430000000000005</v>
      </c>
      <c r="S101" s="9">
        <v>0.9375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6">
        <v>0</v>
      </c>
      <c r="AE101" s="4">
        <f t="shared" si="16"/>
        <v>0</v>
      </c>
      <c r="AF101" s="1" t="s">
        <v>32</v>
      </c>
      <c r="AG101" s="19">
        <f t="array" ref="AG101">DIASQUIEBRE(Q101:AB101)</f>
        <v>24</v>
      </c>
      <c r="AH101" s="19">
        <f t="array" ref="AH101">DiasMesesGris(Q101:AB101)</f>
        <v>300</v>
      </c>
      <c r="AI101" s="19">
        <f t="shared" si="9"/>
        <v>324</v>
      </c>
      <c r="AJ101" s="19">
        <f t="shared" si="10"/>
        <v>36</v>
      </c>
      <c r="AK101" s="20">
        <f t="shared" si="14"/>
        <v>1</v>
      </c>
      <c r="AL101" s="21">
        <f t="shared" si="11"/>
        <v>2.7777777777777776E-2</v>
      </c>
    </row>
    <row r="102" spans="1:38" x14ac:dyDescent="0.25">
      <c r="A102" s="1" t="s">
        <v>151</v>
      </c>
      <c r="B102" s="1" t="s">
        <v>150</v>
      </c>
      <c r="C102" s="1"/>
      <c r="D102" s="8">
        <v>40</v>
      </c>
      <c r="E102" s="8">
        <v>1</v>
      </c>
      <c r="F102" s="8">
        <v>13</v>
      </c>
      <c r="G102" s="8">
        <v>33</v>
      </c>
      <c r="H102" s="8">
        <v>21</v>
      </c>
      <c r="I102" s="3"/>
      <c r="J102" s="3"/>
      <c r="K102" s="8">
        <v>1</v>
      </c>
      <c r="L102" s="3"/>
      <c r="M102" s="3"/>
      <c r="N102" s="3"/>
      <c r="O102" s="8">
        <v>1</v>
      </c>
      <c r="P102" s="3"/>
      <c r="Q102" s="4">
        <v>1.2903</v>
      </c>
      <c r="R102" s="4">
        <v>3.3300000000000003E-2</v>
      </c>
      <c r="S102" s="4">
        <v>0.4194</v>
      </c>
      <c r="T102" s="4">
        <v>1.1000000000000001</v>
      </c>
      <c r="U102" s="9">
        <v>10.5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6">
        <v>0</v>
      </c>
      <c r="AD102" s="4">
        <v>0.71079999999999999</v>
      </c>
      <c r="AE102" s="4">
        <f t="shared" si="16"/>
        <v>0</v>
      </c>
      <c r="AF102" s="1" t="s">
        <v>32</v>
      </c>
      <c r="AG102" s="19">
        <f t="array" ref="AG102">DIASQUIEBRE(Q102:AB102)</f>
        <v>29</v>
      </c>
      <c r="AH102" s="19">
        <f t="array" ref="AH102">DiasMesesGris(Q102:AB102)</f>
        <v>210</v>
      </c>
      <c r="AI102" s="19">
        <f t="shared" si="9"/>
        <v>239</v>
      </c>
      <c r="AJ102" s="19">
        <f t="shared" si="10"/>
        <v>121</v>
      </c>
      <c r="AK102" s="20">
        <f t="shared" si="14"/>
        <v>110</v>
      </c>
      <c r="AL102" s="21">
        <f t="shared" si="11"/>
        <v>0.90909090909090906</v>
      </c>
    </row>
    <row r="103" spans="1:38" x14ac:dyDescent="0.25">
      <c r="A103" s="1" t="s">
        <v>153</v>
      </c>
      <c r="B103" s="1" t="s">
        <v>152</v>
      </c>
      <c r="C103" s="1"/>
      <c r="D103" s="8">
        <v>19</v>
      </c>
      <c r="E103" s="8">
        <v>44</v>
      </c>
      <c r="F103" s="8">
        <v>28</v>
      </c>
      <c r="G103" s="8">
        <v>20</v>
      </c>
      <c r="H103" s="8">
        <v>62</v>
      </c>
      <c r="I103" s="8">
        <v>87</v>
      </c>
      <c r="J103" s="8">
        <v>15</v>
      </c>
      <c r="K103" s="8">
        <v>12</v>
      </c>
      <c r="L103" s="8">
        <v>51</v>
      </c>
      <c r="M103" s="8">
        <v>48</v>
      </c>
      <c r="N103" s="8">
        <v>32</v>
      </c>
      <c r="O103" s="8">
        <v>22</v>
      </c>
      <c r="P103" s="3"/>
      <c r="Q103" s="4">
        <v>0.6129</v>
      </c>
      <c r="R103" s="4">
        <v>1.4666999999999999</v>
      </c>
      <c r="S103" s="4">
        <v>0.9032</v>
      </c>
      <c r="T103" s="4">
        <v>0.66669999999999996</v>
      </c>
      <c r="U103" s="4">
        <v>2</v>
      </c>
      <c r="V103" s="4">
        <v>2.8065000000000002</v>
      </c>
      <c r="W103" s="4">
        <v>0.53569999999999995</v>
      </c>
      <c r="X103" s="4">
        <v>0.3871</v>
      </c>
      <c r="Y103" s="4">
        <v>1.7</v>
      </c>
      <c r="Z103" s="4">
        <v>1.5484</v>
      </c>
      <c r="AA103" s="4">
        <v>1.0667</v>
      </c>
      <c r="AB103" s="4">
        <v>0.7097</v>
      </c>
      <c r="AC103" s="10">
        <v>0</v>
      </c>
      <c r="AD103" s="4">
        <v>1.2002999999999999</v>
      </c>
      <c r="AE103" s="4">
        <f t="shared" si="16"/>
        <v>0.99126666666666663</v>
      </c>
      <c r="AF103" s="1" t="s">
        <v>35</v>
      </c>
      <c r="AG103" s="19">
        <f t="array" ref="AG103">DIASQUIEBRE(Q103:AB103)</f>
        <v>0</v>
      </c>
      <c r="AH103" s="19">
        <f t="array" ref="AH103">DiasMesesGris(Q103:AB103)</f>
        <v>0</v>
      </c>
      <c r="AI103" s="19">
        <f t="shared" si="9"/>
        <v>0</v>
      </c>
      <c r="AJ103" s="19">
        <f t="shared" si="10"/>
        <v>360</v>
      </c>
      <c r="AK103" s="20">
        <f t="shared" si="14"/>
        <v>440</v>
      </c>
      <c r="AL103" s="21">
        <f t="shared" si="11"/>
        <v>1.2222222222222223</v>
      </c>
    </row>
    <row r="104" spans="1:38" x14ac:dyDescent="0.25">
      <c r="A104" s="1" t="s">
        <v>161</v>
      </c>
      <c r="B104" s="1" t="s">
        <v>160</v>
      </c>
      <c r="C104" s="1"/>
      <c r="D104" s="8">
        <v>10</v>
      </c>
      <c r="E104" s="8">
        <v>17</v>
      </c>
      <c r="F104" s="8">
        <v>36</v>
      </c>
      <c r="G104" s="8">
        <v>24</v>
      </c>
      <c r="H104" s="8">
        <v>28</v>
      </c>
      <c r="I104" s="8">
        <v>21</v>
      </c>
      <c r="J104" s="8">
        <v>20</v>
      </c>
      <c r="K104" s="8">
        <v>39</v>
      </c>
      <c r="L104" s="8">
        <v>9</v>
      </c>
      <c r="M104" s="8">
        <v>36</v>
      </c>
      <c r="N104" s="8">
        <v>21</v>
      </c>
      <c r="O104" s="8">
        <v>38</v>
      </c>
      <c r="P104" s="3"/>
      <c r="Q104" s="4">
        <v>0.3226</v>
      </c>
      <c r="R104" s="4">
        <v>0.56669999999999998</v>
      </c>
      <c r="S104" s="4">
        <v>1.1613</v>
      </c>
      <c r="T104" s="4">
        <v>0.8</v>
      </c>
      <c r="U104" s="4">
        <v>0.9032</v>
      </c>
      <c r="V104" s="4">
        <v>0.6774</v>
      </c>
      <c r="W104" s="4">
        <v>0.71430000000000005</v>
      </c>
      <c r="X104" s="4">
        <v>1.2581</v>
      </c>
      <c r="Y104" s="4">
        <v>0.3</v>
      </c>
      <c r="Z104" s="4">
        <v>1.1613</v>
      </c>
      <c r="AA104" s="4">
        <v>0.7</v>
      </c>
      <c r="AB104" s="4">
        <v>1.2258</v>
      </c>
      <c r="AC104" s="10">
        <v>0</v>
      </c>
      <c r="AD104" s="4">
        <v>0.81589999999999996</v>
      </c>
      <c r="AE104" s="4">
        <f t="shared" si="16"/>
        <v>0.8932500000000001</v>
      </c>
      <c r="AF104" s="1" t="s">
        <v>35</v>
      </c>
      <c r="AG104" s="19">
        <f t="array" ref="AG104">DIASQUIEBRE(Q104:AB104)</f>
        <v>0</v>
      </c>
      <c r="AH104" s="19">
        <f t="array" ref="AH104">DiasMesesGris(Q104:AB104)</f>
        <v>0</v>
      </c>
      <c r="AI104" s="19">
        <f t="shared" si="9"/>
        <v>0</v>
      </c>
      <c r="AJ104" s="19">
        <f t="shared" si="10"/>
        <v>360</v>
      </c>
      <c r="AK104" s="20">
        <f t="shared" si="14"/>
        <v>299</v>
      </c>
      <c r="AL104" s="21">
        <f t="shared" si="11"/>
        <v>0.8305555555555556</v>
      </c>
    </row>
    <row r="105" spans="1:38" x14ac:dyDescent="0.25">
      <c r="A105" s="1" t="s">
        <v>163</v>
      </c>
      <c r="B105" s="1" t="s">
        <v>162</v>
      </c>
      <c r="C105" s="1"/>
      <c r="D105" s="8">
        <v>4</v>
      </c>
      <c r="E105" s="8">
        <v>1</v>
      </c>
      <c r="F105" s="3"/>
      <c r="G105" s="8">
        <v>8</v>
      </c>
      <c r="H105" s="8">
        <v>2</v>
      </c>
      <c r="I105" s="8">
        <v>2</v>
      </c>
      <c r="J105" s="8">
        <v>2</v>
      </c>
      <c r="K105" s="8">
        <v>11</v>
      </c>
      <c r="L105" s="3"/>
      <c r="M105" s="3"/>
      <c r="N105" s="3"/>
      <c r="O105" s="3"/>
      <c r="P105" s="3"/>
      <c r="Q105" s="4">
        <v>0.129</v>
      </c>
      <c r="R105" s="4">
        <v>3.3300000000000003E-2</v>
      </c>
      <c r="S105" s="4">
        <v>0</v>
      </c>
      <c r="T105" s="4">
        <v>0.26669999999999999</v>
      </c>
      <c r="U105" s="4">
        <v>6.4500000000000002E-2</v>
      </c>
      <c r="V105" s="4">
        <v>6.4500000000000002E-2</v>
      </c>
      <c r="W105" s="4">
        <v>7.1400000000000005E-2</v>
      </c>
      <c r="X105" s="4">
        <v>0.3548</v>
      </c>
      <c r="Y105" s="4">
        <v>0</v>
      </c>
      <c r="Z105" s="4">
        <v>0</v>
      </c>
      <c r="AA105" s="4">
        <v>0</v>
      </c>
      <c r="AB105" s="4">
        <v>0</v>
      </c>
      <c r="AC105" s="10">
        <v>0</v>
      </c>
      <c r="AD105" s="4">
        <v>8.2000000000000003E-2</v>
      </c>
      <c r="AE105" s="4">
        <f t="shared" si="16"/>
        <v>7.1033333333333337E-2</v>
      </c>
      <c r="AF105" s="1" t="s">
        <v>35</v>
      </c>
      <c r="AG105" s="19">
        <f t="array" ref="AG105">DIASQUIEBRE(Q105:AB105)</f>
        <v>0</v>
      </c>
      <c r="AH105" s="19">
        <f t="array" ref="AH105">DiasMesesGris(Q105:AB105)</f>
        <v>0</v>
      </c>
      <c r="AI105" s="19">
        <f t="shared" si="9"/>
        <v>0</v>
      </c>
      <c r="AJ105" s="19">
        <f t="shared" si="10"/>
        <v>360</v>
      </c>
      <c r="AK105" s="20">
        <f t="shared" si="14"/>
        <v>30</v>
      </c>
      <c r="AL105" s="21">
        <f t="shared" si="11"/>
        <v>8.3333333333333329E-2</v>
      </c>
    </row>
    <row r="106" spans="1:38" x14ac:dyDescent="0.25">
      <c r="A106" s="1" t="s">
        <v>165</v>
      </c>
      <c r="B106" s="1" t="s">
        <v>164</v>
      </c>
      <c r="C106" s="1"/>
      <c r="D106" s="3"/>
      <c r="E106" s="3"/>
      <c r="F106" s="3"/>
      <c r="G106" s="3"/>
      <c r="H106" s="8">
        <v>3</v>
      </c>
      <c r="I106" s="3"/>
      <c r="J106" s="3"/>
      <c r="K106" s="8">
        <v>1</v>
      </c>
      <c r="L106" s="3"/>
      <c r="M106" s="8">
        <v>2</v>
      </c>
      <c r="N106" s="3"/>
      <c r="O106" s="3"/>
      <c r="P106" s="3"/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6">
        <v>0</v>
      </c>
      <c r="AE106" s="4">
        <f t="shared" si="16"/>
        <v>0</v>
      </c>
      <c r="AF106" s="1" t="s">
        <v>35</v>
      </c>
      <c r="AG106" s="19">
        <f t="array" ref="AG106">DIASQUIEBRE(Q106:AB106)</f>
        <v>0</v>
      </c>
      <c r="AH106" s="19">
        <f t="array" ref="AH106">DiasMesesGris(Q106:AB106)</f>
        <v>360</v>
      </c>
      <c r="AI106" s="19">
        <f t="shared" si="9"/>
        <v>360</v>
      </c>
      <c r="AJ106" s="19">
        <f t="shared" si="10"/>
        <v>0</v>
      </c>
      <c r="AK106" s="20">
        <f t="shared" si="14"/>
        <v>6</v>
      </c>
      <c r="AL106" s="21">
        <f t="shared" si="11"/>
        <v>0</v>
      </c>
    </row>
    <row r="107" spans="1:38" x14ac:dyDescent="0.25">
      <c r="A107" s="1" t="s">
        <v>167</v>
      </c>
      <c r="B107" s="1" t="s">
        <v>166</v>
      </c>
      <c r="C107" s="1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6">
        <v>0</v>
      </c>
      <c r="AE107" s="4">
        <f t="shared" si="16"/>
        <v>0</v>
      </c>
      <c r="AF107" s="1" t="s">
        <v>35</v>
      </c>
      <c r="AG107" s="19">
        <f t="array" ref="AG107">DIASQUIEBRE(Q107:AB107)</f>
        <v>0</v>
      </c>
      <c r="AH107" s="19">
        <f t="array" ref="AH107">DiasMesesGris(Q107:AB107)</f>
        <v>360</v>
      </c>
      <c r="AI107" s="19">
        <f t="shared" si="9"/>
        <v>360</v>
      </c>
      <c r="AJ107" s="19">
        <f t="shared" si="10"/>
        <v>0</v>
      </c>
      <c r="AK107" s="20">
        <f t="shared" si="14"/>
        <v>0</v>
      </c>
      <c r="AL107" s="21">
        <f t="shared" si="11"/>
        <v>0</v>
      </c>
    </row>
    <row r="108" spans="1:38" x14ac:dyDescent="0.25">
      <c r="A108" s="1" t="s">
        <v>169</v>
      </c>
      <c r="B108" s="1" t="s">
        <v>168</v>
      </c>
      <c r="C108" s="1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6">
        <v>0</v>
      </c>
      <c r="AE108" s="4">
        <f t="shared" si="16"/>
        <v>0</v>
      </c>
      <c r="AF108" s="1" t="s">
        <v>35</v>
      </c>
      <c r="AG108" s="19">
        <f t="array" ref="AG108">DIASQUIEBRE(Q108:AB108)</f>
        <v>0</v>
      </c>
      <c r="AH108" s="19">
        <f t="array" ref="AH108">DiasMesesGris(Q108:AB108)</f>
        <v>360</v>
      </c>
      <c r="AI108" s="19">
        <f t="shared" si="9"/>
        <v>360</v>
      </c>
      <c r="AJ108" s="19">
        <f t="shared" si="10"/>
        <v>0</v>
      </c>
      <c r="AK108" s="20">
        <f t="shared" si="14"/>
        <v>0</v>
      </c>
      <c r="AL108" s="21">
        <f t="shared" si="11"/>
        <v>0</v>
      </c>
    </row>
    <row r="109" spans="1:38" x14ac:dyDescent="0.25">
      <c r="A109" s="1" t="s">
        <v>171</v>
      </c>
      <c r="B109" s="1" t="s">
        <v>170</v>
      </c>
      <c r="C109" s="1"/>
      <c r="D109" s="8">
        <v>20</v>
      </c>
      <c r="E109" s="8">
        <v>50</v>
      </c>
      <c r="F109" s="8">
        <v>29</v>
      </c>
      <c r="G109" s="8">
        <v>20</v>
      </c>
      <c r="H109" s="8">
        <v>20</v>
      </c>
      <c r="I109" s="8">
        <v>38</v>
      </c>
      <c r="J109" s="8">
        <v>6</v>
      </c>
      <c r="K109" s="8">
        <v>52</v>
      </c>
      <c r="L109" s="8">
        <v>25</v>
      </c>
      <c r="M109" s="8">
        <v>8</v>
      </c>
      <c r="N109" s="8">
        <v>26</v>
      </c>
      <c r="O109" s="8">
        <v>43</v>
      </c>
      <c r="P109" s="3"/>
      <c r="Q109" s="4">
        <v>0.6452</v>
      </c>
      <c r="R109" s="4">
        <v>1.6667000000000001</v>
      </c>
      <c r="S109" s="4">
        <v>0.9355</v>
      </c>
      <c r="T109" s="4">
        <v>0.66669999999999996</v>
      </c>
      <c r="U109" s="4">
        <v>0.6452</v>
      </c>
      <c r="V109" s="4">
        <v>1.2258</v>
      </c>
      <c r="W109" s="4">
        <v>0.21429999999999999</v>
      </c>
      <c r="X109" s="4">
        <v>1.6774</v>
      </c>
      <c r="Y109" s="4">
        <v>0.83330000000000004</v>
      </c>
      <c r="Z109" s="4">
        <v>0.2581</v>
      </c>
      <c r="AA109" s="4">
        <v>0.86670000000000003</v>
      </c>
      <c r="AB109" s="4">
        <v>1.3871</v>
      </c>
      <c r="AC109" s="10">
        <v>0</v>
      </c>
      <c r="AD109" s="4">
        <v>0.91849999999999998</v>
      </c>
      <c r="AE109" s="4">
        <v>0.92</v>
      </c>
      <c r="AF109" s="1" t="s">
        <v>35</v>
      </c>
      <c r="AG109" s="19">
        <f t="array" ref="AG109">DIASQUIEBRE(Q109:AB109)</f>
        <v>0</v>
      </c>
      <c r="AH109" s="19">
        <f t="array" ref="AH109">DiasMesesGris(Q109:AB109)</f>
        <v>0</v>
      </c>
      <c r="AI109" s="19">
        <f t="shared" si="9"/>
        <v>0</v>
      </c>
      <c r="AJ109" s="19">
        <f t="shared" si="10"/>
        <v>360</v>
      </c>
      <c r="AK109" s="20">
        <f t="shared" si="14"/>
        <v>337</v>
      </c>
      <c r="AL109" s="21">
        <f t="shared" si="11"/>
        <v>0.93611111111111112</v>
      </c>
    </row>
    <row r="110" spans="1:38" x14ac:dyDescent="0.25">
      <c r="A110" s="1" t="s">
        <v>173</v>
      </c>
      <c r="B110" s="1" t="s">
        <v>172</v>
      </c>
      <c r="C110" s="1"/>
      <c r="D110" s="8">
        <v>2</v>
      </c>
      <c r="E110" s="8">
        <v>64</v>
      </c>
      <c r="F110" s="8">
        <v>24</v>
      </c>
      <c r="G110" s="8">
        <v>20</v>
      </c>
      <c r="H110" s="8">
        <v>43</v>
      </c>
      <c r="I110" s="8">
        <v>80</v>
      </c>
      <c r="J110" s="8">
        <v>12</v>
      </c>
      <c r="K110" s="8">
        <v>38</v>
      </c>
      <c r="L110" s="8">
        <v>23</v>
      </c>
      <c r="M110" s="8">
        <v>3</v>
      </c>
      <c r="N110" s="8">
        <v>25</v>
      </c>
      <c r="O110" s="8">
        <v>31</v>
      </c>
      <c r="P110" s="3"/>
      <c r="Q110" s="5">
        <v>0</v>
      </c>
      <c r="R110" s="9">
        <v>2.2856999999999998</v>
      </c>
      <c r="S110" s="4">
        <v>0.7742</v>
      </c>
      <c r="T110" s="4">
        <v>0.66669999999999996</v>
      </c>
      <c r="U110" s="4">
        <v>1.3871</v>
      </c>
      <c r="V110" s="4">
        <v>2.5806</v>
      </c>
      <c r="W110" s="4">
        <v>0.42859999999999998</v>
      </c>
      <c r="X110" s="4">
        <v>1.2258</v>
      </c>
      <c r="Y110" s="4">
        <v>0.76670000000000005</v>
      </c>
      <c r="Z110" s="4">
        <v>9.6799999999999997E-2</v>
      </c>
      <c r="AA110" s="4">
        <v>0.83330000000000004</v>
      </c>
      <c r="AB110" s="9">
        <v>1.069</v>
      </c>
      <c r="AC110" s="6">
        <v>0</v>
      </c>
      <c r="AD110" s="4">
        <v>0.97330000000000005</v>
      </c>
      <c r="AE110" s="4">
        <v>1</v>
      </c>
      <c r="AF110" s="1" t="s">
        <v>35</v>
      </c>
      <c r="AG110" s="19">
        <f t="array" ref="AG110">DIASQUIEBRE(Q110:AB110)</f>
        <v>4</v>
      </c>
      <c r="AH110" s="19">
        <f t="array" ref="AH110">DiasMesesGris(Q110:AB110)</f>
        <v>30</v>
      </c>
      <c r="AI110" s="19">
        <f t="shared" si="9"/>
        <v>34</v>
      </c>
      <c r="AJ110" s="19">
        <f t="shared" si="10"/>
        <v>326</v>
      </c>
      <c r="AK110" s="20">
        <f t="shared" si="14"/>
        <v>365</v>
      </c>
      <c r="AL110" s="21">
        <f t="shared" si="11"/>
        <v>1.1196319018404908</v>
      </c>
    </row>
    <row r="111" spans="1:38" x14ac:dyDescent="0.25">
      <c r="A111" s="1" t="s">
        <v>175</v>
      </c>
      <c r="B111" s="1" t="s">
        <v>174</v>
      </c>
      <c r="C111" s="1"/>
      <c r="D111" s="8">
        <v>100</v>
      </c>
      <c r="E111" s="8">
        <v>11</v>
      </c>
      <c r="F111" s="8">
        <v>1</v>
      </c>
      <c r="G111" s="8">
        <v>2</v>
      </c>
      <c r="H111" s="3"/>
      <c r="I111" s="8">
        <v>20</v>
      </c>
      <c r="J111" s="8">
        <v>10</v>
      </c>
      <c r="K111" s="8">
        <v>14</v>
      </c>
      <c r="L111" s="8">
        <v>5</v>
      </c>
      <c r="M111" s="8">
        <v>16</v>
      </c>
      <c r="N111" s="8">
        <v>10</v>
      </c>
      <c r="O111" s="8">
        <v>29</v>
      </c>
      <c r="P111" s="3"/>
      <c r="Q111" s="4">
        <v>3.2258</v>
      </c>
      <c r="R111" s="4">
        <v>0.36670000000000003</v>
      </c>
      <c r="S111" s="9">
        <v>7.1400000000000005E-2</v>
      </c>
      <c r="T111" s="5">
        <v>0</v>
      </c>
      <c r="U111" s="5">
        <v>0</v>
      </c>
      <c r="V111" s="9">
        <v>0.86960000000000004</v>
      </c>
      <c r="W111" s="4">
        <v>0.35709999999999997</v>
      </c>
      <c r="X111" s="4">
        <v>0.4516</v>
      </c>
      <c r="Y111" s="4">
        <v>0.16669999999999999</v>
      </c>
      <c r="Z111" s="4">
        <v>0.5161</v>
      </c>
      <c r="AA111" s="4">
        <v>0.33329999999999999</v>
      </c>
      <c r="AB111" s="4">
        <v>0.9355</v>
      </c>
      <c r="AC111" s="10">
        <v>0</v>
      </c>
      <c r="AD111" s="4">
        <v>0.79410000000000003</v>
      </c>
      <c r="AE111" s="4">
        <v>0.52</v>
      </c>
      <c r="AF111" s="1" t="s">
        <v>35</v>
      </c>
      <c r="AG111" s="19">
        <f t="array" ref="AG111">DIASQUIEBRE(Q111:AB111)</f>
        <v>25</v>
      </c>
      <c r="AH111" s="19">
        <f t="array" ref="AH111">DiasMesesGris(Q111:AB111)</f>
        <v>60</v>
      </c>
      <c r="AI111" s="19">
        <f t="shared" si="9"/>
        <v>85</v>
      </c>
      <c r="AJ111" s="19">
        <f t="shared" si="10"/>
        <v>275</v>
      </c>
      <c r="AK111" s="20">
        <f t="shared" si="14"/>
        <v>218</v>
      </c>
      <c r="AL111" s="21">
        <f t="shared" si="11"/>
        <v>0.79272727272727272</v>
      </c>
    </row>
    <row r="112" spans="1:38" x14ac:dyDescent="0.25">
      <c r="A112" s="1" t="s">
        <v>177</v>
      </c>
      <c r="B112" s="1" t="s">
        <v>176</v>
      </c>
      <c r="C112" s="1"/>
      <c r="D112" s="8">
        <v>8</v>
      </c>
      <c r="E112" s="8">
        <v>9</v>
      </c>
      <c r="F112" s="8">
        <v>8</v>
      </c>
      <c r="G112" s="8">
        <v>22</v>
      </c>
      <c r="H112" s="8">
        <v>8</v>
      </c>
      <c r="I112" s="8">
        <v>10</v>
      </c>
      <c r="J112" s="8">
        <v>4</v>
      </c>
      <c r="K112" s="3"/>
      <c r="L112" s="3"/>
      <c r="M112" s="3"/>
      <c r="N112" s="3"/>
      <c r="O112" s="3"/>
      <c r="P112" s="3"/>
      <c r="Q112" s="4">
        <v>0.2581</v>
      </c>
      <c r="R112" s="4">
        <v>0.3</v>
      </c>
      <c r="S112" s="4">
        <v>0.2581</v>
      </c>
      <c r="T112" s="4">
        <v>0.73329999999999995</v>
      </c>
      <c r="U112" s="4">
        <v>0.2581</v>
      </c>
      <c r="V112" s="4">
        <v>0.3226</v>
      </c>
      <c r="W112" s="9">
        <v>0.5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6">
        <v>0</v>
      </c>
      <c r="AD112" s="4">
        <v>0.35499999999999998</v>
      </c>
      <c r="AE112" s="4">
        <v>0</v>
      </c>
      <c r="AF112" s="1" t="s">
        <v>32</v>
      </c>
      <c r="AG112" s="19">
        <f t="array" ref="AG112">DIASQUIEBRE(Q112:AB112)</f>
        <v>20</v>
      </c>
      <c r="AH112" s="19">
        <f t="array" ref="AH112">DiasMesesGris(Q112:AB112)</f>
        <v>150</v>
      </c>
      <c r="AI112" s="19">
        <f t="shared" si="9"/>
        <v>170</v>
      </c>
      <c r="AJ112" s="19">
        <f t="shared" si="10"/>
        <v>190</v>
      </c>
      <c r="AK112" s="20">
        <f t="shared" si="14"/>
        <v>69</v>
      </c>
      <c r="AL112" s="21">
        <f t="shared" si="11"/>
        <v>0.36315789473684212</v>
      </c>
    </row>
    <row r="113" spans="1:38" x14ac:dyDescent="0.25">
      <c r="A113" s="1" t="s">
        <v>179</v>
      </c>
      <c r="B113" s="1" t="s">
        <v>178</v>
      </c>
      <c r="C113" s="1"/>
      <c r="D113" s="8">
        <v>25</v>
      </c>
      <c r="E113" s="8">
        <v>26</v>
      </c>
      <c r="F113" s="8">
        <v>19</v>
      </c>
      <c r="G113" s="8">
        <v>65</v>
      </c>
      <c r="H113" s="8">
        <v>38</v>
      </c>
      <c r="I113" s="8">
        <v>43</v>
      </c>
      <c r="J113" s="8">
        <v>23</v>
      </c>
      <c r="K113" s="8">
        <v>43</v>
      </c>
      <c r="L113" s="8">
        <v>10</v>
      </c>
      <c r="M113" s="8">
        <v>40</v>
      </c>
      <c r="N113" s="8">
        <v>57</v>
      </c>
      <c r="O113" s="8">
        <v>34</v>
      </c>
      <c r="P113" s="3"/>
      <c r="Q113" s="4">
        <v>0.80649999999999999</v>
      </c>
      <c r="R113" s="4">
        <v>0.86670000000000003</v>
      </c>
      <c r="S113" s="4">
        <v>0.6129</v>
      </c>
      <c r="T113" s="4">
        <v>2.1667000000000001</v>
      </c>
      <c r="U113" s="4">
        <v>1.2258</v>
      </c>
      <c r="V113" s="4">
        <v>1.3871</v>
      </c>
      <c r="W113" s="4">
        <v>0.82140000000000002</v>
      </c>
      <c r="X113" s="4">
        <v>1.3871</v>
      </c>
      <c r="Y113" s="4">
        <v>0.33329999999999999</v>
      </c>
      <c r="Z113" s="4">
        <v>1.2903</v>
      </c>
      <c r="AA113" s="4">
        <v>1.9</v>
      </c>
      <c r="AB113" s="4">
        <v>1.0968</v>
      </c>
      <c r="AC113" s="10">
        <v>0</v>
      </c>
      <c r="AD113" s="4">
        <v>1.1578999999999999</v>
      </c>
      <c r="AE113" s="4">
        <v>1.18</v>
      </c>
      <c r="AF113" s="1" t="s">
        <v>35</v>
      </c>
      <c r="AG113" s="19">
        <f t="array" ref="AG113">DIASQUIEBRE(Q113:AB113)</f>
        <v>0</v>
      </c>
      <c r="AH113" s="19">
        <f t="array" ref="AH113">DiasMesesGris(Q113:AB113)</f>
        <v>0</v>
      </c>
      <c r="AI113" s="19">
        <f t="shared" si="9"/>
        <v>0</v>
      </c>
      <c r="AJ113" s="19">
        <f t="shared" si="10"/>
        <v>360</v>
      </c>
      <c r="AK113" s="20">
        <f t="shared" si="14"/>
        <v>423</v>
      </c>
      <c r="AL113" s="21">
        <f t="shared" si="11"/>
        <v>1.175</v>
      </c>
    </row>
    <row r="114" spans="1:38" x14ac:dyDescent="0.25">
      <c r="A114" s="1" t="s">
        <v>181</v>
      </c>
      <c r="B114" s="1" t="s">
        <v>180</v>
      </c>
      <c r="C114" s="1"/>
      <c r="D114" s="8">
        <v>16</v>
      </c>
      <c r="E114" s="8">
        <v>4</v>
      </c>
      <c r="F114" s="8">
        <v>26</v>
      </c>
      <c r="G114" s="8">
        <v>54</v>
      </c>
      <c r="H114" s="8">
        <v>12</v>
      </c>
      <c r="I114" s="8">
        <v>16</v>
      </c>
      <c r="J114" s="8">
        <v>4</v>
      </c>
      <c r="K114" s="8">
        <v>26</v>
      </c>
      <c r="L114" s="8">
        <v>10</v>
      </c>
      <c r="M114" s="8">
        <v>20</v>
      </c>
      <c r="N114" s="8">
        <v>18</v>
      </c>
      <c r="O114" s="8">
        <v>8</v>
      </c>
      <c r="P114" s="3"/>
      <c r="Q114" s="4">
        <v>0.5161</v>
      </c>
      <c r="R114" s="4">
        <v>0.1333</v>
      </c>
      <c r="S114" s="4">
        <v>0.8387</v>
      </c>
      <c r="T114" s="4">
        <v>1.8</v>
      </c>
      <c r="U114" s="4">
        <v>0.3871</v>
      </c>
      <c r="V114" s="4">
        <v>0.5161</v>
      </c>
      <c r="W114" s="4">
        <v>0.1429</v>
      </c>
      <c r="X114" s="4">
        <v>0.8387</v>
      </c>
      <c r="Y114" s="4">
        <v>0.33329999999999999</v>
      </c>
      <c r="Z114" s="4">
        <v>0.6452</v>
      </c>
      <c r="AA114" s="4">
        <v>0.6</v>
      </c>
      <c r="AB114" s="4">
        <v>0.2581</v>
      </c>
      <c r="AC114" s="10">
        <v>0</v>
      </c>
      <c r="AD114" s="4">
        <v>0.58409999999999995</v>
      </c>
      <c r="AE114" s="4">
        <f>AVERAGE(W114:AB114)</f>
        <v>0.46970000000000001</v>
      </c>
      <c r="AF114" s="1" t="s">
        <v>35</v>
      </c>
      <c r="AG114" s="19">
        <f t="array" ref="AG114">DIASQUIEBRE(Q114:AB114)</f>
        <v>0</v>
      </c>
      <c r="AH114" s="19">
        <f t="array" ref="AH114">DiasMesesGris(Q114:AB114)</f>
        <v>0</v>
      </c>
      <c r="AI114" s="19">
        <f t="shared" si="9"/>
        <v>0</v>
      </c>
      <c r="AJ114" s="19">
        <f t="shared" si="10"/>
        <v>360</v>
      </c>
      <c r="AK114" s="20">
        <f t="shared" si="14"/>
        <v>214</v>
      </c>
      <c r="AL114" s="21">
        <f t="shared" si="11"/>
        <v>0.59444444444444444</v>
      </c>
    </row>
    <row r="115" spans="1:38" x14ac:dyDescent="0.25">
      <c r="A115" s="1" t="s">
        <v>183</v>
      </c>
      <c r="B115" s="1" t="s">
        <v>182</v>
      </c>
      <c r="C115" s="1"/>
      <c r="D115" s="3"/>
      <c r="E115" s="3"/>
      <c r="F115" s="8">
        <v>16</v>
      </c>
      <c r="G115" s="8">
        <v>5</v>
      </c>
      <c r="H115" s="8">
        <v>13</v>
      </c>
      <c r="I115" s="8">
        <v>3</v>
      </c>
      <c r="J115" s="8">
        <v>5</v>
      </c>
      <c r="K115" s="8">
        <v>10</v>
      </c>
      <c r="L115" s="8">
        <v>5</v>
      </c>
      <c r="M115" s="3"/>
      <c r="N115" s="8">
        <v>16</v>
      </c>
      <c r="O115" s="3"/>
      <c r="P115" s="3"/>
      <c r="Q115" s="4">
        <v>0</v>
      </c>
      <c r="R115" s="4">
        <v>0</v>
      </c>
      <c r="S115" s="4">
        <v>0.5161</v>
      </c>
      <c r="T115" s="4">
        <v>0.16669999999999999</v>
      </c>
      <c r="U115" s="4">
        <v>0.4194</v>
      </c>
      <c r="V115" s="4">
        <v>9.6799999999999997E-2</v>
      </c>
      <c r="W115" s="4">
        <v>0.17860000000000001</v>
      </c>
      <c r="X115" s="4">
        <v>0.3226</v>
      </c>
      <c r="Y115" s="4">
        <v>0.16669999999999999</v>
      </c>
      <c r="Z115" s="4">
        <v>0</v>
      </c>
      <c r="AA115" s="9">
        <v>1.1429</v>
      </c>
      <c r="AB115" s="5">
        <v>0</v>
      </c>
      <c r="AC115" s="6">
        <v>0</v>
      </c>
      <c r="AD115" s="4">
        <v>0.1867</v>
      </c>
      <c r="AE115" s="4">
        <v>0.23</v>
      </c>
      <c r="AF115" s="1" t="s">
        <v>35</v>
      </c>
      <c r="AG115" s="19">
        <f t="array" ref="AG115">DIASQUIEBRE(Q115:AB115)</f>
        <v>16</v>
      </c>
      <c r="AH115" s="19">
        <f t="array" ref="AH115">DiasMesesGris(Q115:AB115)</f>
        <v>30</v>
      </c>
      <c r="AI115" s="19">
        <f t="shared" si="9"/>
        <v>46</v>
      </c>
      <c r="AJ115" s="19">
        <f t="shared" si="10"/>
        <v>314</v>
      </c>
      <c r="AK115" s="20">
        <f t="shared" si="14"/>
        <v>73</v>
      </c>
      <c r="AL115" s="21">
        <f t="shared" si="11"/>
        <v>0.23248407643312102</v>
      </c>
    </row>
    <row r="116" spans="1:38" x14ac:dyDescent="0.25">
      <c r="A116" s="1" t="s">
        <v>185</v>
      </c>
      <c r="B116" s="1" t="s">
        <v>184</v>
      </c>
      <c r="C116" s="1"/>
      <c r="D116" s="3"/>
      <c r="E116" s="8">
        <v>1</v>
      </c>
      <c r="F116" s="8">
        <v>4</v>
      </c>
      <c r="G116" s="8">
        <v>3</v>
      </c>
      <c r="H116" s="8">
        <v>3</v>
      </c>
      <c r="I116" s="8">
        <v>1</v>
      </c>
      <c r="J116" s="3"/>
      <c r="K116" s="3"/>
      <c r="L116" s="3"/>
      <c r="M116" s="3"/>
      <c r="N116" s="3"/>
      <c r="O116" s="8">
        <v>1</v>
      </c>
      <c r="P116" s="3"/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6">
        <v>0</v>
      </c>
      <c r="AE116" s="4">
        <f>AVERAGE(W116:AB116)</f>
        <v>0</v>
      </c>
      <c r="AF116" s="1" t="s">
        <v>35</v>
      </c>
      <c r="AG116" s="19">
        <f t="array" ref="AG116">DIASQUIEBRE(Q116:AB116)</f>
        <v>0</v>
      </c>
      <c r="AH116" s="19">
        <f t="array" ref="AH116">DiasMesesGris(Q116:AB116)</f>
        <v>360</v>
      </c>
      <c r="AI116" s="19">
        <f t="shared" si="9"/>
        <v>360</v>
      </c>
      <c r="AJ116" s="19">
        <f t="shared" si="10"/>
        <v>0</v>
      </c>
      <c r="AK116" s="20">
        <f t="shared" si="14"/>
        <v>13</v>
      </c>
      <c r="AL116" s="21">
        <f t="shared" si="11"/>
        <v>0</v>
      </c>
    </row>
    <row r="117" spans="1:38" x14ac:dyDescent="0.25">
      <c r="A117" s="1" t="s">
        <v>187</v>
      </c>
      <c r="B117" s="1" t="s">
        <v>186</v>
      </c>
      <c r="C117" s="1"/>
      <c r="D117" s="3"/>
      <c r="E117" s="3"/>
      <c r="F117" s="3"/>
      <c r="G117" s="8">
        <v>89</v>
      </c>
      <c r="H117" s="8">
        <v>75</v>
      </c>
      <c r="I117" s="3"/>
      <c r="J117" s="3"/>
      <c r="K117" s="8">
        <v>54</v>
      </c>
      <c r="L117" s="8">
        <v>71</v>
      </c>
      <c r="M117" s="8">
        <v>43</v>
      </c>
      <c r="N117" s="8">
        <v>5</v>
      </c>
      <c r="O117" s="8">
        <v>79</v>
      </c>
      <c r="P117" s="3"/>
      <c r="Q117" s="4">
        <v>0</v>
      </c>
      <c r="R117" s="4">
        <v>0</v>
      </c>
      <c r="S117" s="4">
        <v>0</v>
      </c>
      <c r="T117" s="4">
        <v>2.9666999999999999</v>
      </c>
      <c r="U117" s="4">
        <v>2.4194</v>
      </c>
      <c r="V117" s="4">
        <v>0</v>
      </c>
      <c r="W117" s="4">
        <v>0</v>
      </c>
      <c r="X117" s="4">
        <v>1.7419</v>
      </c>
      <c r="Y117" s="4">
        <v>2.3666999999999998</v>
      </c>
      <c r="Z117" s="4">
        <v>1.3871</v>
      </c>
      <c r="AA117" s="4">
        <v>0.16669999999999999</v>
      </c>
      <c r="AB117" s="9">
        <v>2.8214000000000001</v>
      </c>
      <c r="AC117" s="6">
        <v>0</v>
      </c>
      <c r="AD117" s="4">
        <v>1.0044</v>
      </c>
      <c r="AE117" s="4">
        <v>1.7</v>
      </c>
      <c r="AF117" s="1" t="s">
        <v>35</v>
      </c>
      <c r="AG117" s="19">
        <f t="array" ref="AG117">DIASQUIEBRE(Q117:AB117)</f>
        <v>3</v>
      </c>
      <c r="AH117" s="19">
        <f t="array" ref="AH117">DiasMesesGris(Q117:AB117)</f>
        <v>0</v>
      </c>
      <c r="AI117" s="19">
        <f t="shared" si="9"/>
        <v>3</v>
      </c>
      <c r="AJ117" s="19">
        <f t="shared" si="10"/>
        <v>357</v>
      </c>
      <c r="AK117" s="20">
        <f t="shared" si="14"/>
        <v>416</v>
      </c>
      <c r="AL117" s="21">
        <f t="shared" si="11"/>
        <v>1.1652661064425771</v>
      </c>
    </row>
    <row r="118" spans="1:38" x14ac:dyDescent="0.25">
      <c r="A118" s="1" t="s">
        <v>189</v>
      </c>
      <c r="B118" s="1" t="s">
        <v>188</v>
      </c>
      <c r="C118" s="1"/>
      <c r="D118" s="8">
        <v>60</v>
      </c>
      <c r="E118" s="8">
        <v>1</v>
      </c>
      <c r="F118" s="8">
        <v>8</v>
      </c>
      <c r="G118" s="8">
        <v>6</v>
      </c>
      <c r="H118" s="8">
        <v>9</v>
      </c>
      <c r="I118" s="8">
        <v>16</v>
      </c>
      <c r="J118" s="8">
        <v>39</v>
      </c>
      <c r="K118" s="8">
        <v>34</v>
      </c>
      <c r="L118" s="8">
        <v>5</v>
      </c>
      <c r="M118" s="3"/>
      <c r="N118" s="8">
        <v>13</v>
      </c>
      <c r="O118" s="8">
        <v>12</v>
      </c>
      <c r="P118" s="3"/>
      <c r="Q118" s="4">
        <v>1.9355</v>
      </c>
      <c r="R118" s="4">
        <v>3.3300000000000003E-2</v>
      </c>
      <c r="S118" s="4">
        <v>0.2581</v>
      </c>
      <c r="T118" s="4">
        <v>0.2</v>
      </c>
      <c r="U118" s="9">
        <v>0.42859999999999998</v>
      </c>
      <c r="V118" s="9">
        <v>0.69569999999999999</v>
      </c>
      <c r="W118" s="4">
        <v>1.3929</v>
      </c>
      <c r="X118" s="4">
        <v>1.0968</v>
      </c>
      <c r="Y118" s="4">
        <v>0.16669999999999999</v>
      </c>
      <c r="Z118" s="4">
        <v>0</v>
      </c>
      <c r="AA118" s="4">
        <v>0.43330000000000002</v>
      </c>
      <c r="AB118" s="4">
        <v>0.3871</v>
      </c>
      <c r="AC118" s="10">
        <v>0</v>
      </c>
      <c r="AD118" s="4">
        <v>0.59040000000000004</v>
      </c>
      <c r="AE118" s="4">
        <f>AVERAGE(W118:AB118)</f>
        <v>0.57946666666666669</v>
      </c>
      <c r="AF118" s="1" t="s">
        <v>35</v>
      </c>
      <c r="AG118" s="19">
        <f t="array" ref="AG118">DIASQUIEBRE(Q118:AB118)</f>
        <v>18</v>
      </c>
      <c r="AH118" s="19">
        <f t="array" ref="AH118">DiasMesesGris(Q118:AB118)</f>
        <v>0</v>
      </c>
      <c r="AI118" s="19">
        <f t="shared" si="9"/>
        <v>18</v>
      </c>
      <c r="AJ118" s="19">
        <f t="shared" si="10"/>
        <v>342</v>
      </c>
      <c r="AK118" s="20">
        <f t="shared" si="14"/>
        <v>203</v>
      </c>
      <c r="AL118" s="21">
        <f t="shared" si="11"/>
        <v>0.5935672514619883</v>
      </c>
    </row>
    <row r="119" spans="1:38" x14ac:dyDescent="0.25">
      <c r="A119" s="1" t="s">
        <v>191</v>
      </c>
      <c r="B119" s="1" t="s">
        <v>190</v>
      </c>
      <c r="C119" s="1"/>
      <c r="D119" s="8">
        <v>5</v>
      </c>
      <c r="E119" s="8">
        <v>42</v>
      </c>
      <c r="F119" s="8">
        <v>57</v>
      </c>
      <c r="G119" s="8">
        <v>13</v>
      </c>
      <c r="H119" s="8">
        <v>101</v>
      </c>
      <c r="I119" s="8">
        <v>99</v>
      </c>
      <c r="J119" s="8">
        <v>32</v>
      </c>
      <c r="K119" s="8">
        <v>85</v>
      </c>
      <c r="L119" s="8">
        <v>63</v>
      </c>
      <c r="M119" s="8">
        <v>130</v>
      </c>
      <c r="N119" s="8">
        <v>113</v>
      </c>
      <c r="O119" s="8">
        <v>430</v>
      </c>
      <c r="P119" s="8">
        <v>10</v>
      </c>
      <c r="Q119" s="9">
        <v>0.71430000000000005</v>
      </c>
      <c r="R119" s="9">
        <v>1.5</v>
      </c>
      <c r="S119" s="4">
        <v>1.8387</v>
      </c>
      <c r="T119" s="4">
        <v>0.43330000000000002</v>
      </c>
      <c r="U119" s="4">
        <v>3.2581000000000002</v>
      </c>
      <c r="V119" s="4">
        <v>3.1934999999999998</v>
      </c>
      <c r="W119" s="4">
        <v>1.1429</v>
      </c>
      <c r="X119" s="4">
        <v>2.7418999999999998</v>
      </c>
      <c r="Y119" s="4">
        <v>2.1</v>
      </c>
      <c r="Z119" s="4">
        <v>4.1935000000000002</v>
      </c>
      <c r="AA119" s="4">
        <v>3.7667000000000002</v>
      </c>
      <c r="AB119" s="4">
        <v>13.871</v>
      </c>
      <c r="AC119" s="10">
        <v>0.3226</v>
      </c>
      <c r="AD119" s="4">
        <v>3.6539999999999999</v>
      </c>
      <c r="AE119" s="4">
        <v>5.33</v>
      </c>
      <c r="AF119" s="1" t="s">
        <v>35</v>
      </c>
      <c r="AG119" s="19">
        <f t="array" ref="AG119">DIASQUIEBRE(Q119:AB119)</f>
        <v>26</v>
      </c>
      <c r="AH119" s="19">
        <f t="array" ref="AH119">DiasMesesGris(Q119:AB119)</f>
        <v>0</v>
      </c>
      <c r="AI119" s="19">
        <f t="shared" si="9"/>
        <v>26</v>
      </c>
      <c r="AJ119" s="19">
        <f t="shared" si="10"/>
        <v>334</v>
      </c>
      <c r="AK119" s="20">
        <f t="shared" si="14"/>
        <v>1170</v>
      </c>
      <c r="AL119" s="21">
        <f t="shared" si="11"/>
        <v>3.5029940119760479</v>
      </c>
    </row>
    <row r="120" spans="1:38" x14ac:dyDescent="0.25">
      <c r="A120" s="1" t="s">
        <v>193</v>
      </c>
      <c r="B120" s="1" t="s">
        <v>192</v>
      </c>
      <c r="C120" s="1"/>
      <c r="D120" s="8">
        <v>60</v>
      </c>
      <c r="E120" s="8">
        <v>68</v>
      </c>
      <c r="F120" s="8">
        <v>30</v>
      </c>
      <c r="G120" s="8">
        <v>99</v>
      </c>
      <c r="H120" s="8">
        <v>110</v>
      </c>
      <c r="I120" s="8">
        <v>82</v>
      </c>
      <c r="J120" s="8">
        <v>64</v>
      </c>
      <c r="K120" s="8">
        <v>88</v>
      </c>
      <c r="L120" s="8">
        <v>35</v>
      </c>
      <c r="M120" s="8">
        <v>59</v>
      </c>
      <c r="N120" s="8">
        <v>167</v>
      </c>
      <c r="O120" s="8">
        <v>31</v>
      </c>
      <c r="P120" s="3"/>
      <c r="Q120" s="4">
        <v>1.9355</v>
      </c>
      <c r="R120" s="4">
        <v>2.2667000000000002</v>
      </c>
      <c r="S120" s="4">
        <v>0.9677</v>
      </c>
      <c r="T120" s="4">
        <v>3.3</v>
      </c>
      <c r="U120" s="4">
        <v>3.5484</v>
      </c>
      <c r="V120" s="4">
        <v>2.6452</v>
      </c>
      <c r="W120" s="4">
        <v>2.2856999999999998</v>
      </c>
      <c r="X120" s="4">
        <v>2.8386999999999998</v>
      </c>
      <c r="Y120" s="4">
        <v>1.1667000000000001</v>
      </c>
      <c r="Z120" s="4">
        <v>1.9032</v>
      </c>
      <c r="AA120" s="4">
        <v>5.5667</v>
      </c>
      <c r="AB120" s="9">
        <v>15.5</v>
      </c>
      <c r="AC120" s="6">
        <v>0</v>
      </c>
      <c r="AD120" s="4">
        <v>2.5840000000000001</v>
      </c>
      <c r="AE120" s="4">
        <v>2.7</v>
      </c>
      <c r="AF120" s="1" t="s">
        <v>35</v>
      </c>
      <c r="AG120" s="19">
        <f t="array" ref="AG120">DIASQUIEBRE(Q120:AB120)</f>
        <v>29</v>
      </c>
      <c r="AH120" s="19">
        <f t="array" ref="AH120">DiasMesesGris(Q120:AB120)</f>
        <v>0</v>
      </c>
      <c r="AI120" s="19">
        <f t="shared" si="9"/>
        <v>29</v>
      </c>
      <c r="AJ120" s="19">
        <f t="shared" si="10"/>
        <v>331</v>
      </c>
      <c r="AK120" s="20">
        <f t="shared" si="14"/>
        <v>893</v>
      </c>
      <c r="AL120" s="21">
        <f t="shared" si="11"/>
        <v>2.6978851963746222</v>
      </c>
    </row>
    <row r="121" spans="1:38" x14ac:dyDescent="0.25">
      <c r="A121" s="1" t="s">
        <v>195</v>
      </c>
      <c r="B121" s="1" t="s">
        <v>194</v>
      </c>
      <c r="C121" s="1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6">
        <v>0</v>
      </c>
      <c r="AE121" s="4">
        <f t="shared" ref="AE121:AE133" si="17">AVERAGE(W121:AB121)</f>
        <v>0</v>
      </c>
      <c r="AF121" s="1" t="s">
        <v>35</v>
      </c>
      <c r="AG121" s="19">
        <f t="array" ref="AG121">DIASQUIEBRE(Q121:AB121)</f>
        <v>0</v>
      </c>
      <c r="AH121" s="19">
        <f t="array" ref="AH121">DiasMesesGris(Q121:AB121)</f>
        <v>360</v>
      </c>
      <c r="AI121" s="19">
        <f t="shared" si="9"/>
        <v>360</v>
      </c>
      <c r="AJ121" s="19">
        <f t="shared" si="10"/>
        <v>0</v>
      </c>
      <c r="AK121" s="20">
        <f t="shared" si="14"/>
        <v>0</v>
      </c>
      <c r="AL121" s="21">
        <f t="shared" si="11"/>
        <v>0</v>
      </c>
    </row>
    <row r="122" spans="1:38" x14ac:dyDescent="0.25">
      <c r="A122" s="1" t="s">
        <v>197</v>
      </c>
      <c r="B122" s="1" t="s">
        <v>196</v>
      </c>
      <c r="C122" s="1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6">
        <v>0</v>
      </c>
      <c r="AE122" s="4">
        <f t="shared" si="17"/>
        <v>0</v>
      </c>
      <c r="AF122" s="1" t="s">
        <v>35</v>
      </c>
      <c r="AG122" s="19">
        <f t="array" ref="AG122">DIASQUIEBRE(Q122:AB122)</f>
        <v>0</v>
      </c>
      <c r="AH122" s="19">
        <f t="array" ref="AH122">DiasMesesGris(Q122:AB122)</f>
        <v>360</v>
      </c>
      <c r="AI122" s="19">
        <f t="shared" si="9"/>
        <v>360</v>
      </c>
      <c r="AJ122" s="19">
        <f t="shared" si="10"/>
        <v>0</v>
      </c>
      <c r="AK122" s="20">
        <f t="shared" si="14"/>
        <v>0</v>
      </c>
      <c r="AL122" s="21">
        <f t="shared" si="11"/>
        <v>0</v>
      </c>
    </row>
    <row r="123" spans="1:38" x14ac:dyDescent="0.25">
      <c r="A123" s="1" t="s">
        <v>199</v>
      </c>
      <c r="B123" s="1" t="s">
        <v>198</v>
      </c>
      <c r="C123" s="1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Z123" s="5">
        <v>0</v>
      </c>
      <c r="AA123" s="5">
        <v>0</v>
      </c>
      <c r="AB123" s="5">
        <v>0</v>
      </c>
      <c r="AC123" s="6">
        <v>0</v>
      </c>
      <c r="AE123" s="4">
        <f t="shared" si="17"/>
        <v>0</v>
      </c>
      <c r="AF123" s="1" t="s">
        <v>35</v>
      </c>
      <c r="AG123" s="19">
        <f t="array" ref="AG123">DIASQUIEBRE(Q123:AB123)</f>
        <v>0</v>
      </c>
      <c r="AH123" s="19">
        <f t="array" ref="AH123">DiasMesesGris(Q123:AB123)</f>
        <v>360</v>
      </c>
      <c r="AI123" s="19">
        <f t="shared" si="9"/>
        <v>360</v>
      </c>
      <c r="AJ123" s="19">
        <f t="shared" si="10"/>
        <v>0</v>
      </c>
      <c r="AK123" s="20">
        <f t="shared" si="14"/>
        <v>0</v>
      </c>
      <c r="AL123" s="21">
        <f t="shared" si="11"/>
        <v>0</v>
      </c>
    </row>
    <row r="124" spans="1:38" x14ac:dyDescent="0.25">
      <c r="A124" s="1" t="s">
        <v>201</v>
      </c>
      <c r="B124" s="1" t="s">
        <v>200</v>
      </c>
      <c r="C124" s="1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6">
        <v>0</v>
      </c>
      <c r="AE124" s="4">
        <f t="shared" si="17"/>
        <v>0</v>
      </c>
      <c r="AF124" s="1" t="s">
        <v>35</v>
      </c>
      <c r="AG124" s="19">
        <f t="array" ref="AG124">DIASQUIEBRE(Q124:AB124)</f>
        <v>0</v>
      </c>
      <c r="AH124" s="19">
        <f t="array" ref="AH124">DiasMesesGris(Q124:AB124)</f>
        <v>360</v>
      </c>
      <c r="AI124" s="19">
        <f t="shared" si="9"/>
        <v>360</v>
      </c>
      <c r="AJ124" s="19">
        <f t="shared" si="10"/>
        <v>0</v>
      </c>
      <c r="AK124" s="20">
        <f t="shared" si="14"/>
        <v>0</v>
      </c>
      <c r="AL124" s="21">
        <f t="shared" si="11"/>
        <v>0</v>
      </c>
    </row>
    <row r="125" spans="1:38" x14ac:dyDescent="0.25">
      <c r="A125" s="1" t="s">
        <v>203</v>
      </c>
      <c r="B125" s="1" t="s">
        <v>202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6">
        <v>0</v>
      </c>
      <c r="AE125" s="4">
        <f t="shared" si="17"/>
        <v>0</v>
      </c>
      <c r="AF125" s="1" t="s">
        <v>35</v>
      </c>
      <c r="AG125" s="19">
        <f t="array" ref="AG125">DIASQUIEBRE(Q125:AB125)</f>
        <v>0</v>
      </c>
      <c r="AH125" s="19">
        <f t="array" ref="AH125">DiasMesesGris(Q125:AB125)</f>
        <v>360</v>
      </c>
      <c r="AI125" s="19">
        <f t="shared" si="9"/>
        <v>360</v>
      </c>
      <c r="AJ125" s="19">
        <f t="shared" si="10"/>
        <v>0</v>
      </c>
      <c r="AK125" s="20">
        <f t="shared" si="14"/>
        <v>0</v>
      </c>
      <c r="AL125" s="21">
        <f t="shared" si="11"/>
        <v>0</v>
      </c>
    </row>
    <row r="126" spans="1:38" x14ac:dyDescent="0.25">
      <c r="A126" s="1" t="s">
        <v>205</v>
      </c>
      <c r="B126" s="1" t="s">
        <v>204</v>
      </c>
      <c r="C126" s="1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  <c r="AC126" s="6">
        <v>0</v>
      </c>
      <c r="AE126" s="4">
        <f t="shared" si="17"/>
        <v>0</v>
      </c>
      <c r="AF126" s="1" t="s">
        <v>35</v>
      </c>
      <c r="AG126" s="19">
        <f t="array" ref="AG126">DIASQUIEBRE(Q126:AB126)</f>
        <v>0</v>
      </c>
      <c r="AH126" s="19">
        <f t="array" ref="AH126">DiasMesesGris(Q126:AB126)</f>
        <v>360</v>
      </c>
      <c r="AI126" s="19">
        <f t="shared" si="9"/>
        <v>360</v>
      </c>
      <c r="AJ126" s="19">
        <f t="shared" si="10"/>
        <v>0</v>
      </c>
      <c r="AK126" s="20">
        <f t="shared" si="14"/>
        <v>0</v>
      </c>
      <c r="AL126" s="21">
        <f t="shared" si="11"/>
        <v>0</v>
      </c>
    </row>
    <row r="127" spans="1:38" x14ac:dyDescent="0.25">
      <c r="A127" s="1" t="s">
        <v>207</v>
      </c>
      <c r="B127" s="1" t="s">
        <v>206</v>
      </c>
      <c r="C127" s="1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6">
        <v>0</v>
      </c>
      <c r="AE127" s="4">
        <f t="shared" si="17"/>
        <v>0</v>
      </c>
      <c r="AF127" s="1" t="s">
        <v>35</v>
      </c>
      <c r="AG127" s="19">
        <f t="array" ref="AG127">DIASQUIEBRE(Q127:AB127)</f>
        <v>0</v>
      </c>
      <c r="AH127" s="19">
        <f t="array" ref="AH127">DiasMesesGris(Q127:AB127)</f>
        <v>360</v>
      </c>
      <c r="AI127" s="19">
        <f t="shared" si="9"/>
        <v>360</v>
      </c>
      <c r="AJ127" s="19">
        <f t="shared" si="10"/>
        <v>0</v>
      </c>
      <c r="AK127" s="20">
        <f t="shared" si="14"/>
        <v>0</v>
      </c>
      <c r="AL127" s="21">
        <f t="shared" si="11"/>
        <v>0</v>
      </c>
    </row>
    <row r="128" spans="1:38" x14ac:dyDescent="0.25">
      <c r="A128" s="1" t="s">
        <v>209</v>
      </c>
      <c r="B128" s="1" t="s">
        <v>208</v>
      </c>
      <c r="C128" s="1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6">
        <v>0</v>
      </c>
      <c r="AE128" s="4">
        <f t="shared" si="17"/>
        <v>0</v>
      </c>
      <c r="AF128" s="1" t="s">
        <v>35</v>
      </c>
      <c r="AG128" s="19">
        <f t="array" ref="AG128">DIASQUIEBRE(Q128:AB128)</f>
        <v>0</v>
      </c>
      <c r="AH128" s="19">
        <f t="array" ref="AH128">DiasMesesGris(Q128:AB128)</f>
        <v>360</v>
      </c>
      <c r="AI128" s="19">
        <f t="shared" si="9"/>
        <v>360</v>
      </c>
      <c r="AJ128" s="19">
        <f t="shared" si="10"/>
        <v>0</v>
      </c>
      <c r="AK128" s="20">
        <f t="shared" si="14"/>
        <v>0</v>
      </c>
      <c r="AL128" s="21">
        <f t="shared" si="11"/>
        <v>0</v>
      </c>
    </row>
    <row r="129" spans="1:38" x14ac:dyDescent="0.25">
      <c r="A129" s="1" t="s">
        <v>211</v>
      </c>
      <c r="B129" s="1" t="s">
        <v>210</v>
      </c>
      <c r="C129" s="1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6">
        <v>0</v>
      </c>
      <c r="AE129" s="4">
        <f t="shared" si="17"/>
        <v>0</v>
      </c>
      <c r="AF129" s="1" t="s">
        <v>35</v>
      </c>
      <c r="AG129" s="19">
        <f t="array" ref="AG129">DIASQUIEBRE(Q129:AB129)</f>
        <v>0</v>
      </c>
      <c r="AH129" s="19">
        <f t="array" ref="AH129">DiasMesesGris(Q129:AB129)</f>
        <v>360</v>
      </c>
      <c r="AI129" s="19">
        <f t="shared" si="9"/>
        <v>360</v>
      </c>
      <c r="AJ129" s="19">
        <f t="shared" si="10"/>
        <v>0</v>
      </c>
      <c r="AK129" s="20">
        <f t="shared" si="14"/>
        <v>0</v>
      </c>
      <c r="AL129" s="21">
        <f t="shared" si="11"/>
        <v>0</v>
      </c>
    </row>
    <row r="130" spans="1:38" x14ac:dyDescent="0.25">
      <c r="A130" s="1" t="s">
        <v>213</v>
      </c>
      <c r="B130" s="1" t="s">
        <v>212</v>
      </c>
      <c r="C130" s="1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6">
        <v>0</v>
      </c>
      <c r="AE130" s="4">
        <f t="shared" si="17"/>
        <v>0</v>
      </c>
      <c r="AF130" s="1" t="s">
        <v>35</v>
      </c>
      <c r="AG130" s="19">
        <f t="array" ref="AG130">DIASQUIEBRE(Q130:AB130)</f>
        <v>0</v>
      </c>
      <c r="AH130" s="19">
        <f t="array" ref="AH130">DiasMesesGris(Q130:AB130)</f>
        <v>360</v>
      </c>
      <c r="AI130" s="19">
        <f t="shared" ref="AI130:AI193" si="18">AG130+AH130</f>
        <v>360</v>
      </c>
      <c r="AJ130" s="19">
        <f t="shared" ref="AJ130:AJ193" si="19">360-AI130</f>
        <v>0</v>
      </c>
      <c r="AK130" s="20">
        <f t="shared" si="14"/>
        <v>0</v>
      </c>
      <c r="AL130" s="21">
        <f t="shared" ref="AL130:AL193" si="20">IFERROR(AK130/AJ130,0)</f>
        <v>0</v>
      </c>
    </row>
    <row r="131" spans="1:38" x14ac:dyDescent="0.25">
      <c r="A131" s="1" t="s">
        <v>215</v>
      </c>
      <c r="B131" s="1" t="s">
        <v>214</v>
      </c>
      <c r="C131" s="1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6">
        <v>0</v>
      </c>
      <c r="AE131" s="4">
        <f t="shared" si="17"/>
        <v>0</v>
      </c>
      <c r="AF131" s="1" t="s">
        <v>35</v>
      </c>
      <c r="AG131" s="19">
        <f t="array" ref="AG131">DIASQUIEBRE(Q131:AB131)</f>
        <v>0</v>
      </c>
      <c r="AH131" s="19">
        <f t="array" ref="AH131">DiasMesesGris(Q131:AB131)</f>
        <v>360</v>
      </c>
      <c r="AI131" s="19">
        <f t="shared" si="18"/>
        <v>360</v>
      </c>
      <c r="AJ131" s="19">
        <f t="shared" si="19"/>
        <v>0</v>
      </c>
      <c r="AK131" s="20">
        <f t="shared" si="14"/>
        <v>0</v>
      </c>
      <c r="AL131" s="21">
        <f t="shared" si="20"/>
        <v>0</v>
      </c>
    </row>
    <row r="132" spans="1:38" x14ac:dyDescent="0.25">
      <c r="A132" s="1" t="s">
        <v>217</v>
      </c>
      <c r="B132" s="1" t="s">
        <v>216</v>
      </c>
      <c r="C132" s="1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s="5">
        <v>0</v>
      </c>
      <c r="AC132" s="6">
        <v>0</v>
      </c>
      <c r="AE132" s="4">
        <f t="shared" si="17"/>
        <v>0</v>
      </c>
      <c r="AF132" s="1" t="s">
        <v>35</v>
      </c>
      <c r="AG132" s="19">
        <f t="array" ref="AG132">DIASQUIEBRE(Q132:AB132)</f>
        <v>0</v>
      </c>
      <c r="AH132" s="19">
        <f t="array" ref="AH132">DiasMesesGris(Q132:AB132)</f>
        <v>360</v>
      </c>
      <c r="AI132" s="19">
        <f t="shared" si="18"/>
        <v>360</v>
      </c>
      <c r="AJ132" s="19">
        <f t="shared" si="19"/>
        <v>0</v>
      </c>
      <c r="AK132" s="20">
        <f t="shared" si="14"/>
        <v>0</v>
      </c>
      <c r="AL132" s="21">
        <f t="shared" si="20"/>
        <v>0</v>
      </c>
    </row>
    <row r="133" spans="1:38" x14ac:dyDescent="0.25">
      <c r="A133" s="1" t="s">
        <v>219</v>
      </c>
      <c r="B133" s="1" t="s">
        <v>218</v>
      </c>
      <c r="C133" s="1"/>
      <c r="D133" s="3"/>
      <c r="E133" s="3"/>
      <c r="F133" s="8">
        <v>6</v>
      </c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5">
        <v>0</v>
      </c>
      <c r="R133" s="9">
        <v>0</v>
      </c>
      <c r="S133" s="4">
        <v>0.19350000000000001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10">
        <v>0</v>
      </c>
      <c r="AD133" s="4">
        <v>1.9400000000000001E-2</v>
      </c>
      <c r="AE133" s="4">
        <f t="shared" si="17"/>
        <v>0</v>
      </c>
      <c r="AF133" s="1" t="s">
        <v>32</v>
      </c>
      <c r="AG133" s="19">
        <f t="array" ref="AG133">DIASQUIEBRE(Q133:AB133)</f>
        <v>2</v>
      </c>
      <c r="AH133" s="19">
        <f t="array" ref="AH133">DiasMesesGris(Q133:AB133)</f>
        <v>30</v>
      </c>
      <c r="AI133" s="19">
        <f t="shared" si="18"/>
        <v>32</v>
      </c>
      <c r="AJ133" s="19">
        <f t="shared" si="19"/>
        <v>328</v>
      </c>
      <c r="AK133" s="20">
        <f t="shared" si="14"/>
        <v>6</v>
      </c>
      <c r="AL133" s="21">
        <f t="shared" si="20"/>
        <v>1.8292682926829267E-2</v>
      </c>
    </row>
    <row r="134" spans="1:38" x14ac:dyDescent="0.25">
      <c r="A134" s="1" t="s">
        <v>221</v>
      </c>
      <c r="B134" s="1" t="s">
        <v>220</v>
      </c>
      <c r="C134" s="1"/>
      <c r="D134" s="3"/>
      <c r="E134" s="8">
        <v>23</v>
      </c>
      <c r="F134" s="8">
        <v>27</v>
      </c>
      <c r="G134" s="8">
        <v>31</v>
      </c>
      <c r="H134" s="8">
        <v>7</v>
      </c>
      <c r="I134" s="8">
        <v>13</v>
      </c>
      <c r="J134" s="8">
        <v>39</v>
      </c>
      <c r="K134" s="8">
        <v>26</v>
      </c>
      <c r="L134" s="8">
        <v>2</v>
      </c>
      <c r="M134" s="3"/>
      <c r="N134" s="3"/>
      <c r="O134" s="3"/>
      <c r="P134" s="3"/>
      <c r="Q134" s="5">
        <v>0</v>
      </c>
      <c r="R134" s="9">
        <v>0.82140000000000002</v>
      </c>
      <c r="S134" s="4">
        <v>0.871</v>
      </c>
      <c r="T134" s="4">
        <v>1.0333000000000001</v>
      </c>
      <c r="U134" s="4">
        <v>0.2258</v>
      </c>
      <c r="V134" s="4">
        <v>0.4194</v>
      </c>
      <c r="W134" s="4">
        <v>1.3929</v>
      </c>
      <c r="X134" s="9">
        <v>1</v>
      </c>
      <c r="Y134" s="5">
        <v>0</v>
      </c>
      <c r="Z134" s="5">
        <v>0</v>
      </c>
      <c r="AA134" s="5">
        <v>0</v>
      </c>
      <c r="AB134" s="5">
        <v>0</v>
      </c>
      <c r="AC134" s="6">
        <v>0</v>
      </c>
      <c r="AD134" s="4">
        <v>0.78849999999999998</v>
      </c>
      <c r="AE134" s="4">
        <v>0.79</v>
      </c>
      <c r="AF134" s="1" t="s">
        <v>32</v>
      </c>
      <c r="AG134" s="19">
        <f t="array" ref="AG134">DIASQUIEBRE(Q134:AB134)</f>
        <v>7</v>
      </c>
      <c r="AH134" s="19">
        <f t="array" ref="AH134">DiasMesesGris(Q134:AB134)</f>
        <v>150</v>
      </c>
      <c r="AI134" s="19">
        <f t="shared" si="18"/>
        <v>157</v>
      </c>
      <c r="AJ134" s="19">
        <f t="shared" si="19"/>
        <v>203</v>
      </c>
      <c r="AK134" s="20">
        <f t="shared" si="14"/>
        <v>168</v>
      </c>
      <c r="AL134" s="21">
        <f t="shared" si="20"/>
        <v>0.82758620689655171</v>
      </c>
    </row>
    <row r="135" spans="1:38" x14ac:dyDescent="0.25">
      <c r="A135" s="1" t="s">
        <v>223</v>
      </c>
      <c r="B135" s="1" t="s">
        <v>222</v>
      </c>
      <c r="C135" s="1"/>
      <c r="D135" s="3"/>
      <c r="E135" s="3"/>
      <c r="F135" s="3"/>
      <c r="G135" s="3"/>
      <c r="H135" s="8">
        <v>10</v>
      </c>
      <c r="I135" s="8">
        <v>10</v>
      </c>
      <c r="J135" s="8">
        <v>5</v>
      </c>
      <c r="K135" s="8">
        <v>2</v>
      </c>
      <c r="L135" s="8">
        <v>1</v>
      </c>
      <c r="M135" s="8">
        <v>2</v>
      </c>
      <c r="N135" s="8">
        <v>12</v>
      </c>
      <c r="O135" s="8">
        <v>1</v>
      </c>
      <c r="P135" s="3"/>
      <c r="Q135" s="5">
        <v>0</v>
      </c>
      <c r="R135" s="5">
        <v>0</v>
      </c>
      <c r="S135" s="5">
        <v>0</v>
      </c>
      <c r="T135" s="5">
        <v>0</v>
      </c>
      <c r="U135" s="9">
        <v>0.35709999999999997</v>
      </c>
      <c r="V135" s="4">
        <v>0.3226</v>
      </c>
      <c r="W135" s="4">
        <v>0.17860000000000001</v>
      </c>
      <c r="X135" s="4">
        <v>6.4500000000000002E-2</v>
      </c>
      <c r="Y135" s="4">
        <v>3.3300000000000003E-2</v>
      </c>
      <c r="Z135" s="4">
        <v>6.4500000000000002E-2</v>
      </c>
      <c r="AA135" s="4">
        <v>0.4</v>
      </c>
      <c r="AB135" s="4">
        <v>3.2300000000000002E-2</v>
      </c>
      <c r="AC135" s="10">
        <v>0</v>
      </c>
      <c r="AD135" s="4">
        <v>0.1565</v>
      </c>
      <c r="AE135" s="4">
        <f>AVERAGE(W135:AB135)</f>
        <v>0.12886666666666668</v>
      </c>
      <c r="AF135" s="1" t="s">
        <v>32</v>
      </c>
      <c r="AG135" s="19">
        <f t="array" ref="AG135">DIASQUIEBRE(Q135:AB135)</f>
        <v>3</v>
      </c>
      <c r="AH135" s="19">
        <f t="array" ref="AH135">DiasMesesGris(Q135:AB135)</f>
        <v>120</v>
      </c>
      <c r="AI135" s="19">
        <f t="shared" si="18"/>
        <v>123</v>
      </c>
      <c r="AJ135" s="19">
        <f t="shared" si="19"/>
        <v>237</v>
      </c>
      <c r="AK135" s="20">
        <f t="shared" si="14"/>
        <v>43</v>
      </c>
      <c r="AL135" s="21">
        <f t="shared" si="20"/>
        <v>0.18143459915611815</v>
      </c>
    </row>
    <row r="136" spans="1:38" x14ac:dyDescent="0.25">
      <c r="A136" s="1" t="s">
        <v>225</v>
      </c>
      <c r="B136" s="1" t="s">
        <v>224</v>
      </c>
      <c r="C136" s="1"/>
      <c r="D136" s="3"/>
      <c r="E136" s="3"/>
      <c r="F136" s="3"/>
      <c r="G136" s="3"/>
      <c r="H136" s="8">
        <v>11</v>
      </c>
      <c r="I136" s="8">
        <v>1</v>
      </c>
      <c r="J136" s="8">
        <v>4</v>
      </c>
      <c r="K136" s="8">
        <v>2</v>
      </c>
      <c r="L136" s="3"/>
      <c r="M136" s="8">
        <v>2</v>
      </c>
      <c r="N136" s="8">
        <v>1</v>
      </c>
      <c r="O136" s="3"/>
      <c r="P136" s="3"/>
      <c r="Q136" s="5">
        <v>0</v>
      </c>
      <c r="R136" s="5">
        <v>0</v>
      </c>
      <c r="S136" s="5">
        <v>0</v>
      </c>
      <c r="T136" s="5">
        <v>0</v>
      </c>
      <c r="U136" s="9">
        <v>0.39290000000000003</v>
      </c>
      <c r="V136" s="4">
        <v>3.2300000000000002E-2</v>
      </c>
      <c r="W136" s="4">
        <v>0.1429</v>
      </c>
      <c r="X136" s="4">
        <v>6.4500000000000002E-2</v>
      </c>
      <c r="Y136" s="4">
        <v>0</v>
      </c>
      <c r="Z136" s="4">
        <v>6.4500000000000002E-2</v>
      </c>
      <c r="AA136" s="4">
        <v>3.3300000000000003E-2</v>
      </c>
      <c r="AB136" s="4">
        <v>0</v>
      </c>
      <c r="AC136" s="10">
        <v>0</v>
      </c>
      <c r="AD136" s="4">
        <v>4.82E-2</v>
      </c>
      <c r="AE136" s="4">
        <f>AVERAGE(W136:AB136)</f>
        <v>5.0866666666666671E-2</v>
      </c>
      <c r="AF136" s="1" t="s">
        <v>32</v>
      </c>
      <c r="AG136" s="19">
        <f t="array" ref="AG136">DIASQUIEBRE(Q136:AB136)</f>
        <v>3</v>
      </c>
      <c r="AH136" s="19">
        <f t="array" ref="AH136">DiasMesesGris(Q136:AB136)</f>
        <v>120</v>
      </c>
      <c r="AI136" s="19">
        <f t="shared" si="18"/>
        <v>123</v>
      </c>
      <c r="AJ136" s="19">
        <f t="shared" si="19"/>
        <v>237</v>
      </c>
      <c r="AK136" s="20">
        <f t="shared" si="14"/>
        <v>21</v>
      </c>
      <c r="AL136" s="21">
        <f t="shared" si="20"/>
        <v>8.8607594936708861E-2</v>
      </c>
    </row>
    <row r="137" spans="1:38" x14ac:dyDescent="0.25">
      <c r="A137" s="1" t="s">
        <v>227</v>
      </c>
      <c r="B137" s="1" t="s">
        <v>226</v>
      </c>
      <c r="C137" s="1"/>
      <c r="D137" s="3"/>
      <c r="E137" s="3"/>
      <c r="F137" s="3"/>
      <c r="G137" s="3"/>
      <c r="H137" s="8">
        <v>11</v>
      </c>
      <c r="I137" s="8">
        <v>1</v>
      </c>
      <c r="J137" s="8">
        <v>3</v>
      </c>
      <c r="K137" s="8">
        <v>4</v>
      </c>
      <c r="L137" s="3"/>
      <c r="M137" s="8">
        <v>2</v>
      </c>
      <c r="N137" s="3"/>
      <c r="O137" s="8">
        <v>3</v>
      </c>
      <c r="P137" s="3"/>
      <c r="Q137" s="5">
        <v>0</v>
      </c>
      <c r="R137" s="5">
        <v>0</v>
      </c>
      <c r="S137" s="5">
        <v>0</v>
      </c>
      <c r="T137" s="5">
        <v>0</v>
      </c>
      <c r="U137" s="9">
        <v>0.39290000000000003</v>
      </c>
      <c r="V137" s="4">
        <v>3.2300000000000002E-2</v>
      </c>
      <c r="W137" s="4">
        <v>0.1071</v>
      </c>
      <c r="X137" s="4">
        <v>0.129</v>
      </c>
      <c r="Y137" s="4">
        <v>0</v>
      </c>
      <c r="Z137" s="4">
        <v>6.4500000000000002E-2</v>
      </c>
      <c r="AA137" s="4">
        <v>0</v>
      </c>
      <c r="AB137" s="4">
        <v>9.6799999999999997E-2</v>
      </c>
      <c r="AC137" s="10">
        <v>0</v>
      </c>
      <c r="AD137" s="4">
        <v>6.1400000000000003E-2</v>
      </c>
      <c r="AE137" s="4">
        <f>AVERAGE(W137:AB137)</f>
        <v>6.6233333333333325E-2</v>
      </c>
      <c r="AF137" s="1" t="s">
        <v>32</v>
      </c>
      <c r="AG137" s="19">
        <f t="array" ref="AG137">DIASQUIEBRE(Q137:AB137)</f>
        <v>3</v>
      </c>
      <c r="AH137" s="19">
        <f t="array" ref="AH137">DiasMesesGris(Q137:AB137)</f>
        <v>120</v>
      </c>
      <c r="AI137" s="19">
        <f t="shared" si="18"/>
        <v>123</v>
      </c>
      <c r="AJ137" s="19">
        <f t="shared" si="19"/>
        <v>237</v>
      </c>
      <c r="AK137" s="20">
        <f t="shared" si="14"/>
        <v>24</v>
      </c>
      <c r="AL137" s="21">
        <f t="shared" si="20"/>
        <v>0.10126582278481013</v>
      </c>
    </row>
    <row r="138" spans="1:38" x14ac:dyDescent="0.25">
      <c r="A138" s="1" t="s">
        <v>229</v>
      </c>
      <c r="B138" s="1" t="s">
        <v>228</v>
      </c>
      <c r="C138" s="1"/>
      <c r="D138" s="3"/>
      <c r="E138" s="3"/>
      <c r="F138" s="3"/>
      <c r="G138" s="3"/>
      <c r="H138" s="8">
        <v>7</v>
      </c>
      <c r="I138" s="8">
        <v>6</v>
      </c>
      <c r="J138" s="3"/>
      <c r="K138" s="8">
        <v>2</v>
      </c>
      <c r="L138" s="8">
        <v>6</v>
      </c>
      <c r="M138" s="3"/>
      <c r="N138" s="8">
        <v>3</v>
      </c>
      <c r="O138" s="8">
        <v>2</v>
      </c>
      <c r="P138" s="3"/>
      <c r="Q138" s="5">
        <v>0</v>
      </c>
      <c r="R138" s="5">
        <v>0</v>
      </c>
      <c r="S138" s="5">
        <v>0</v>
      </c>
      <c r="T138" s="5">
        <v>0</v>
      </c>
      <c r="U138" s="9">
        <v>0.25</v>
      </c>
      <c r="V138" s="4">
        <v>0.19350000000000001</v>
      </c>
      <c r="W138" s="4">
        <v>0</v>
      </c>
      <c r="X138" s="4">
        <v>6.4500000000000002E-2</v>
      </c>
      <c r="Y138" s="4">
        <v>0.2</v>
      </c>
      <c r="Z138" s="4">
        <v>0</v>
      </c>
      <c r="AA138" s="4">
        <v>0.1</v>
      </c>
      <c r="AB138" s="4">
        <v>6.4500000000000002E-2</v>
      </c>
      <c r="AC138" s="10">
        <v>0</v>
      </c>
      <c r="AD138" s="4">
        <v>8.8900000000000007E-2</v>
      </c>
      <c r="AE138" s="4">
        <f>AVERAGE(W138:AB138)</f>
        <v>7.1500000000000008E-2</v>
      </c>
      <c r="AF138" s="1" t="s">
        <v>32</v>
      </c>
      <c r="AG138" s="19">
        <f t="array" ref="AG138">DIASQUIEBRE(Q138:AB138)</f>
        <v>3</v>
      </c>
      <c r="AH138" s="19">
        <f t="array" ref="AH138">DiasMesesGris(Q138:AB138)</f>
        <v>120</v>
      </c>
      <c r="AI138" s="19">
        <f t="shared" si="18"/>
        <v>123</v>
      </c>
      <c r="AJ138" s="19">
        <f t="shared" si="19"/>
        <v>237</v>
      </c>
      <c r="AK138" s="20">
        <f t="shared" si="14"/>
        <v>26</v>
      </c>
      <c r="AL138" s="21">
        <f t="shared" si="20"/>
        <v>0.10970464135021098</v>
      </c>
    </row>
    <row r="139" spans="1:38" x14ac:dyDescent="0.25">
      <c r="A139" s="1" t="s">
        <v>231</v>
      </c>
      <c r="B139" s="1" t="s">
        <v>230</v>
      </c>
      <c r="C139" s="1"/>
      <c r="D139" s="3"/>
      <c r="E139" s="3"/>
      <c r="F139" s="3"/>
      <c r="G139" s="3"/>
      <c r="H139" s="3"/>
      <c r="I139" s="8">
        <v>20</v>
      </c>
      <c r="J139" s="8">
        <v>5</v>
      </c>
      <c r="K139" s="8">
        <v>17</v>
      </c>
      <c r="L139" s="8">
        <v>9</v>
      </c>
      <c r="M139" s="3"/>
      <c r="N139" s="8">
        <v>9</v>
      </c>
      <c r="O139" s="8">
        <v>5</v>
      </c>
      <c r="P139" s="3"/>
      <c r="Q139" s="5">
        <v>0</v>
      </c>
      <c r="R139" s="5">
        <v>0</v>
      </c>
      <c r="S139" s="5">
        <v>0</v>
      </c>
      <c r="T139" s="5">
        <v>0</v>
      </c>
      <c r="U139" s="9">
        <v>0</v>
      </c>
      <c r="V139" s="4">
        <v>0.6452</v>
      </c>
      <c r="W139" s="4">
        <v>0.17860000000000001</v>
      </c>
      <c r="X139" s="4">
        <v>0.5484</v>
      </c>
      <c r="Y139" s="4">
        <v>0.3</v>
      </c>
      <c r="Z139" s="4">
        <v>0</v>
      </c>
      <c r="AA139" s="4">
        <v>0.3</v>
      </c>
      <c r="AB139" s="4">
        <v>0.1613</v>
      </c>
      <c r="AC139" s="10">
        <v>0</v>
      </c>
      <c r="AD139" s="4">
        <v>0.30480000000000002</v>
      </c>
      <c r="AE139" s="4">
        <f>AVERAGE(W139:AB139)</f>
        <v>0.24804999999999999</v>
      </c>
      <c r="AF139" s="1" t="s">
        <v>32</v>
      </c>
      <c r="AG139" s="19">
        <f t="array" ref="AG139">DIASQUIEBRE(Q139:AB139)</f>
        <v>3</v>
      </c>
      <c r="AH139" s="19">
        <f t="array" ref="AH139">DiasMesesGris(Q139:AB139)</f>
        <v>120</v>
      </c>
      <c r="AI139" s="19">
        <f t="shared" si="18"/>
        <v>123</v>
      </c>
      <c r="AJ139" s="19">
        <f t="shared" si="19"/>
        <v>237</v>
      </c>
      <c r="AK139" s="20">
        <f t="shared" si="14"/>
        <v>65</v>
      </c>
      <c r="AL139" s="21">
        <f t="shared" si="20"/>
        <v>0.27426160337552741</v>
      </c>
    </row>
    <row r="140" spans="1:38" x14ac:dyDescent="0.25">
      <c r="A140" s="1" t="s">
        <v>233</v>
      </c>
      <c r="B140" s="1" t="s">
        <v>232</v>
      </c>
      <c r="C140" s="1"/>
      <c r="D140" s="3"/>
      <c r="E140" s="3"/>
      <c r="F140" s="3"/>
      <c r="G140" s="3"/>
      <c r="H140" s="3"/>
      <c r="I140" s="8">
        <v>22</v>
      </c>
      <c r="J140" s="8">
        <v>2</v>
      </c>
      <c r="K140" s="8">
        <v>8</v>
      </c>
      <c r="L140" s="8">
        <v>12</v>
      </c>
      <c r="M140" s="8">
        <v>6</v>
      </c>
      <c r="N140" s="8">
        <v>6</v>
      </c>
      <c r="O140" s="8">
        <v>23</v>
      </c>
      <c r="P140" s="3"/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9">
        <v>0.95650000000000002</v>
      </c>
      <c r="W140" s="4">
        <v>7.1400000000000005E-2</v>
      </c>
      <c r="X140" s="4">
        <v>0.2581</v>
      </c>
      <c r="Y140" s="4">
        <v>0.4</v>
      </c>
      <c r="Z140" s="4">
        <v>0.19350000000000001</v>
      </c>
      <c r="AA140" s="4">
        <v>0.2</v>
      </c>
      <c r="AB140" s="9">
        <v>0.85189999999999999</v>
      </c>
      <c r="AC140" s="6">
        <v>0</v>
      </c>
      <c r="AD140" s="4">
        <v>0.22459999999999999</v>
      </c>
      <c r="AE140" s="4">
        <v>0.4</v>
      </c>
      <c r="AF140" s="1" t="s">
        <v>35</v>
      </c>
      <c r="AG140" s="19">
        <f t="array" ref="AG140">DIASQUIEBRE(Q140:AB140)</f>
        <v>12</v>
      </c>
      <c r="AH140" s="19">
        <f t="array" ref="AH140">DiasMesesGris(Q140:AB140)</f>
        <v>150</v>
      </c>
      <c r="AI140" s="19">
        <f t="shared" si="18"/>
        <v>162</v>
      </c>
      <c r="AJ140" s="19">
        <f t="shared" si="19"/>
        <v>198</v>
      </c>
      <c r="AK140" s="20">
        <f t="shared" si="14"/>
        <v>79</v>
      </c>
      <c r="AL140" s="21">
        <f t="shared" si="20"/>
        <v>0.39898989898989901</v>
      </c>
    </row>
    <row r="141" spans="1:38" x14ac:dyDescent="0.25">
      <c r="A141" s="1" t="s">
        <v>235</v>
      </c>
      <c r="B141" s="1" t="s">
        <v>234</v>
      </c>
      <c r="C141" s="1"/>
      <c r="D141" s="3"/>
      <c r="E141" s="3"/>
      <c r="F141" s="3"/>
      <c r="G141" s="3"/>
      <c r="H141" s="3"/>
      <c r="I141" s="8">
        <v>38</v>
      </c>
      <c r="J141" s="8">
        <v>58</v>
      </c>
      <c r="K141" s="8">
        <v>18</v>
      </c>
      <c r="L141" s="8">
        <v>10</v>
      </c>
      <c r="M141" s="8">
        <v>20</v>
      </c>
      <c r="N141" s="8">
        <v>7</v>
      </c>
      <c r="O141" s="8">
        <v>11</v>
      </c>
      <c r="P141" s="3"/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9">
        <v>1.6521999999999999</v>
      </c>
      <c r="W141" s="4">
        <v>2.0714000000000001</v>
      </c>
      <c r="X141" s="4">
        <v>0.5806</v>
      </c>
      <c r="Y141" s="4">
        <v>0.33329999999999999</v>
      </c>
      <c r="Z141" s="4">
        <v>0.6452</v>
      </c>
      <c r="AA141" s="4">
        <v>0.23330000000000001</v>
      </c>
      <c r="AB141" s="9">
        <v>0.84619999999999995</v>
      </c>
      <c r="AC141" s="6">
        <v>0</v>
      </c>
      <c r="AD141" s="4">
        <v>0.77280000000000004</v>
      </c>
      <c r="AE141" s="4">
        <v>0.88</v>
      </c>
      <c r="AF141" s="1" t="s">
        <v>35</v>
      </c>
      <c r="AG141" s="19">
        <f t="array" ref="AG141">DIASQUIEBRE(Q141:AB141)</f>
        <v>26</v>
      </c>
      <c r="AH141" s="19">
        <f t="array" ref="AH141">DiasMesesGris(Q141:AB141)</f>
        <v>150</v>
      </c>
      <c r="AI141" s="19">
        <f t="shared" si="18"/>
        <v>176</v>
      </c>
      <c r="AJ141" s="19">
        <f t="shared" si="19"/>
        <v>184</v>
      </c>
      <c r="AK141" s="20">
        <f t="shared" si="14"/>
        <v>162</v>
      </c>
      <c r="AL141" s="21">
        <f t="shared" si="20"/>
        <v>0.88043478260869568</v>
      </c>
    </row>
    <row r="142" spans="1:38" x14ac:dyDescent="0.25">
      <c r="A142" s="1" t="s">
        <v>237</v>
      </c>
      <c r="B142" s="1" t="s">
        <v>236</v>
      </c>
      <c r="C142" s="1"/>
      <c r="D142" s="3"/>
      <c r="E142" s="3"/>
      <c r="F142" s="3"/>
      <c r="G142" s="3"/>
      <c r="H142" s="3"/>
      <c r="I142" s="8">
        <v>6</v>
      </c>
      <c r="J142" s="8">
        <v>73</v>
      </c>
      <c r="K142" s="8">
        <v>15</v>
      </c>
      <c r="L142" s="8">
        <v>55</v>
      </c>
      <c r="M142" s="8">
        <v>19</v>
      </c>
      <c r="N142" s="8">
        <v>25</v>
      </c>
      <c r="O142" s="8">
        <v>25</v>
      </c>
      <c r="P142" s="3"/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9">
        <v>0.26090000000000002</v>
      </c>
      <c r="W142" s="4">
        <v>2.6071</v>
      </c>
      <c r="X142" s="9">
        <v>0.6</v>
      </c>
      <c r="Y142" s="4">
        <v>1.8332999999999999</v>
      </c>
      <c r="Z142" s="4">
        <v>0.6129</v>
      </c>
      <c r="AA142" s="4">
        <v>0.83330000000000004</v>
      </c>
      <c r="AB142" s="4">
        <v>0.80649999999999999</v>
      </c>
      <c r="AC142" s="10">
        <v>0</v>
      </c>
      <c r="AD142" s="4">
        <v>1.3386</v>
      </c>
      <c r="AE142" s="4">
        <v>1.1100000000000001</v>
      </c>
      <c r="AF142" s="1" t="s">
        <v>35</v>
      </c>
      <c r="AG142" s="19">
        <f t="array" ref="AG142">DIASQUIEBRE(Q142:AB142)</f>
        <v>14</v>
      </c>
      <c r="AH142" s="19">
        <f t="array" ref="AH142">DiasMesesGris(Q142:AB142)</f>
        <v>150</v>
      </c>
      <c r="AI142" s="19">
        <f t="shared" si="18"/>
        <v>164</v>
      </c>
      <c r="AJ142" s="19">
        <f t="shared" si="19"/>
        <v>196</v>
      </c>
      <c r="AK142" s="20">
        <f t="shared" si="14"/>
        <v>218</v>
      </c>
      <c r="AL142" s="21">
        <f t="shared" si="20"/>
        <v>1.1122448979591837</v>
      </c>
    </row>
    <row r="143" spans="1:38" x14ac:dyDescent="0.25">
      <c r="A143" s="1" t="s">
        <v>239</v>
      </c>
      <c r="B143" s="1" t="s">
        <v>238</v>
      </c>
      <c r="C143" s="1"/>
      <c r="D143" s="3"/>
      <c r="E143" s="3"/>
      <c r="F143" s="3"/>
      <c r="G143" s="3"/>
      <c r="H143" s="3"/>
      <c r="I143" s="8">
        <v>19</v>
      </c>
      <c r="J143" s="8">
        <v>20</v>
      </c>
      <c r="K143" s="8">
        <v>21</v>
      </c>
      <c r="L143" s="8">
        <v>15</v>
      </c>
      <c r="M143" s="3"/>
      <c r="N143" s="8">
        <v>8</v>
      </c>
      <c r="O143" s="3"/>
      <c r="P143" s="3"/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9">
        <v>0.82609999999999995</v>
      </c>
      <c r="W143" s="4">
        <v>0.71430000000000005</v>
      </c>
      <c r="X143" s="4">
        <v>0.6774</v>
      </c>
      <c r="Y143" s="4">
        <v>0.5</v>
      </c>
      <c r="Z143" s="4">
        <v>0</v>
      </c>
      <c r="AA143" s="9">
        <v>2</v>
      </c>
      <c r="AB143" s="5">
        <v>0</v>
      </c>
      <c r="AC143" s="6">
        <v>0</v>
      </c>
      <c r="AD143" s="4">
        <v>0.47289999999999999</v>
      </c>
      <c r="AE143" s="4">
        <v>0.56999999999999995</v>
      </c>
      <c r="AF143" s="1" t="s">
        <v>35</v>
      </c>
      <c r="AG143" s="19">
        <f t="array" ref="AG143">DIASQUIEBRE(Q143:AB143)</f>
        <v>34</v>
      </c>
      <c r="AH143" s="19">
        <f t="array" ref="AH143">DiasMesesGris(Q143:AB143)</f>
        <v>180</v>
      </c>
      <c r="AI143" s="19">
        <f t="shared" si="18"/>
        <v>214</v>
      </c>
      <c r="AJ143" s="19">
        <f t="shared" si="19"/>
        <v>146</v>
      </c>
      <c r="AK143" s="20">
        <f t="shared" si="14"/>
        <v>83</v>
      </c>
      <c r="AL143" s="21">
        <f t="shared" si="20"/>
        <v>0.56849315068493156</v>
      </c>
    </row>
    <row r="144" spans="1:38" x14ac:dyDescent="0.25">
      <c r="A144" s="1" t="s">
        <v>241</v>
      </c>
      <c r="B144" s="1" t="s">
        <v>240</v>
      </c>
      <c r="C144" s="1"/>
      <c r="D144" s="3"/>
      <c r="E144" s="3"/>
      <c r="F144" s="3"/>
      <c r="G144" s="3"/>
      <c r="H144" s="3"/>
      <c r="I144" s="3"/>
      <c r="J144" s="3"/>
      <c r="K144" s="8">
        <v>20</v>
      </c>
      <c r="L144" s="8">
        <v>18</v>
      </c>
      <c r="M144" s="8">
        <v>24</v>
      </c>
      <c r="N144" s="8">
        <v>27</v>
      </c>
      <c r="O144" s="8">
        <v>30</v>
      </c>
      <c r="P144" s="3"/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9">
        <v>0.90910000000000002</v>
      </c>
      <c r="Y144" s="4">
        <v>0.6</v>
      </c>
      <c r="Z144" s="4">
        <v>0.7742</v>
      </c>
      <c r="AA144" s="4">
        <v>0.9</v>
      </c>
      <c r="AB144" s="9">
        <v>1.1537999999999999</v>
      </c>
      <c r="AC144" s="6">
        <v>0</v>
      </c>
      <c r="AD144" s="4">
        <v>0.7581</v>
      </c>
      <c r="AE144" s="4">
        <v>0.88</v>
      </c>
      <c r="AF144" s="1" t="s">
        <v>32</v>
      </c>
      <c r="AG144" s="19">
        <f t="array" ref="AG144">DIASQUIEBRE(Q144:AB144)</f>
        <v>14</v>
      </c>
      <c r="AH144" s="19">
        <f t="array" ref="AH144">DiasMesesGris(Q144:AB144)</f>
        <v>210</v>
      </c>
      <c r="AI144" s="19">
        <f t="shared" si="18"/>
        <v>224</v>
      </c>
      <c r="AJ144" s="19">
        <f t="shared" si="19"/>
        <v>136</v>
      </c>
      <c r="AK144" s="20">
        <f t="shared" si="14"/>
        <v>119</v>
      </c>
      <c r="AL144" s="21">
        <f t="shared" si="20"/>
        <v>0.875</v>
      </c>
    </row>
    <row r="145" spans="1:38" x14ac:dyDescent="0.25">
      <c r="A145" s="84" t="s">
        <v>243</v>
      </c>
      <c r="B145" s="1" t="s">
        <v>242</v>
      </c>
      <c r="C145" s="1"/>
      <c r="D145" s="3"/>
      <c r="E145" s="3"/>
      <c r="F145" s="3"/>
      <c r="G145" s="3"/>
      <c r="H145" s="3"/>
      <c r="I145" s="3"/>
      <c r="J145" s="3"/>
      <c r="K145" s="3"/>
      <c r="L145" s="8">
        <v>78</v>
      </c>
      <c r="M145" s="8">
        <v>104</v>
      </c>
      <c r="N145" s="8">
        <v>108</v>
      </c>
      <c r="O145" s="8">
        <v>210</v>
      </c>
      <c r="P145" s="3"/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9">
        <v>0</v>
      </c>
      <c r="Y145" s="4">
        <v>2.6</v>
      </c>
      <c r="Z145" s="4">
        <v>3.3548</v>
      </c>
      <c r="AA145" s="4">
        <v>3.6</v>
      </c>
      <c r="AB145" s="9">
        <v>7.2</v>
      </c>
      <c r="AC145" s="6">
        <v>0</v>
      </c>
      <c r="AD145" s="4">
        <v>3.1848999999999998</v>
      </c>
      <c r="AE145" s="4">
        <v>4.1900000000000004</v>
      </c>
      <c r="AF145" s="1" t="s">
        <v>35</v>
      </c>
      <c r="AG145" s="19">
        <f t="array" ref="AG145">DIASQUIEBRE(Q145:AB145)</f>
        <v>19</v>
      </c>
      <c r="AH145" s="19">
        <f t="array" ref="AH145">DiasMesesGris(Q145:AB145)</f>
        <v>210</v>
      </c>
      <c r="AI145" s="19">
        <f t="shared" si="18"/>
        <v>229</v>
      </c>
      <c r="AJ145" s="19">
        <f t="shared" si="19"/>
        <v>131</v>
      </c>
      <c r="AK145" s="20">
        <f t="shared" si="14"/>
        <v>500</v>
      </c>
      <c r="AL145" s="21">
        <f t="shared" si="20"/>
        <v>3.8167938931297711</v>
      </c>
    </row>
    <row r="146" spans="1:38" x14ac:dyDescent="0.25">
      <c r="A146" s="1" t="s">
        <v>245</v>
      </c>
      <c r="B146" s="1" t="s">
        <v>244</v>
      </c>
      <c r="C146" s="1"/>
      <c r="D146" s="3"/>
      <c r="E146" s="3"/>
      <c r="F146" s="3"/>
      <c r="G146" s="3"/>
      <c r="H146" s="3"/>
      <c r="I146" s="3"/>
      <c r="J146" s="3"/>
      <c r="K146" s="8">
        <v>19</v>
      </c>
      <c r="L146" s="8">
        <v>10</v>
      </c>
      <c r="M146" s="8">
        <v>48</v>
      </c>
      <c r="N146" s="8">
        <v>36</v>
      </c>
      <c r="O146" s="8">
        <v>54</v>
      </c>
      <c r="P146" s="3"/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9">
        <v>0.86360000000000003</v>
      </c>
      <c r="Y146" s="4">
        <v>0.33329999999999999</v>
      </c>
      <c r="Z146" s="4">
        <v>1.5484</v>
      </c>
      <c r="AA146" s="4">
        <v>1.2</v>
      </c>
      <c r="AB146" s="9">
        <v>1.8621000000000001</v>
      </c>
      <c r="AC146" s="6">
        <v>0</v>
      </c>
      <c r="AD146" s="4">
        <v>1.0271999999999999</v>
      </c>
      <c r="AE146" s="4">
        <v>1.2</v>
      </c>
      <c r="AF146" s="1" t="s">
        <v>35</v>
      </c>
      <c r="AG146" s="19">
        <f t="array" ref="AG146">DIASQUIEBRE(Q146:AB146)</f>
        <v>11</v>
      </c>
      <c r="AH146" s="19">
        <f t="array" ref="AH146">DiasMesesGris(Q146:AB146)</f>
        <v>210</v>
      </c>
      <c r="AI146" s="19">
        <f t="shared" si="18"/>
        <v>221</v>
      </c>
      <c r="AJ146" s="19">
        <f t="shared" si="19"/>
        <v>139</v>
      </c>
      <c r="AK146" s="20">
        <f t="shared" si="14"/>
        <v>167</v>
      </c>
      <c r="AL146" s="21">
        <f t="shared" si="20"/>
        <v>1.2014388489208634</v>
      </c>
    </row>
    <row r="147" spans="1:38" x14ac:dyDescent="0.25">
      <c r="A147" s="1" t="s">
        <v>247</v>
      </c>
      <c r="B147" s="1" t="s">
        <v>246</v>
      </c>
      <c r="C147" s="1"/>
      <c r="D147" s="3"/>
      <c r="E147" s="3"/>
      <c r="F147" s="3"/>
      <c r="G147" s="3"/>
      <c r="H147" s="3"/>
      <c r="I147" s="3"/>
      <c r="J147" s="3"/>
      <c r="K147" s="8">
        <v>50</v>
      </c>
      <c r="L147" s="8">
        <v>111</v>
      </c>
      <c r="M147" s="8">
        <v>4</v>
      </c>
      <c r="N147" s="8">
        <v>9</v>
      </c>
      <c r="O147" s="8">
        <v>26</v>
      </c>
      <c r="P147" s="3"/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9">
        <v>2.2726999999999999</v>
      </c>
      <c r="Y147" s="9">
        <v>7.4</v>
      </c>
      <c r="Z147" s="4">
        <v>0.129</v>
      </c>
      <c r="AA147" s="4">
        <v>0.3</v>
      </c>
      <c r="AB147" s="4">
        <v>0.8387</v>
      </c>
      <c r="AC147" s="10">
        <v>0</v>
      </c>
      <c r="AD147" s="4">
        <v>0.42259999999999998</v>
      </c>
      <c r="AE147" s="4">
        <v>1.59</v>
      </c>
      <c r="AF147" s="1" t="s">
        <v>35</v>
      </c>
      <c r="AG147" s="19">
        <f t="array" ref="AG147">DIASQUIEBRE(Q147:AB147)</f>
        <v>24</v>
      </c>
      <c r="AH147" s="19">
        <f t="array" ref="AH147">DiasMesesGris(Q147:AB147)</f>
        <v>210</v>
      </c>
      <c r="AI147" s="19">
        <f t="shared" si="18"/>
        <v>234</v>
      </c>
      <c r="AJ147" s="19">
        <f t="shared" si="19"/>
        <v>126</v>
      </c>
      <c r="AK147" s="20">
        <f t="shared" si="14"/>
        <v>200</v>
      </c>
      <c r="AL147" s="21">
        <f t="shared" si="20"/>
        <v>1.5873015873015872</v>
      </c>
    </row>
    <row r="148" spans="1:38" x14ac:dyDescent="0.25">
      <c r="A148" s="1" t="s">
        <v>249</v>
      </c>
      <c r="B148" s="1" t="s">
        <v>248</v>
      </c>
      <c r="C148" s="1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6">
        <v>0</v>
      </c>
      <c r="AE148" s="4">
        <f>AVERAGE(W148:AB148)</f>
        <v>0</v>
      </c>
      <c r="AF148" s="1" t="s">
        <v>35</v>
      </c>
      <c r="AG148" s="19">
        <f t="array" ref="AG148">DIASQUIEBRE(Q148:AB148)</f>
        <v>0</v>
      </c>
      <c r="AH148" s="19">
        <f t="array" ref="AH148">DiasMesesGris(Q148:AB148)</f>
        <v>360</v>
      </c>
      <c r="AI148" s="19">
        <f t="shared" si="18"/>
        <v>360</v>
      </c>
      <c r="AJ148" s="19">
        <f t="shared" si="19"/>
        <v>0</v>
      </c>
      <c r="AK148" s="20">
        <f t="shared" si="14"/>
        <v>0</v>
      </c>
      <c r="AL148" s="21">
        <f t="shared" si="20"/>
        <v>0</v>
      </c>
    </row>
    <row r="149" spans="1:38" x14ac:dyDescent="0.25">
      <c r="A149" s="1" t="s">
        <v>251</v>
      </c>
      <c r="B149" s="1" t="s">
        <v>250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8">
        <v>40</v>
      </c>
      <c r="N149" s="8">
        <v>87</v>
      </c>
      <c r="O149" s="8">
        <v>38</v>
      </c>
      <c r="P149" s="3"/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9">
        <v>0</v>
      </c>
      <c r="Z149" s="4">
        <v>1.2903</v>
      </c>
      <c r="AA149" s="4">
        <v>2.9</v>
      </c>
      <c r="AB149" s="9">
        <v>1.3103</v>
      </c>
      <c r="AC149" s="6">
        <v>0</v>
      </c>
      <c r="AD149" s="4">
        <v>2.0952000000000002</v>
      </c>
      <c r="AE149" s="4">
        <v>1.85</v>
      </c>
      <c r="AF149" s="1" t="s">
        <v>35</v>
      </c>
      <c r="AG149" s="19">
        <f t="array" ref="AG149">DIASQUIEBRE(Q149:AB149)</f>
        <v>31</v>
      </c>
      <c r="AH149" s="19">
        <f t="array" ref="AH149">DiasMesesGris(Q149:AB149)</f>
        <v>240</v>
      </c>
      <c r="AI149" s="19">
        <f t="shared" si="18"/>
        <v>271</v>
      </c>
      <c r="AJ149" s="19">
        <f t="shared" si="19"/>
        <v>89</v>
      </c>
      <c r="AK149" s="20">
        <f t="shared" si="14"/>
        <v>165</v>
      </c>
      <c r="AL149" s="21">
        <f t="shared" si="20"/>
        <v>1.853932584269663</v>
      </c>
    </row>
    <row r="150" spans="1:38" x14ac:dyDescent="0.25">
      <c r="A150" s="1" t="s">
        <v>253</v>
      </c>
      <c r="B150" s="1" t="s">
        <v>252</v>
      </c>
      <c r="C150" s="1"/>
      <c r="D150" s="3"/>
      <c r="E150" s="3"/>
      <c r="F150" s="3"/>
      <c r="G150" s="3"/>
      <c r="H150" s="3"/>
      <c r="I150" s="3"/>
      <c r="J150" s="3"/>
      <c r="K150" s="3"/>
      <c r="L150" s="3"/>
      <c r="M150" s="8">
        <v>63</v>
      </c>
      <c r="N150" s="8">
        <v>63</v>
      </c>
      <c r="O150" s="8">
        <v>40</v>
      </c>
      <c r="P150" s="3"/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9">
        <v>0</v>
      </c>
      <c r="Z150" s="4">
        <v>2.0323000000000002</v>
      </c>
      <c r="AA150" s="4">
        <v>2.1</v>
      </c>
      <c r="AB150" s="9">
        <v>1.5385</v>
      </c>
      <c r="AC150" s="6">
        <v>0</v>
      </c>
      <c r="AD150" s="4">
        <v>2.0661999999999998</v>
      </c>
      <c r="AE150" s="4">
        <v>1.93</v>
      </c>
      <c r="AF150" s="1" t="s">
        <v>35</v>
      </c>
      <c r="AG150" s="19">
        <f t="array" ref="AG150">DIASQUIEBRE(Q150:AB150)</f>
        <v>34</v>
      </c>
      <c r="AH150" s="19">
        <f t="array" ref="AH150">DiasMesesGris(Q150:AB150)</f>
        <v>240</v>
      </c>
      <c r="AI150" s="19">
        <f t="shared" si="18"/>
        <v>274</v>
      </c>
      <c r="AJ150" s="19">
        <f t="shared" si="19"/>
        <v>86</v>
      </c>
      <c r="AK150" s="20">
        <f t="shared" ref="AK150:AK213" si="21">SUM(D150:O150)</f>
        <v>166</v>
      </c>
      <c r="AL150" s="21">
        <f t="shared" si="20"/>
        <v>1.930232558139535</v>
      </c>
    </row>
    <row r="151" spans="1:38" x14ac:dyDescent="0.25">
      <c r="A151" s="1" t="s">
        <v>255</v>
      </c>
      <c r="B151" s="1" t="s">
        <v>254</v>
      </c>
      <c r="C151" s="1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6">
        <v>0</v>
      </c>
      <c r="AE151" s="4">
        <f>AVERAGE(W151:AB151)</f>
        <v>0</v>
      </c>
      <c r="AF151" s="1" t="s">
        <v>35</v>
      </c>
      <c r="AG151" s="19">
        <f t="array" ref="AG151">DIASQUIEBRE(Q151:AB151)</f>
        <v>0</v>
      </c>
      <c r="AH151" s="19">
        <f t="array" ref="AH151">DiasMesesGris(Q151:AB151)</f>
        <v>360</v>
      </c>
      <c r="AI151" s="19">
        <f t="shared" si="18"/>
        <v>360</v>
      </c>
      <c r="AJ151" s="19">
        <f t="shared" si="19"/>
        <v>0</v>
      </c>
      <c r="AK151" s="20">
        <f t="shared" si="21"/>
        <v>0</v>
      </c>
      <c r="AL151" s="21">
        <f t="shared" si="20"/>
        <v>0</v>
      </c>
    </row>
    <row r="152" spans="1:38" x14ac:dyDescent="0.25">
      <c r="A152" s="1" t="s">
        <v>257</v>
      </c>
      <c r="B152" s="1" t="s">
        <v>256</v>
      </c>
      <c r="C152" s="1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6">
        <v>0</v>
      </c>
      <c r="AE152" s="4">
        <f>AVERAGE(W152:AB152)</f>
        <v>0</v>
      </c>
      <c r="AF152" s="1" t="s">
        <v>35</v>
      </c>
      <c r="AG152" s="19">
        <f t="array" ref="AG152">DIASQUIEBRE(Q152:AB152)</f>
        <v>0</v>
      </c>
      <c r="AH152" s="19">
        <f t="array" ref="AH152">DiasMesesGris(Q152:AB152)</f>
        <v>360</v>
      </c>
      <c r="AI152" s="19">
        <f t="shared" si="18"/>
        <v>360</v>
      </c>
      <c r="AJ152" s="19">
        <f t="shared" si="19"/>
        <v>0</v>
      </c>
      <c r="AK152" s="20">
        <f t="shared" si="21"/>
        <v>0</v>
      </c>
      <c r="AL152" s="21">
        <f t="shared" si="20"/>
        <v>0</v>
      </c>
    </row>
    <row r="153" spans="1:38" x14ac:dyDescent="0.25">
      <c r="A153" s="1" t="s">
        <v>259</v>
      </c>
      <c r="B153" s="1" t="s">
        <v>258</v>
      </c>
      <c r="C153" s="1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  <c r="AC153" s="6">
        <v>0</v>
      </c>
      <c r="AE153" s="4">
        <f>AVERAGE(W153:AB153)</f>
        <v>0</v>
      </c>
      <c r="AF153" s="1" t="s">
        <v>35</v>
      </c>
      <c r="AG153" s="19">
        <f t="array" ref="AG153">DIASQUIEBRE(Q153:AB153)</f>
        <v>0</v>
      </c>
      <c r="AH153" s="19">
        <f t="array" ref="AH153">DiasMesesGris(Q153:AB153)</f>
        <v>360</v>
      </c>
      <c r="AI153" s="19">
        <f t="shared" si="18"/>
        <v>360</v>
      </c>
      <c r="AJ153" s="19">
        <f t="shared" si="19"/>
        <v>0</v>
      </c>
      <c r="AK153" s="20">
        <f t="shared" si="21"/>
        <v>0</v>
      </c>
      <c r="AL153" s="21">
        <f t="shared" si="20"/>
        <v>0</v>
      </c>
    </row>
    <row r="154" spans="1:38" x14ac:dyDescent="0.25">
      <c r="A154" s="1" t="s">
        <v>261</v>
      </c>
      <c r="B154" s="1" t="s">
        <v>260</v>
      </c>
      <c r="C154" s="1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6">
        <v>0</v>
      </c>
      <c r="AE154" s="4">
        <f>AVERAGE(W154:AB154)</f>
        <v>0</v>
      </c>
      <c r="AF154" s="1" t="s">
        <v>35</v>
      </c>
      <c r="AG154" s="19">
        <f t="array" ref="AG154">DIASQUIEBRE(Q154:AB154)</f>
        <v>0</v>
      </c>
      <c r="AH154" s="19">
        <f t="array" ref="AH154">DiasMesesGris(Q154:AB154)</f>
        <v>360</v>
      </c>
      <c r="AI154" s="19">
        <f t="shared" si="18"/>
        <v>360</v>
      </c>
      <c r="AJ154" s="19">
        <f t="shared" si="19"/>
        <v>0</v>
      </c>
      <c r="AK154" s="20">
        <f t="shared" si="21"/>
        <v>0</v>
      </c>
      <c r="AL154" s="21">
        <f t="shared" si="20"/>
        <v>0</v>
      </c>
    </row>
    <row r="155" spans="1:38" x14ac:dyDescent="0.25">
      <c r="A155" s="1" t="s">
        <v>263</v>
      </c>
      <c r="B155" s="1" t="s">
        <v>262</v>
      </c>
      <c r="C155" s="1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6">
        <v>0</v>
      </c>
      <c r="AE155" s="4">
        <f>AVERAGE(W155:AB155)</f>
        <v>0</v>
      </c>
      <c r="AF155" s="1" t="s">
        <v>35</v>
      </c>
      <c r="AG155" s="19">
        <f t="array" ref="AG155">DIASQUIEBRE(Q155:AB155)</f>
        <v>0</v>
      </c>
      <c r="AH155" s="19">
        <f t="array" ref="AH155">DiasMesesGris(Q155:AB155)</f>
        <v>360</v>
      </c>
      <c r="AI155" s="19">
        <f t="shared" si="18"/>
        <v>360</v>
      </c>
      <c r="AJ155" s="19">
        <f t="shared" si="19"/>
        <v>0</v>
      </c>
      <c r="AK155" s="20">
        <f t="shared" si="21"/>
        <v>0</v>
      </c>
      <c r="AL155" s="21">
        <f t="shared" si="20"/>
        <v>0</v>
      </c>
    </row>
    <row r="156" spans="1:38" x14ac:dyDescent="0.25">
      <c r="A156" s="1" t="s">
        <v>265</v>
      </c>
      <c r="B156" s="1" t="s">
        <v>264</v>
      </c>
      <c r="C156" s="1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8">
        <v>3</v>
      </c>
      <c r="P156" s="3"/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9">
        <v>0.3</v>
      </c>
      <c r="AC156" s="10">
        <v>0</v>
      </c>
      <c r="AE156" s="23">
        <v>0</v>
      </c>
      <c r="AF156" s="1" t="s">
        <v>32</v>
      </c>
      <c r="AG156" s="19">
        <f t="array" ref="AG156">DIASQUIEBRE(Q156:AB156)</f>
        <v>21</v>
      </c>
      <c r="AH156" s="19">
        <f t="array" ref="AH156">DiasMesesGris(Q156:AB156)</f>
        <v>330</v>
      </c>
      <c r="AI156" s="19">
        <f t="shared" si="18"/>
        <v>351</v>
      </c>
      <c r="AJ156" s="19">
        <f t="shared" si="19"/>
        <v>9</v>
      </c>
      <c r="AK156" s="20">
        <f t="shared" si="21"/>
        <v>3</v>
      </c>
      <c r="AL156" s="21">
        <f t="shared" si="20"/>
        <v>0.33333333333333331</v>
      </c>
    </row>
    <row r="157" spans="1:38" x14ac:dyDescent="0.25">
      <c r="A157" s="1" t="s">
        <v>267</v>
      </c>
      <c r="B157" s="1" t="s">
        <v>266</v>
      </c>
      <c r="C157" s="1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6">
        <v>0</v>
      </c>
      <c r="AE157" s="4">
        <f t="shared" ref="AE157:AE194" si="22">AVERAGE(W157:AB157)</f>
        <v>0</v>
      </c>
      <c r="AF157" s="1" t="s">
        <v>35</v>
      </c>
      <c r="AG157" s="19">
        <f t="array" ref="AG157">DIASQUIEBRE(Q157:AB157)</f>
        <v>0</v>
      </c>
      <c r="AH157" s="19">
        <f t="array" ref="AH157">DiasMesesGris(Q157:AB157)</f>
        <v>360</v>
      </c>
      <c r="AI157" s="19">
        <f t="shared" si="18"/>
        <v>360</v>
      </c>
      <c r="AJ157" s="19">
        <f t="shared" si="19"/>
        <v>0</v>
      </c>
      <c r="AK157" s="20">
        <f t="shared" si="21"/>
        <v>0</v>
      </c>
      <c r="AL157" s="21">
        <f t="shared" si="20"/>
        <v>0</v>
      </c>
    </row>
    <row r="158" spans="1:38" x14ac:dyDescent="0.25">
      <c r="A158" s="1" t="s">
        <v>269</v>
      </c>
      <c r="B158" s="1" t="s">
        <v>268</v>
      </c>
      <c r="C158" s="1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6">
        <v>0</v>
      </c>
      <c r="AE158" s="4">
        <f t="shared" si="22"/>
        <v>0</v>
      </c>
      <c r="AF158" s="1" t="s">
        <v>35</v>
      </c>
      <c r="AG158" s="19">
        <f t="array" ref="AG158">DIASQUIEBRE(Q158:AB158)</f>
        <v>0</v>
      </c>
      <c r="AH158" s="19">
        <f t="array" ref="AH158">DiasMesesGris(Q158:AB158)</f>
        <v>360</v>
      </c>
      <c r="AI158" s="19">
        <f t="shared" si="18"/>
        <v>360</v>
      </c>
      <c r="AJ158" s="19">
        <f t="shared" si="19"/>
        <v>0</v>
      </c>
      <c r="AK158" s="20">
        <f t="shared" si="21"/>
        <v>0</v>
      </c>
      <c r="AL158" s="21">
        <f t="shared" si="20"/>
        <v>0</v>
      </c>
    </row>
    <row r="159" spans="1:38" x14ac:dyDescent="0.25">
      <c r="A159" s="1" t="s">
        <v>272</v>
      </c>
      <c r="B159" s="1" t="s">
        <v>271</v>
      </c>
      <c r="C159" s="1" t="s">
        <v>270</v>
      </c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  <c r="AC159" s="6">
        <v>0</v>
      </c>
      <c r="AE159" s="4">
        <f t="shared" si="22"/>
        <v>0</v>
      </c>
      <c r="AF159" s="1" t="s">
        <v>32</v>
      </c>
      <c r="AG159" s="19">
        <f t="array" ref="AG159">DIASQUIEBRE(Q159:AB159)</f>
        <v>0</v>
      </c>
      <c r="AH159" s="19">
        <f t="array" ref="AH159">DiasMesesGris(Q159:AB159)</f>
        <v>360</v>
      </c>
      <c r="AI159" s="19">
        <f t="shared" si="18"/>
        <v>360</v>
      </c>
      <c r="AJ159" s="19">
        <f t="shared" si="19"/>
        <v>0</v>
      </c>
      <c r="AK159" s="20">
        <f t="shared" si="21"/>
        <v>0</v>
      </c>
      <c r="AL159" s="21">
        <f t="shared" si="20"/>
        <v>0</v>
      </c>
    </row>
    <row r="160" spans="1:38" x14ac:dyDescent="0.25">
      <c r="A160" s="1" t="s">
        <v>275</v>
      </c>
      <c r="B160" s="1" t="s">
        <v>274</v>
      </c>
      <c r="C160" s="1" t="s">
        <v>273</v>
      </c>
      <c r="D160" s="8">
        <v>72</v>
      </c>
      <c r="E160" s="3"/>
      <c r="F160" s="3"/>
      <c r="G160" s="3"/>
      <c r="H160" s="3"/>
      <c r="I160" s="8">
        <v>-2</v>
      </c>
      <c r="J160" s="8">
        <v>1</v>
      </c>
      <c r="K160" s="3"/>
      <c r="L160" s="3"/>
      <c r="M160" s="3"/>
      <c r="N160" s="3"/>
      <c r="O160" s="3"/>
      <c r="P160" s="3"/>
      <c r="Q160" s="9">
        <v>12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6">
        <v>0</v>
      </c>
      <c r="AE160" s="4">
        <f t="shared" si="22"/>
        <v>0</v>
      </c>
      <c r="AF160" s="1" t="s">
        <v>32</v>
      </c>
      <c r="AG160" s="19">
        <f t="array" ref="AG160">DIASQUIEBRE(Q160:AB160)</f>
        <v>25</v>
      </c>
      <c r="AH160" s="19">
        <f t="array" ref="AH160">DiasMesesGris(Q160:AB160)</f>
        <v>330</v>
      </c>
      <c r="AI160" s="19">
        <f t="shared" si="18"/>
        <v>355</v>
      </c>
      <c r="AJ160" s="19">
        <f t="shared" si="19"/>
        <v>5</v>
      </c>
      <c r="AK160" s="20">
        <f t="shared" si="21"/>
        <v>71</v>
      </c>
      <c r="AL160" s="21">
        <f t="shared" si="20"/>
        <v>14.2</v>
      </c>
    </row>
    <row r="161" spans="1:38" x14ac:dyDescent="0.25">
      <c r="A161" s="1" t="s">
        <v>278</v>
      </c>
      <c r="B161" s="1" t="s">
        <v>277</v>
      </c>
      <c r="C161" s="1" t="s">
        <v>276</v>
      </c>
      <c r="D161" s="8">
        <v>98</v>
      </c>
      <c r="E161" s="8">
        <v>35</v>
      </c>
      <c r="F161" s="8">
        <v>58</v>
      </c>
      <c r="G161" s="8">
        <v>31</v>
      </c>
      <c r="H161" s="3"/>
      <c r="I161" s="3"/>
      <c r="J161" s="3"/>
      <c r="K161" s="3"/>
      <c r="L161" s="3"/>
      <c r="M161" s="8">
        <v>-1</v>
      </c>
      <c r="N161" s="3"/>
      <c r="O161" s="3"/>
      <c r="P161" s="3"/>
      <c r="Q161" s="4">
        <v>3.1613000000000002</v>
      </c>
      <c r="R161" s="4">
        <v>1.1667000000000001</v>
      </c>
      <c r="S161" s="4">
        <v>1.871</v>
      </c>
      <c r="T161" s="9">
        <v>1.8234999999999999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6">
        <v>0</v>
      </c>
      <c r="AD161" s="4">
        <v>2.0663</v>
      </c>
      <c r="AE161" s="4">
        <f t="shared" si="22"/>
        <v>0</v>
      </c>
      <c r="AF161" s="1" t="s">
        <v>32</v>
      </c>
      <c r="AG161" s="19">
        <f t="array" ref="AG161">DIASQUIEBRE(Q161:AB161)</f>
        <v>13</v>
      </c>
      <c r="AH161" s="19">
        <f t="array" ref="AH161">DiasMesesGris(Q161:AB161)</f>
        <v>240</v>
      </c>
      <c r="AI161" s="19">
        <f t="shared" si="18"/>
        <v>253</v>
      </c>
      <c r="AJ161" s="19">
        <f t="shared" si="19"/>
        <v>107</v>
      </c>
      <c r="AK161" s="20">
        <f t="shared" si="21"/>
        <v>221</v>
      </c>
      <c r="AL161" s="21">
        <f t="shared" si="20"/>
        <v>2.0654205607476634</v>
      </c>
    </row>
    <row r="162" spans="1:38" x14ac:dyDescent="0.25">
      <c r="A162" s="1" t="s">
        <v>281</v>
      </c>
      <c r="B162" s="1" t="s">
        <v>280</v>
      </c>
      <c r="C162" s="1" t="s">
        <v>279</v>
      </c>
      <c r="D162" s="8">
        <v>57</v>
      </c>
      <c r="E162" s="8">
        <v>11</v>
      </c>
      <c r="F162" s="8">
        <v>81</v>
      </c>
      <c r="G162" s="8">
        <v>51</v>
      </c>
      <c r="H162" s="8">
        <v>40</v>
      </c>
      <c r="I162" s="8">
        <v>36</v>
      </c>
      <c r="J162" s="8">
        <v>24</v>
      </c>
      <c r="K162" s="8">
        <v>25</v>
      </c>
      <c r="L162" s="8">
        <v>47</v>
      </c>
      <c r="M162" s="8">
        <v>14</v>
      </c>
      <c r="N162" s="8">
        <v>52</v>
      </c>
      <c r="O162" s="8">
        <v>13</v>
      </c>
      <c r="P162" s="3"/>
      <c r="Q162" s="4">
        <v>1.8387</v>
      </c>
      <c r="R162" s="4">
        <v>0.36670000000000003</v>
      </c>
      <c r="S162" s="4">
        <v>2.6128999999999998</v>
      </c>
      <c r="T162" s="4">
        <v>1.7</v>
      </c>
      <c r="U162" s="4">
        <v>1.2903</v>
      </c>
      <c r="V162" s="4">
        <v>1.1613</v>
      </c>
      <c r="W162" s="4">
        <v>0.85709999999999997</v>
      </c>
      <c r="X162" s="4">
        <v>0.80649999999999999</v>
      </c>
      <c r="Y162" s="4">
        <v>1.5667</v>
      </c>
      <c r="Z162" s="4">
        <v>0.4516</v>
      </c>
      <c r="AA162" s="4">
        <v>1.7333000000000001</v>
      </c>
      <c r="AB162" s="4">
        <v>0.4194</v>
      </c>
      <c r="AC162" s="10">
        <v>0</v>
      </c>
      <c r="AD162" s="4">
        <v>1.2337</v>
      </c>
      <c r="AE162" s="4">
        <f t="shared" si="22"/>
        <v>0.97243333333333337</v>
      </c>
      <c r="AF162" s="1" t="s">
        <v>32</v>
      </c>
      <c r="AG162" s="19">
        <f t="array" ref="AG162">DIASQUIEBRE(Q162:AB162)</f>
        <v>0</v>
      </c>
      <c r="AH162" s="19">
        <f t="array" ref="AH162">DiasMesesGris(Q162:AB162)</f>
        <v>0</v>
      </c>
      <c r="AI162" s="19">
        <f t="shared" si="18"/>
        <v>0</v>
      </c>
      <c r="AJ162" s="19">
        <f t="shared" si="19"/>
        <v>360</v>
      </c>
      <c r="AK162" s="20">
        <f t="shared" si="21"/>
        <v>451</v>
      </c>
      <c r="AL162" s="21">
        <f t="shared" si="20"/>
        <v>1.2527777777777778</v>
      </c>
    </row>
    <row r="163" spans="1:38" x14ac:dyDescent="0.25">
      <c r="A163" s="1" t="s">
        <v>284</v>
      </c>
      <c r="B163" s="1" t="s">
        <v>283</v>
      </c>
      <c r="C163" s="1" t="s">
        <v>282</v>
      </c>
      <c r="D163" s="3"/>
      <c r="E163" s="3"/>
      <c r="F163" s="3"/>
      <c r="G163" s="3"/>
      <c r="H163" s="3"/>
      <c r="I163" s="3"/>
      <c r="J163" s="3"/>
      <c r="K163" s="8">
        <v>2</v>
      </c>
      <c r="L163" s="3"/>
      <c r="M163" s="3"/>
      <c r="N163" s="3"/>
      <c r="O163" s="3"/>
      <c r="P163" s="3"/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6">
        <v>0</v>
      </c>
      <c r="AE163" s="4">
        <f t="shared" si="22"/>
        <v>0</v>
      </c>
      <c r="AF163" s="1" t="s">
        <v>32</v>
      </c>
      <c r="AG163" s="19">
        <f t="array" ref="AG163">DIASQUIEBRE(Q163:AB163)</f>
        <v>0</v>
      </c>
      <c r="AH163" s="19">
        <f t="array" ref="AH163">DiasMesesGris(Q163:AB163)</f>
        <v>360</v>
      </c>
      <c r="AI163" s="19">
        <f t="shared" si="18"/>
        <v>360</v>
      </c>
      <c r="AJ163" s="19">
        <f t="shared" si="19"/>
        <v>0</v>
      </c>
      <c r="AK163" s="20">
        <f t="shared" si="21"/>
        <v>2</v>
      </c>
      <c r="AL163" s="21">
        <f t="shared" si="20"/>
        <v>0</v>
      </c>
    </row>
    <row r="164" spans="1:38" x14ac:dyDescent="0.25">
      <c r="A164" s="1" t="s">
        <v>287</v>
      </c>
      <c r="B164" s="1" t="s">
        <v>286</v>
      </c>
      <c r="C164" s="1" t="s">
        <v>285</v>
      </c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6">
        <v>0</v>
      </c>
      <c r="AE164" s="4">
        <f t="shared" si="22"/>
        <v>0</v>
      </c>
      <c r="AF164" s="1" t="s">
        <v>32</v>
      </c>
      <c r="AG164" s="19">
        <f t="array" ref="AG164">DIASQUIEBRE(Q164:AB164)</f>
        <v>0</v>
      </c>
      <c r="AH164" s="19">
        <f t="array" ref="AH164">DiasMesesGris(Q164:AB164)</f>
        <v>360</v>
      </c>
      <c r="AI164" s="19">
        <f t="shared" si="18"/>
        <v>360</v>
      </c>
      <c r="AJ164" s="19">
        <f t="shared" si="19"/>
        <v>0</v>
      </c>
      <c r="AK164" s="20">
        <f t="shared" si="21"/>
        <v>0</v>
      </c>
      <c r="AL164" s="21">
        <f t="shared" si="20"/>
        <v>0</v>
      </c>
    </row>
    <row r="165" spans="1:38" x14ac:dyDescent="0.25">
      <c r="A165" s="1" t="s">
        <v>289</v>
      </c>
      <c r="B165" s="1" t="s">
        <v>288</v>
      </c>
      <c r="C165" s="1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6">
        <v>0</v>
      </c>
      <c r="AE165" s="4">
        <f t="shared" si="22"/>
        <v>0</v>
      </c>
      <c r="AF165" s="1" t="s">
        <v>32</v>
      </c>
      <c r="AG165" s="19">
        <f t="array" ref="AG165">DIASQUIEBRE(Q165:AB165)</f>
        <v>0</v>
      </c>
      <c r="AH165" s="19">
        <f t="array" ref="AH165">DiasMesesGris(Q165:AB165)</f>
        <v>360</v>
      </c>
      <c r="AI165" s="19">
        <f t="shared" si="18"/>
        <v>360</v>
      </c>
      <c r="AJ165" s="19">
        <f t="shared" si="19"/>
        <v>0</v>
      </c>
      <c r="AK165" s="20">
        <f t="shared" si="21"/>
        <v>0</v>
      </c>
      <c r="AL165" s="21">
        <f t="shared" si="20"/>
        <v>0</v>
      </c>
    </row>
    <row r="166" spans="1:38" x14ac:dyDescent="0.25">
      <c r="A166" s="1" t="s">
        <v>293</v>
      </c>
      <c r="B166" s="1" t="s">
        <v>292</v>
      </c>
      <c r="C166" s="1"/>
      <c r="D166" s="8">
        <v>20</v>
      </c>
      <c r="E166" s="8">
        <v>26</v>
      </c>
      <c r="F166" s="8">
        <v>32</v>
      </c>
      <c r="G166" s="8">
        <v>9</v>
      </c>
      <c r="H166" s="3"/>
      <c r="I166" s="8">
        <v>9</v>
      </c>
      <c r="J166" s="8">
        <v>33</v>
      </c>
      <c r="K166" s="8">
        <v>15</v>
      </c>
      <c r="L166" s="8">
        <v>5</v>
      </c>
      <c r="M166" s="8">
        <v>5</v>
      </c>
      <c r="N166" s="3"/>
      <c r="O166" s="8">
        <v>8</v>
      </c>
      <c r="P166" s="3"/>
      <c r="Q166" s="4">
        <v>0.6452</v>
      </c>
      <c r="R166" s="4">
        <v>0.86670000000000003</v>
      </c>
      <c r="S166" s="4">
        <v>1.0323</v>
      </c>
      <c r="T166" s="4">
        <v>0.3</v>
      </c>
      <c r="U166" s="4">
        <v>0</v>
      </c>
      <c r="V166" s="4">
        <v>0.2903</v>
      </c>
      <c r="W166" s="4">
        <v>1.1786000000000001</v>
      </c>
      <c r="X166" s="4">
        <v>0.4839</v>
      </c>
      <c r="Y166" s="4">
        <v>0.16669999999999999</v>
      </c>
      <c r="Z166" s="4">
        <v>0.1613</v>
      </c>
      <c r="AA166" s="4">
        <v>0</v>
      </c>
      <c r="AB166" s="4">
        <v>0.2581</v>
      </c>
      <c r="AC166" s="10">
        <v>0</v>
      </c>
      <c r="AD166" s="4">
        <v>0.4486</v>
      </c>
      <c r="AE166" s="4">
        <f t="shared" si="22"/>
        <v>0.37476666666666669</v>
      </c>
      <c r="AF166" s="1" t="s">
        <v>35</v>
      </c>
      <c r="AG166" s="19">
        <f t="array" ref="AG166">DIASQUIEBRE(Q166:AB166)</f>
        <v>0</v>
      </c>
      <c r="AH166" s="19">
        <f t="array" ref="AH166">DiasMesesGris(Q166:AB166)</f>
        <v>0</v>
      </c>
      <c r="AI166" s="19">
        <f t="shared" si="18"/>
        <v>0</v>
      </c>
      <c r="AJ166" s="19">
        <f t="shared" si="19"/>
        <v>360</v>
      </c>
      <c r="AK166" s="20">
        <f t="shared" si="21"/>
        <v>162</v>
      </c>
      <c r="AL166" s="21">
        <f t="shared" si="20"/>
        <v>0.45</v>
      </c>
    </row>
    <row r="167" spans="1:38" x14ac:dyDescent="0.25">
      <c r="A167" s="1" t="s">
        <v>295</v>
      </c>
      <c r="B167" s="1" t="s">
        <v>294</v>
      </c>
      <c r="C167" s="1"/>
      <c r="D167" s="3"/>
      <c r="E167" s="8">
        <v>2</v>
      </c>
      <c r="F167" s="8">
        <v>20</v>
      </c>
      <c r="G167" s="8">
        <v>18</v>
      </c>
      <c r="H167" s="3"/>
      <c r="I167" s="3"/>
      <c r="J167" s="8">
        <v>12</v>
      </c>
      <c r="K167" s="8">
        <v>10</v>
      </c>
      <c r="L167" s="3"/>
      <c r="M167" s="3"/>
      <c r="N167" s="8">
        <v>5</v>
      </c>
      <c r="O167" s="8">
        <v>2</v>
      </c>
      <c r="P167" s="3"/>
      <c r="Q167" s="4">
        <v>0</v>
      </c>
      <c r="R167" s="4">
        <v>6.6699999999999995E-2</v>
      </c>
      <c r="S167" s="4">
        <v>0.6452</v>
      </c>
      <c r="T167" s="4">
        <v>0.6</v>
      </c>
      <c r="U167" s="4">
        <v>0</v>
      </c>
      <c r="V167" s="4">
        <v>0</v>
      </c>
      <c r="W167" s="4">
        <v>0.42859999999999998</v>
      </c>
      <c r="X167" s="4">
        <v>0.3226</v>
      </c>
      <c r="Y167" s="4">
        <v>0</v>
      </c>
      <c r="Z167" s="4">
        <v>0</v>
      </c>
      <c r="AA167" s="4">
        <v>0.16669999999999999</v>
      </c>
      <c r="AB167" s="4">
        <v>6.4500000000000002E-2</v>
      </c>
      <c r="AC167" s="10">
        <v>0</v>
      </c>
      <c r="AD167" s="4">
        <v>0.19120000000000001</v>
      </c>
      <c r="AE167" s="4">
        <f t="shared" si="22"/>
        <v>0.16373333333333331</v>
      </c>
      <c r="AF167" s="1" t="s">
        <v>35</v>
      </c>
      <c r="AG167" s="19">
        <f t="array" ref="AG167">DIASQUIEBRE(Q167:AB167)</f>
        <v>0</v>
      </c>
      <c r="AH167" s="19">
        <f t="array" ref="AH167">DiasMesesGris(Q167:AB167)</f>
        <v>0</v>
      </c>
      <c r="AI167" s="19">
        <f t="shared" si="18"/>
        <v>0</v>
      </c>
      <c r="AJ167" s="19">
        <f t="shared" si="19"/>
        <v>360</v>
      </c>
      <c r="AK167" s="20">
        <f t="shared" si="21"/>
        <v>69</v>
      </c>
      <c r="AL167" s="21">
        <f t="shared" si="20"/>
        <v>0.19166666666666668</v>
      </c>
    </row>
    <row r="168" spans="1:38" x14ac:dyDescent="0.25">
      <c r="A168" s="1" t="s">
        <v>297</v>
      </c>
      <c r="B168" s="1" t="s">
        <v>296</v>
      </c>
      <c r="C168" s="1"/>
      <c r="D168" s="8">
        <v>6</v>
      </c>
      <c r="E168" s="8">
        <v>1</v>
      </c>
      <c r="F168" s="8">
        <v>42</v>
      </c>
      <c r="G168" s="8">
        <v>17</v>
      </c>
      <c r="H168" s="8">
        <v>38</v>
      </c>
      <c r="I168" s="8">
        <v>17</v>
      </c>
      <c r="J168" s="8">
        <v>20</v>
      </c>
      <c r="K168" s="8">
        <v>34</v>
      </c>
      <c r="L168" s="8">
        <v>37</v>
      </c>
      <c r="M168" s="8">
        <v>2</v>
      </c>
      <c r="N168" s="8">
        <v>8</v>
      </c>
      <c r="O168" s="8">
        <v>28</v>
      </c>
      <c r="P168" s="3"/>
      <c r="Q168" s="4">
        <v>0.19350000000000001</v>
      </c>
      <c r="R168" s="4">
        <v>3.3300000000000003E-2</v>
      </c>
      <c r="S168" s="4">
        <v>1.3548</v>
      </c>
      <c r="T168" s="4">
        <v>0.56669999999999998</v>
      </c>
      <c r="U168" s="9">
        <v>1.2666999999999999</v>
      </c>
      <c r="V168" s="4">
        <v>0.5484</v>
      </c>
      <c r="W168" s="4">
        <v>0.71430000000000005</v>
      </c>
      <c r="X168" s="4">
        <v>1.0968</v>
      </c>
      <c r="Y168" s="4">
        <v>1.2333000000000001</v>
      </c>
      <c r="Z168" s="4">
        <v>6.4500000000000002E-2</v>
      </c>
      <c r="AA168" s="4">
        <v>0.26669999999999999</v>
      </c>
      <c r="AB168" s="4">
        <v>0.9032</v>
      </c>
      <c r="AC168" s="10">
        <v>0</v>
      </c>
      <c r="AD168" s="4">
        <v>0.6341</v>
      </c>
      <c r="AE168" s="4">
        <f t="shared" si="22"/>
        <v>0.7131333333333334</v>
      </c>
      <c r="AF168" s="1" t="s">
        <v>35</v>
      </c>
      <c r="AG168" s="19">
        <f t="array" ref="AG168">DIASQUIEBRE(Q168:AB168)</f>
        <v>1</v>
      </c>
      <c r="AH168" s="19">
        <f t="array" ref="AH168">DiasMesesGris(Q168:AB168)</f>
        <v>0</v>
      </c>
      <c r="AI168" s="19">
        <f t="shared" si="18"/>
        <v>1</v>
      </c>
      <c r="AJ168" s="19">
        <f t="shared" si="19"/>
        <v>359</v>
      </c>
      <c r="AK168" s="20">
        <f t="shared" si="21"/>
        <v>250</v>
      </c>
      <c r="AL168" s="21">
        <f t="shared" si="20"/>
        <v>0.69637883008356549</v>
      </c>
    </row>
    <row r="169" spans="1:38" x14ac:dyDescent="0.25">
      <c r="A169" s="1" t="s">
        <v>300</v>
      </c>
      <c r="B169" s="1" t="s">
        <v>299</v>
      </c>
      <c r="C169" s="1" t="s">
        <v>298</v>
      </c>
      <c r="D169" s="3"/>
      <c r="E169" s="3"/>
      <c r="F169" s="8">
        <v>3</v>
      </c>
      <c r="G169" s="8">
        <v>1</v>
      </c>
      <c r="H169" s="3"/>
      <c r="I169" s="3"/>
      <c r="J169" s="8">
        <v>4</v>
      </c>
      <c r="K169" s="8">
        <v>3</v>
      </c>
      <c r="L169" s="8">
        <v>18</v>
      </c>
      <c r="M169" s="8">
        <v>2</v>
      </c>
      <c r="N169" s="8">
        <v>2</v>
      </c>
      <c r="O169" s="8">
        <v>1</v>
      </c>
      <c r="P169" s="3"/>
      <c r="Q169" s="4">
        <v>0</v>
      </c>
      <c r="R169" s="4">
        <v>0</v>
      </c>
      <c r="S169" s="4">
        <v>9.6799999999999997E-2</v>
      </c>
      <c r="T169" s="4">
        <v>3.3300000000000003E-2</v>
      </c>
      <c r="U169" s="4">
        <v>0</v>
      </c>
      <c r="V169" s="4">
        <v>0</v>
      </c>
      <c r="W169" s="4">
        <v>0.1429</v>
      </c>
      <c r="X169" s="4">
        <v>9.6799999999999997E-2</v>
      </c>
      <c r="Y169" s="4">
        <v>0.6</v>
      </c>
      <c r="Z169" s="4">
        <v>6.4500000000000002E-2</v>
      </c>
      <c r="AA169" s="4">
        <v>6.6699999999999995E-2</v>
      </c>
      <c r="AB169" s="4">
        <v>3.2300000000000002E-2</v>
      </c>
      <c r="AC169" s="10">
        <v>0</v>
      </c>
      <c r="AD169" s="4">
        <v>9.4399999999999998E-2</v>
      </c>
      <c r="AE169" s="4">
        <f t="shared" si="22"/>
        <v>0.16720000000000002</v>
      </c>
      <c r="AF169" s="1" t="s">
        <v>35</v>
      </c>
      <c r="AG169" s="19">
        <f t="array" ref="AG169">DIASQUIEBRE(Q169:AB169)</f>
        <v>0</v>
      </c>
      <c r="AH169" s="19">
        <f t="array" ref="AH169">DiasMesesGris(Q169:AB169)</f>
        <v>0</v>
      </c>
      <c r="AI169" s="19">
        <f t="shared" si="18"/>
        <v>0</v>
      </c>
      <c r="AJ169" s="19">
        <f t="shared" si="19"/>
        <v>360</v>
      </c>
      <c r="AK169" s="20">
        <f t="shared" si="21"/>
        <v>34</v>
      </c>
      <c r="AL169" s="21">
        <f t="shared" si="20"/>
        <v>9.4444444444444442E-2</v>
      </c>
    </row>
    <row r="170" spans="1:38" x14ac:dyDescent="0.25">
      <c r="A170" s="1" t="s">
        <v>303</v>
      </c>
      <c r="B170" s="1" t="s">
        <v>302</v>
      </c>
      <c r="C170" s="1" t="s">
        <v>301</v>
      </c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6">
        <v>0</v>
      </c>
      <c r="AE170" s="4">
        <f t="shared" si="22"/>
        <v>0</v>
      </c>
      <c r="AF170" s="1" t="s">
        <v>32</v>
      </c>
      <c r="AG170" s="19">
        <f t="array" ref="AG170">DIASQUIEBRE(Q170:AB170)</f>
        <v>0</v>
      </c>
      <c r="AH170" s="19">
        <f t="array" ref="AH170">DiasMesesGris(Q170:AB170)</f>
        <v>360</v>
      </c>
      <c r="AI170" s="19">
        <f t="shared" si="18"/>
        <v>360</v>
      </c>
      <c r="AJ170" s="19">
        <f t="shared" si="19"/>
        <v>0</v>
      </c>
      <c r="AK170" s="20">
        <f t="shared" si="21"/>
        <v>0</v>
      </c>
      <c r="AL170" s="21">
        <f t="shared" si="20"/>
        <v>0</v>
      </c>
    </row>
    <row r="171" spans="1:38" x14ac:dyDescent="0.25">
      <c r="A171" s="1" t="s">
        <v>305</v>
      </c>
      <c r="B171" s="1" t="s">
        <v>304</v>
      </c>
      <c r="C171" s="1" t="s">
        <v>301</v>
      </c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  <c r="AC171" s="6">
        <v>0</v>
      </c>
      <c r="AE171" s="4">
        <f t="shared" si="22"/>
        <v>0</v>
      </c>
      <c r="AF171" s="1" t="s">
        <v>35</v>
      </c>
      <c r="AG171" s="19">
        <f t="array" ref="AG171">DIASQUIEBRE(Q171:AB171)</f>
        <v>0</v>
      </c>
      <c r="AH171" s="19">
        <f t="array" ref="AH171">DiasMesesGris(Q171:AB171)</f>
        <v>360</v>
      </c>
      <c r="AI171" s="19">
        <f t="shared" si="18"/>
        <v>360</v>
      </c>
      <c r="AJ171" s="19">
        <f t="shared" si="19"/>
        <v>0</v>
      </c>
      <c r="AK171" s="20">
        <f t="shared" si="21"/>
        <v>0</v>
      </c>
      <c r="AL171" s="21">
        <f t="shared" si="20"/>
        <v>0</v>
      </c>
    </row>
    <row r="172" spans="1:38" x14ac:dyDescent="0.25">
      <c r="A172" s="1" t="s">
        <v>308</v>
      </c>
      <c r="B172" s="1" t="s">
        <v>307</v>
      </c>
      <c r="C172" s="1" t="s">
        <v>306</v>
      </c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6">
        <v>0</v>
      </c>
      <c r="AE172" s="4">
        <f t="shared" si="22"/>
        <v>0</v>
      </c>
      <c r="AF172" s="1" t="s">
        <v>32</v>
      </c>
      <c r="AG172" s="19">
        <f t="array" ref="AG172">DIASQUIEBRE(Q172:AB172)</f>
        <v>0</v>
      </c>
      <c r="AH172" s="19">
        <f t="array" ref="AH172">DiasMesesGris(Q172:AB172)</f>
        <v>360</v>
      </c>
      <c r="AI172" s="19">
        <f t="shared" si="18"/>
        <v>360</v>
      </c>
      <c r="AJ172" s="19">
        <f t="shared" si="19"/>
        <v>0</v>
      </c>
      <c r="AK172" s="20">
        <f t="shared" si="21"/>
        <v>0</v>
      </c>
      <c r="AL172" s="21">
        <f t="shared" si="20"/>
        <v>0</v>
      </c>
    </row>
    <row r="173" spans="1:38" x14ac:dyDescent="0.25">
      <c r="A173" s="1" t="s">
        <v>310</v>
      </c>
      <c r="B173" s="1" t="s">
        <v>309</v>
      </c>
      <c r="C173" s="1" t="s">
        <v>306</v>
      </c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6">
        <v>0</v>
      </c>
      <c r="AE173" s="4">
        <f t="shared" si="22"/>
        <v>0</v>
      </c>
      <c r="AF173" s="1" t="s">
        <v>35</v>
      </c>
      <c r="AG173" s="19">
        <f t="array" ref="AG173">DIASQUIEBRE(Q173:AB173)</f>
        <v>0</v>
      </c>
      <c r="AH173" s="19">
        <f t="array" ref="AH173">DiasMesesGris(Q173:AB173)</f>
        <v>360</v>
      </c>
      <c r="AI173" s="19">
        <f t="shared" si="18"/>
        <v>360</v>
      </c>
      <c r="AJ173" s="19">
        <f t="shared" si="19"/>
        <v>0</v>
      </c>
      <c r="AK173" s="20">
        <f t="shared" si="21"/>
        <v>0</v>
      </c>
      <c r="AL173" s="21">
        <f t="shared" si="20"/>
        <v>0</v>
      </c>
    </row>
    <row r="174" spans="1:38" x14ac:dyDescent="0.25">
      <c r="A174" s="1" t="s">
        <v>313</v>
      </c>
      <c r="B174" s="1" t="s">
        <v>312</v>
      </c>
      <c r="C174" s="1" t="s">
        <v>311</v>
      </c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Z174" s="5">
        <v>0</v>
      </c>
      <c r="AA174" s="5">
        <v>0</v>
      </c>
      <c r="AB174" s="5">
        <v>0</v>
      </c>
      <c r="AC174" s="6">
        <v>0</v>
      </c>
      <c r="AE174" s="4">
        <f t="shared" si="22"/>
        <v>0</v>
      </c>
      <c r="AF174" s="1" t="s">
        <v>32</v>
      </c>
      <c r="AG174" s="19">
        <f t="array" ref="AG174">DIASQUIEBRE(Q174:AB174)</f>
        <v>0</v>
      </c>
      <c r="AH174" s="19">
        <f t="array" ref="AH174">DiasMesesGris(Q174:AB174)</f>
        <v>360</v>
      </c>
      <c r="AI174" s="19">
        <f t="shared" si="18"/>
        <v>360</v>
      </c>
      <c r="AJ174" s="19">
        <f t="shared" si="19"/>
        <v>0</v>
      </c>
      <c r="AK174" s="20">
        <f t="shared" si="21"/>
        <v>0</v>
      </c>
      <c r="AL174" s="21">
        <f t="shared" si="20"/>
        <v>0</v>
      </c>
    </row>
    <row r="175" spans="1:38" x14ac:dyDescent="0.25">
      <c r="A175" s="1" t="s">
        <v>315</v>
      </c>
      <c r="B175" s="1" t="s">
        <v>314</v>
      </c>
      <c r="C175" s="1" t="s">
        <v>282</v>
      </c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6">
        <v>0</v>
      </c>
      <c r="AE175" s="4">
        <f t="shared" si="22"/>
        <v>0</v>
      </c>
      <c r="AF175" s="1" t="s">
        <v>32</v>
      </c>
      <c r="AG175" s="19">
        <f t="array" ref="AG175">DIASQUIEBRE(Q175:AB175)</f>
        <v>0</v>
      </c>
      <c r="AH175" s="19">
        <f t="array" ref="AH175">DiasMesesGris(Q175:AB175)</f>
        <v>360</v>
      </c>
      <c r="AI175" s="19">
        <f t="shared" si="18"/>
        <v>360</v>
      </c>
      <c r="AJ175" s="19">
        <f t="shared" si="19"/>
        <v>0</v>
      </c>
      <c r="AK175" s="20">
        <f t="shared" si="21"/>
        <v>0</v>
      </c>
      <c r="AL175" s="21">
        <f t="shared" si="20"/>
        <v>0</v>
      </c>
    </row>
    <row r="176" spans="1:38" x14ac:dyDescent="0.25">
      <c r="A176" s="1" t="s">
        <v>317</v>
      </c>
      <c r="B176" s="1" t="s">
        <v>316</v>
      </c>
      <c r="C176" s="1" t="s">
        <v>285</v>
      </c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6">
        <v>0</v>
      </c>
      <c r="AE176" s="4">
        <f t="shared" si="22"/>
        <v>0</v>
      </c>
      <c r="AF176" s="1" t="s">
        <v>32</v>
      </c>
      <c r="AG176" s="19">
        <f t="array" ref="AG176">DIASQUIEBRE(Q176:AB176)</f>
        <v>0</v>
      </c>
      <c r="AH176" s="19">
        <f t="array" ref="AH176">DiasMesesGris(Q176:AB176)</f>
        <v>360</v>
      </c>
      <c r="AI176" s="19">
        <f t="shared" si="18"/>
        <v>360</v>
      </c>
      <c r="AJ176" s="19">
        <f t="shared" si="19"/>
        <v>0</v>
      </c>
      <c r="AK176" s="20">
        <f t="shared" si="21"/>
        <v>0</v>
      </c>
      <c r="AL176" s="21">
        <f t="shared" si="20"/>
        <v>0</v>
      </c>
    </row>
    <row r="177" spans="1:38" x14ac:dyDescent="0.25">
      <c r="A177" s="1" t="s">
        <v>320</v>
      </c>
      <c r="B177" s="1" t="s">
        <v>319</v>
      </c>
      <c r="C177" s="1" t="s">
        <v>318</v>
      </c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Z177" s="5">
        <v>0</v>
      </c>
      <c r="AA177" s="5">
        <v>0</v>
      </c>
      <c r="AB177" s="5">
        <v>0</v>
      </c>
      <c r="AC177" s="6">
        <v>0</v>
      </c>
      <c r="AE177" s="4">
        <f t="shared" si="22"/>
        <v>0</v>
      </c>
      <c r="AF177" s="1" t="s">
        <v>35</v>
      </c>
      <c r="AG177" s="19">
        <f t="array" ref="AG177">DIASQUIEBRE(Q177:AB177)</f>
        <v>0</v>
      </c>
      <c r="AH177" s="19">
        <f t="array" ref="AH177">DiasMesesGris(Q177:AB177)</f>
        <v>360</v>
      </c>
      <c r="AI177" s="19">
        <f t="shared" si="18"/>
        <v>360</v>
      </c>
      <c r="AJ177" s="19">
        <f t="shared" si="19"/>
        <v>0</v>
      </c>
      <c r="AK177" s="20">
        <f t="shared" si="21"/>
        <v>0</v>
      </c>
      <c r="AL177" s="21">
        <f t="shared" si="20"/>
        <v>0</v>
      </c>
    </row>
    <row r="178" spans="1:38" x14ac:dyDescent="0.25">
      <c r="A178" s="1" t="s">
        <v>323</v>
      </c>
      <c r="B178" s="1" t="s">
        <v>322</v>
      </c>
      <c r="C178" s="1" t="s">
        <v>321</v>
      </c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6">
        <v>0</v>
      </c>
      <c r="AE178" s="4">
        <f t="shared" si="22"/>
        <v>0</v>
      </c>
      <c r="AF178" s="1" t="s">
        <v>32</v>
      </c>
      <c r="AG178" s="19">
        <f t="array" ref="AG178">DIASQUIEBRE(Q178:AB178)</f>
        <v>0</v>
      </c>
      <c r="AH178" s="19">
        <f t="array" ref="AH178">DiasMesesGris(Q178:AB178)</f>
        <v>360</v>
      </c>
      <c r="AI178" s="19">
        <f t="shared" si="18"/>
        <v>360</v>
      </c>
      <c r="AJ178" s="19">
        <f t="shared" si="19"/>
        <v>0</v>
      </c>
      <c r="AK178" s="20">
        <f t="shared" si="21"/>
        <v>0</v>
      </c>
      <c r="AL178" s="21">
        <f t="shared" si="20"/>
        <v>0</v>
      </c>
    </row>
    <row r="179" spans="1:38" x14ac:dyDescent="0.25">
      <c r="A179" s="1" t="s">
        <v>326</v>
      </c>
      <c r="B179" s="1" t="s">
        <v>325</v>
      </c>
      <c r="C179" s="1" t="s">
        <v>324</v>
      </c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5">
        <v>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  <c r="AC179" s="6">
        <v>0</v>
      </c>
      <c r="AE179" s="4">
        <f t="shared" si="22"/>
        <v>0</v>
      </c>
      <c r="AF179" s="1" t="s">
        <v>32</v>
      </c>
      <c r="AG179" s="19">
        <f t="array" ref="AG179">DIASQUIEBRE(Q179:AB179)</f>
        <v>0</v>
      </c>
      <c r="AH179" s="19">
        <f t="array" ref="AH179">DiasMesesGris(Q179:AB179)</f>
        <v>360</v>
      </c>
      <c r="AI179" s="19">
        <f t="shared" si="18"/>
        <v>360</v>
      </c>
      <c r="AJ179" s="19">
        <f t="shared" si="19"/>
        <v>0</v>
      </c>
      <c r="AK179" s="20">
        <f t="shared" si="21"/>
        <v>0</v>
      </c>
      <c r="AL179" s="21">
        <f t="shared" si="20"/>
        <v>0</v>
      </c>
    </row>
    <row r="180" spans="1:38" x14ac:dyDescent="0.25">
      <c r="A180" s="1" t="s">
        <v>329</v>
      </c>
      <c r="B180" s="1" t="s">
        <v>328</v>
      </c>
      <c r="C180" s="1" t="s">
        <v>327</v>
      </c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5">
        <v>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Z180" s="5">
        <v>0</v>
      </c>
      <c r="AA180" s="5">
        <v>0</v>
      </c>
      <c r="AB180" s="5">
        <v>0</v>
      </c>
      <c r="AC180" s="6">
        <v>0</v>
      </c>
      <c r="AE180" s="4">
        <f t="shared" si="22"/>
        <v>0</v>
      </c>
      <c r="AF180" s="1" t="s">
        <v>32</v>
      </c>
      <c r="AG180" s="19">
        <f t="array" ref="AG180">DIASQUIEBRE(Q180:AB180)</f>
        <v>0</v>
      </c>
      <c r="AH180" s="19">
        <f t="array" ref="AH180">DiasMesesGris(Q180:AB180)</f>
        <v>360</v>
      </c>
      <c r="AI180" s="19">
        <f t="shared" si="18"/>
        <v>360</v>
      </c>
      <c r="AJ180" s="19">
        <f t="shared" si="19"/>
        <v>0</v>
      </c>
      <c r="AK180" s="20">
        <f t="shared" si="21"/>
        <v>0</v>
      </c>
      <c r="AL180" s="21">
        <f t="shared" si="20"/>
        <v>0</v>
      </c>
    </row>
    <row r="181" spans="1:38" x14ac:dyDescent="0.25">
      <c r="A181" s="1" t="s">
        <v>332</v>
      </c>
      <c r="B181" s="1" t="s">
        <v>331</v>
      </c>
      <c r="C181" s="1" t="s">
        <v>330</v>
      </c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6">
        <v>0</v>
      </c>
      <c r="AE181" s="4">
        <f t="shared" si="22"/>
        <v>0</v>
      </c>
      <c r="AF181" s="1" t="s">
        <v>32</v>
      </c>
      <c r="AG181" s="19">
        <f t="array" ref="AG181">DIASQUIEBRE(Q181:AB181)</f>
        <v>0</v>
      </c>
      <c r="AH181" s="19">
        <f t="array" ref="AH181">DiasMesesGris(Q181:AB181)</f>
        <v>360</v>
      </c>
      <c r="AI181" s="19">
        <f t="shared" si="18"/>
        <v>360</v>
      </c>
      <c r="AJ181" s="19">
        <f t="shared" si="19"/>
        <v>0</v>
      </c>
      <c r="AK181" s="20">
        <f t="shared" si="21"/>
        <v>0</v>
      </c>
      <c r="AL181" s="21">
        <f t="shared" si="20"/>
        <v>0</v>
      </c>
    </row>
    <row r="182" spans="1:38" x14ac:dyDescent="0.25">
      <c r="A182" s="1" t="s">
        <v>335</v>
      </c>
      <c r="B182" s="1" t="s">
        <v>334</v>
      </c>
      <c r="C182" s="1" t="s">
        <v>333</v>
      </c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6">
        <v>0</v>
      </c>
      <c r="AE182" s="4">
        <f t="shared" si="22"/>
        <v>0</v>
      </c>
      <c r="AF182" s="1" t="s">
        <v>32</v>
      </c>
      <c r="AG182" s="19">
        <f t="array" ref="AG182">DIASQUIEBRE(Q182:AB182)</f>
        <v>0</v>
      </c>
      <c r="AH182" s="19">
        <f t="array" ref="AH182">DiasMesesGris(Q182:AB182)</f>
        <v>360</v>
      </c>
      <c r="AI182" s="19">
        <f t="shared" si="18"/>
        <v>360</v>
      </c>
      <c r="AJ182" s="19">
        <f t="shared" si="19"/>
        <v>0</v>
      </c>
      <c r="AK182" s="20">
        <f t="shared" si="21"/>
        <v>0</v>
      </c>
      <c r="AL182" s="21">
        <f t="shared" si="20"/>
        <v>0</v>
      </c>
    </row>
    <row r="183" spans="1:38" x14ac:dyDescent="0.25">
      <c r="A183" s="1" t="s">
        <v>338</v>
      </c>
      <c r="B183" s="1" t="s">
        <v>337</v>
      </c>
      <c r="C183" s="1" t="s">
        <v>336</v>
      </c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0</v>
      </c>
      <c r="AC183" s="6">
        <v>0</v>
      </c>
      <c r="AE183" s="4">
        <f t="shared" si="22"/>
        <v>0</v>
      </c>
      <c r="AF183" s="1" t="s">
        <v>32</v>
      </c>
      <c r="AG183" s="19">
        <f t="array" ref="AG183">DIASQUIEBRE(Q183:AB183)</f>
        <v>0</v>
      </c>
      <c r="AH183" s="19">
        <f t="array" ref="AH183">DiasMesesGris(Q183:AB183)</f>
        <v>360</v>
      </c>
      <c r="AI183" s="19">
        <f t="shared" si="18"/>
        <v>360</v>
      </c>
      <c r="AJ183" s="19">
        <f t="shared" si="19"/>
        <v>0</v>
      </c>
      <c r="AK183" s="20">
        <f t="shared" si="21"/>
        <v>0</v>
      </c>
      <c r="AL183" s="21">
        <f t="shared" si="20"/>
        <v>0</v>
      </c>
    </row>
    <row r="184" spans="1:38" x14ac:dyDescent="0.25">
      <c r="A184" s="1" t="s">
        <v>341</v>
      </c>
      <c r="B184" s="1" t="s">
        <v>340</v>
      </c>
      <c r="C184" s="1" t="s">
        <v>339</v>
      </c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6">
        <v>0</v>
      </c>
      <c r="AE184" s="4">
        <f t="shared" si="22"/>
        <v>0</v>
      </c>
      <c r="AF184" s="1" t="s">
        <v>35</v>
      </c>
      <c r="AG184" s="19">
        <f t="array" ref="AG184">DIASQUIEBRE(Q184:AB184)</f>
        <v>0</v>
      </c>
      <c r="AH184" s="19">
        <f t="array" ref="AH184">DiasMesesGris(Q184:AB184)</f>
        <v>360</v>
      </c>
      <c r="AI184" s="19">
        <f t="shared" si="18"/>
        <v>360</v>
      </c>
      <c r="AJ184" s="19">
        <f t="shared" si="19"/>
        <v>0</v>
      </c>
      <c r="AK184" s="20">
        <f t="shared" si="21"/>
        <v>0</v>
      </c>
      <c r="AL184" s="21">
        <f t="shared" si="20"/>
        <v>0</v>
      </c>
    </row>
    <row r="185" spans="1:38" x14ac:dyDescent="0.25">
      <c r="A185" s="1" t="s">
        <v>343</v>
      </c>
      <c r="B185" s="1" t="s">
        <v>342</v>
      </c>
      <c r="C185" s="1" t="s">
        <v>318</v>
      </c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6">
        <v>0</v>
      </c>
      <c r="AE185" s="4">
        <f t="shared" si="22"/>
        <v>0</v>
      </c>
      <c r="AF185" s="1" t="s">
        <v>32</v>
      </c>
      <c r="AG185" s="19">
        <f t="array" ref="AG185">DIASQUIEBRE(Q185:AB185)</f>
        <v>0</v>
      </c>
      <c r="AH185" s="19">
        <f t="array" ref="AH185">DiasMesesGris(Q185:AB185)</f>
        <v>360</v>
      </c>
      <c r="AI185" s="19">
        <f t="shared" si="18"/>
        <v>360</v>
      </c>
      <c r="AJ185" s="19">
        <f t="shared" si="19"/>
        <v>0</v>
      </c>
      <c r="AK185" s="20">
        <f t="shared" si="21"/>
        <v>0</v>
      </c>
      <c r="AL185" s="21">
        <f t="shared" si="20"/>
        <v>0</v>
      </c>
    </row>
    <row r="186" spans="1:38" x14ac:dyDescent="0.25">
      <c r="A186" s="1" t="s">
        <v>346</v>
      </c>
      <c r="B186" s="1" t="s">
        <v>345</v>
      </c>
      <c r="C186" s="1" t="s">
        <v>344</v>
      </c>
      <c r="D186" s="8">
        <v>149</v>
      </c>
      <c r="E186" s="8">
        <v>316</v>
      </c>
      <c r="F186" s="8">
        <v>293</v>
      </c>
      <c r="G186" s="8">
        <v>332</v>
      </c>
      <c r="H186" s="8">
        <v>426</v>
      </c>
      <c r="I186" s="8">
        <v>255</v>
      </c>
      <c r="J186" s="8">
        <v>348</v>
      </c>
      <c r="K186" s="8">
        <v>469</v>
      </c>
      <c r="L186" s="8">
        <v>212</v>
      </c>
      <c r="M186" s="8">
        <v>90</v>
      </c>
      <c r="N186" s="8">
        <v>259</v>
      </c>
      <c r="O186" s="8">
        <v>339</v>
      </c>
      <c r="P186" s="3"/>
      <c r="Q186" s="4">
        <v>4.8064999999999998</v>
      </c>
      <c r="R186" s="4">
        <v>10.533300000000001</v>
      </c>
      <c r="S186" s="4">
        <v>9.4515999999999991</v>
      </c>
      <c r="T186" s="4">
        <v>11.066700000000001</v>
      </c>
      <c r="U186" s="4">
        <v>13.741899999999999</v>
      </c>
      <c r="V186" s="4">
        <v>8.2257999999999996</v>
      </c>
      <c r="W186" s="4">
        <v>12.428599999999999</v>
      </c>
      <c r="X186" s="4">
        <v>15.129</v>
      </c>
      <c r="Y186" s="4">
        <v>7.0667</v>
      </c>
      <c r="Z186" s="4">
        <v>2.9032</v>
      </c>
      <c r="AA186" s="4">
        <v>8.6333000000000002</v>
      </c>
      <c r="AB186" s="4">
        <v>10.935499999999999</v>
      </c>
      <c r="AC186" s="10">
        <v>0</v>
      </c>
      <c r="AD186" s="4">
        <v>9.5768000000000004</v>
      </c>
      <c r="AE186" s="4">
        <f t="shared" si="22"/>
        <v>9.5160499999999981</v>
      </c>
      <c r="AF186" s="1" t="s">
        <v>35</v>
      </c>
      <c r="AG186" s="19">
        <f t="array" ref="AG186">DIASQUIEBRE(Q186:AB186)</f>
        <v>0</v>
      </c>
      <c r="AH186" s="19">
        <f t="array" ref="AH186">DiasMesesGris(Q186:AB186)</f>
        <v>0</v>
      </c>
      <c r="AI186" s="19">
        <f t="shared" si="18"/>
        <v>0</v>
      </c>
      <c r="AJ186" s="19">
        <f t="shared" si="19"/>
        <v>360</v>
      </c>
      <c r="AK186" s="20">
        <f t="shared" si="21"/>
        <v>3488</v>
      </c>
      <c r="AL186" s="21">
        <f t="shared" si="20"/>
        <v>9.6888888888888882</v>
      </c>
    </row>
    <row r="187" spans="1:38" x14ac:dyDescent="0.25">
      <c r="A187" s="1" t="s">
        <v>348</v>
      </c>
      <c r="B187" s="1" t="s">
        <v>347</v>
      </c>
      <c r="C187" s="1" t="s">
        <v>279</v>
      </c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6">
        <v>0</v>
      </c>
      <c r="AE187" s="4">
        <f t="shared" si="22"/>
        <v>0</v>
      </c>
      <c r="AF187" s="1" t="s">
        <v>35</v>
      </c>
      <c r="AG187" s="19">
        <f t="array" ref="AG187">DIASQUIEBRE(Q187:AB187)</f>
        <v>0</v>
      </c>
      <c r="AH187" s="19">
        <f t="array" ref="AH187">DiasMesesGris(Q187:AB187)</f>
        <v>360</v>
      </c>
      <c r="AI187" s="19">
        <f t="shared" si="18"/>
        <v>360</v>
      </c>
      <c r="AJ187" s="19">
        <f t="shared" si="19"/>
        <v>0</v>
      </c>
      <c r="AK187" s="20">
        <f t="shared" si="21"/>
        <v>0</v>
      </c>
      <c r="AL187" s="21">
        <f t="shared" si="20"/>
        <v>0</v>
      </c>
    </row>
    <row r="188" spans="1:38" x14ac:dyDescent="0.25">
      <c r="A188" s="1" t="s">
        <v>351</v>
      </c>
      <c r="B188" s="1" t="s">
        <v>350</v>
      </c>
      <c r="C188" s="1" t="s">
        <v>349</v>
      </c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6">
        <v>0</v>
      </c>
      <c r="AE188" s="4">
        <f t="shared" si="22"/>
        <v>0</v>
      </c>
      <c r="AF188" s="1" t="s">
        <v>35</v>
      </c>
      <c r="AG188" s="19">
        <f t="array" ref="AG188">DIASQUIEBRE(Q188:AB188)</f>
        <v>0</v>
      </c>
      <c r="AH188" s="19">
        <f t="array" ref="AH188">DiasMesesGris(Q188:AB188)</f>
        <v>360</v>
      </c>
      <c r="AI188" s="19">
        <f t="shared" si="18"/>
        <v>360</v>
      </c>
      <c r="AJ188" s="19">
        <f t="shared" si="19"/>
        <v>0</v>
      </c>
      <c r="AK188" s="20">
        <f t="shared" si="21"/>
        <v>0</v>
      </c>
      <c r="AL188" s="21">
        <f t="shared" si="20"/>
        <v>0</v>
      </c>
    </row>
    <row r="189" spans="1:38" x14ac:dyDescent="0.25">
      <c r="A189" s="1" t="s">
        <v>354</v>
      </c>
      <c r="B189" s="1" t="s">
        <v>353</v>
      </c>
      <c r="C189" s="1" t="s">
        <v>352</v>
      </c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5">
        <v>0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Z189" s="5">
        <v>0</v>
      </c>
      <c r="AA189" s="5">
        <v>0</v>
      </c>
      <c r="AB189" s="5">
        <v>0</v>
      </c>
      <c r="AC189" s="6">
        <v>0</v>
      </c>
      <c r="AE189" s="4">
        <f t="shared" si="22"/>
        <v>0</v>
      </c>
      <c r="AF189" s="1" t="s">
        <v>32</v>
      </c>
      <c r="AG189" s="19">
        <f t="array" ref="AG189">DIASQUIEBRE(Q189:AB189)</f>
        <v>0</v>
      </c>
      <c r="AH189" s="19">
        <f t="array" ref="AH189">DiasMesesGris(Q189:AB189)</f>
        <v>360</v>
      </c>
      <c r="AI189" s="19">
        <f t="shared" si="18"/>
        <v>360</v>
      </c>
      <c r="AJ189" s="19">
        <f t="shared" si="19"/>
        <v>0</v>
      </c>
      <c r="AK189" s="20">
        <f t="shared" si="21"/>
        <v>0</v>
      </c>
      <c r="AL189" s="21">
        <f t="shared" si="20"/>
        <v>0</v>
      </c>
    </row>
    <row r="190" spans="1:38" x14ac:dyDescent="0.25">
      <c r="A190" s="1" t="s">
        <v>357</v>
      </c>
      <c r="B190" s="1" t="s">
        <v>356</v>
      </c>
      <c r="C190" s="1" t="s">
        <v>355</v>
      </c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6">
        <v>0</v>
      </c>
      <c r="AE190" s="4">
        <f t="shared" si="22"/>
        <v>0</v>
      </c>
      <c r="AF190" s="1" t="s">
        <v>35</v>
      </c>
      <c r="AG190" s="19">
        <f t="array" ref="AG190">DIASQUIEBRE(Q190:AB190)</f>
        <v>0</v>
      </c>
      <c r="AH190" s="19">
        <f t="array" ref="AH190">DiasMesesGris(Q190:AB190)</f>
        <v>360</v>
      </c>
      <c r="AI190" s="19">
        <f t="shared" si="18"/>
        <v>360</v>
      </c>
      <c r="AJ190" s="19">
        <f t="shared" si="19"/>
        <v>0</v>
      </c>
      <c r="AK190" s="20">
        <f t="shared" si="21"/>
        <v>0</v>
      </c>
      <c r="AL190" s="21">
        <f t="shared" si="20"/>
        <v>0</v>
      </c>
    </row>
    <row r="191" spans="1:38" x14ac:dyDescent="0.25">
      <c r="A191" s="1" t="s">
        <v>360</v>
      </c>
      <c r="B191" s="1" t="s">
        <v>359</v>
      </c>
      <c r="C191" s="1" t="s">
        <v>358</v>
      </c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0</v>
      </c>
      <c r="AA191" s="5">
        <v>0</v>
      </c>
      <c r="AB191" s="5">
        <v>0</v>
      </c>
      <c r="AC191" s="6">
        <v>0</v>
      </c>
      <c r="AE191" s="4">
        <f t="shared" si="22"/>
        <v>0</v>
      </c>
      <c r="AF191" s="1" t="s">
        <v>32</v>
      </c>
      <c r="AG191" s="19">
        <f t="array" ref="AG191">DIASQUIEBRE(Q191:AB191)</f>
        <v>0</v>
      </c>
      <c r="AH191" s="19">
        <f t="array" ref="AH191">DiasMesesGris(Q191:AB191)</f>
        <v>360</v>
      </c>
      <c r="AI191" s="19">
        <f t="shared" si="18"/>
        <v>360</v>
      </c>
      <c r="AJ191" s="19">
        <f t="shared" si="19"/>
        <v>0</v>
      </c>
      <c r="AK191" s="20">
        <f t="shared" si="21"/>
        <v>0</v>
      </c>
      <c r="AL191" s="21">
        <f t="shared" si="20"/>
        <v>0</v>
      </c>
    </row>
    <row r="192" spans="1:38" x14ac:dyDescent="0.25">
      <c r="A192" s="1" t="s">
        <v>363</v>
      </c>
      <c r="B192" s="1" t="s">
        <v>362</v>
      </c>
      <c r="C192" s="1" t="s">
        <v>361</v>
      </c>
      <c r="D192" s="8">
        <v>25</v>
      </c>
      <c r="E192" s="8">
        <v>16</v>
      </c>
      <c r="F192" s="8">
        <v>24</v>
      </c>
      <c r="G192" s="8">
        <v>25</v>
      </c>
      <c r="H192" s="8">
        <v>61</v>
      </c>
      <c r="I192" s="8">
        <v>15</v>
      </c>
      <c r="J192" s="8">
        <v>21</v>
      </c>
      <c r="K192" s="8">
        <v>22</v>
      </c>
      <c r="L192" s="8">
        <v>4</v>
      </c>
      <c r="M192" s="8">
        <v>8</v>
      </c>
      <c r="N192" s="8">
        <v>24</v>
      </c>
      <c r="O192" s="8">
        <v>73</v>
      </c>
      <c r="P192" s="3"/>
      <c r="Q192" s="4">
        <v>0.80649999999999999</v>
      </c>
      <c r="R192" s="4">
        <v>0.5333</v>
      </c>
      <c r="S192" s="4">
        <v>0.7742</v>
      </c>
      <c r="T192" s="4">
        <v>0.83330000000000004</v>
      </c>
      <c r="U192" s="4">
        <v>1.9677</v>
      </c>
      <c r="V192" s="4">
        <v>0.4839</v>
      </c>
      <c r="W192" s="4">
        <v>0.75</v>
      </c>
      <c r="X192" s="4">
        <v>0.7097</v>
      </c>
      <c r="Y192" s="4">
        <v>0.1333</v>
      </c>
      <c r="Z192" s="4">
        <v>0.2581</v>
      </c>
      <c r="AA192" s="4">
        <v>0.8</v>
      </c>
      <c r="AB192" s="4">
        <v>2.3548</v>
      </c>
      <c r="AC192" s="10">
        <v>0</v>
      </c>
      <c r="AD192" s="4">
        <v>0.86709999999999998</v>
      </c>
      <c r="AE192" s="4">
        <f t="shared" si="22"/>
        <v>0.83431666666666671</v>
      </c>
      <c r="AF192" s="1" t="s">
        <v>35</v>
      </c>
      <c r="AG192" s="19">
        <f t="array" ref="AG192">DIASQUIEBRE(Q192:AB192)</f>
        <v>0</v>
      </c>
      <c r="AH192" s="19">
        <f t="array" ref="AH192">DiasMesesGris(Q192:AB192)</f>
        <v>0</v>
      </c>
      <c r="AI192" s="19">
        <f t="shared" si="18"/>
        <v>0</v>
      </c>
      <c r="AJ192" s="19">
        <f t="shared" si="19"/>
        <v>360</v>
      </c>
      <c r="AK192" s="20">
        <f t="shared" si="21"/>
        <v>318</v>
      </c>
      <c r="AL192" s="21">
        <f t="shared" si="20"/>
        <v>0.8833333333333333</v>
      </c>
    </row>
    <row r="193" spans="1:38" x14ac:dyDescent="0.25">
      <c r="A193" s="1" t="s">
        <v>365</v>
      </c>
      <c r="B193" s="1" t="s">
        <v>364</v>
      </c>
      <c r="C193" s="1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6">
        <v>0</v>
      </c>
      <c r="AE193" s="4">
        <f t="shared" si="22"/>
        <v>0</v>
      </c>
      <c r="AF193" s="1" t="s">
        <v>35</v>
      </c>
      <c r="AG193" s="19">
        <f t="array" ref="AG193">DIASQUIEBRE(Q193:AB193)</f>
        <v>0</v>
      </c>
      <c r="AH193" s="19">
        <f t="array" ref="AH193">DiasMesesGris(Q193:AB193)</f>
        <v>360</v>
      </c>
      <c r="AI193" s="19">
        <f t="shared" si="18"/>
        <v>360</v>
      </c>
      <c r="AJ193" s="19">
        <f t="shared" si="19"/>
        <v>0</v>
      </c>
      <c r="AK193" s="20">
        <f t="shared" si="21"/>
        <v>0</v>
      </c>
      <c r="AL193" s="21">
        <f t="shared" si="20"/>
        <v>0</v>
      </c>
    </row>
    <row r="194" spans="1:38" x14ac:dyDescent="0.25">
      <c r="A194" s="1" t="s">
        <v>368</v>
      </c>
      <c r="B194" s="1" t="s">
        <v>367</v>
      </c>
      <c r="C194" s="1" t="s">
        <v>366</v>
      </c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6">
        <v>0</v>
      </c>
      <c r="AE194" s="4">
        <f t="shared" si="22"/>
        <v>0</v>
      </c>
      <c r="AF194" s="1" t="s">
        <v>35</v>
      </c>
      <c r="AG194" s="19">
        <f t="array" ref="AG194">DIASQUIEBRE(Q194:AB194)</f>
        <v>0</v>
      </c>
      <c r="AH194" s="19">
        <f t="array" ref="AH194">DiasMesesGris(Q194:AB194)</f>
        <v>360</v>
      </c>
      <c r="AI194" s="19">
        <f t="shared" ref="AI194:AI257" si="23">AG194+AH194</f>
        <v>360</v>
      </c>
      <c r="AJ194" s="19">
        <f t="shared" ref="AJ194:AJ257" si="24">360-AI194</f>
        <v>0</v>
      </c>
      <c r="AK194" s="20">
        <f t="shared" si="21"/>
        <v>0</v>
      </c>
      <c r="AL194" s="21">
        <f t="shared" ref="AL194:AL257" si="25">IFERROR(AK194/AJ194,0)</f>
        <v>0</v>
      </c>
    </row>
    <row r="195" spans="1:38" x14ac:dyDescent="0.25">
      <c r="A195" s="1" t="s">
        <v>371</v>
      </c>
      <c r="B195" s="1" t="s">
        <v>370</v>
      </c>
      <c r="C195" s="1" t="s">
        <v>369</v>
      </c>
      <c r="D195" s="8">
        <v>33</v>
      </c>
      <c r="E195" s="8">
        <v>58</v>
      </c>
      <c r="F195" s="8">
        <v>58</v>
      </c>
      <c r="G195" s="8">
        <v>55</v>
      </c>
      <c r="H195" s="8">
        <v>127</v>
      </c>
      <c r="I195" s="8">
        <v>94</v>
      </c>
      <c r="J195" s="8">
        <v>87</v>
      </c>
      <c r="K195" s="8">
        <v>57</v>
      </c>
      <c r="L195" s="8">
        <v>1</v>
      </c>
      <c r="M195" s="8">
        <v>69</v>
      </c>
      <c r="N195" s="8">
        <v>89</v>
      </c>
      <c r="O195" s="8">
        <v>49</v>
      </c>
      <c r="P195" s="3"/>
      <c r="Q195" s="4">
        <v>1.0645</v>
      </c>
      <c r="R195" s="4">
        <v>1.9333</v>
      </c>
      <c r="S195" s="4">
        <v>1.871</v>
      </c>
      <c r="T195" s="4">
        <v>1.8332999999999999</v>
      </c>
      <c r="U195" s="4">
        <v>4.0968</v>
      </c>
      <c r="V195" s="4">
        <v>3.0323000000000002</v>
      </c>
      <c r="W195" s="4">
        <v>3.1071</v>
      </c>
      <c r="X195" s="9">
        <v>2.5909</v>
      </c>
      <c r="Y195" s="9">
        <v>1</v>
      </c>
      <c r="Z195" s="4">
        <v>2.2258</v>
      </c>
      <c r="AA195" s="4">
        <v>2.9666999999999999</v>
      </c>
      <c r="AB195" s="4">
        <v>1.5806</v>
      </c>
      <c r="AC195" s="10">
        <v>0</v>
      </c>
      <c r="AD195" s="4">
        <v>2.3711000000000002</v>
      </c>
      <c r="AE195" s="4">
        <v>2.41</v>
      </c>
      <c r="AF195" s="1" t="s">
        <v>35</v>
      </c>
      <c r="AG195" s="19">
        <f t="array" ref="AG195">DIASQUIEBRE(Q195:AB195)</f>
        <v>38</v>
      </c>
      <c r="AH195" s="19">
        <f t="array" ref="AH195">DiasMesesGris(Q195:AB195)</f>
        <v>0</v>
      </c>
      <c r="AI195" s="19">
        <f t="shared" si="23"/>
        <v>38</v>
      </c>
      <c r="AJ195" s="19">
        <f t="shared" si="24"/>
        <v>322</v>
      </c>
      <c r="AK195" s="20">
        <f t="shared" si="21"/>
        <v>777</v>
      </c>
      <c r="AL195" s="21">
        <f t="shared" si="25"/>
        <v>2.4130434782608696</v>
      </c>
    </row>
    <row r="196" spans="1:38" x14ac:dyDescent="0.25">
      <c r="A196" s="1" t="s">
        <v>373</v>
      </c>
      <c r="B196" s="1" t="s">
        <v>372</v>
      </c>
      <c r="C196" s="1" t="s">
        <v>327</v>
      </c>
      <c r="D196" s="8">
        <v>107</v>
      </c>
      <c r="E196" s="8">
        <v>223</v>
      </c>
      <c r="F196" s="8">
        <v>171</v>
      </c>
      <c r="G196" s="8">
        <v>123</v>
      </c>
      <c r="H196" s="8">
        <v>292</v>
      </c>
      <c r="I196" s="8">
        <v>204</v>
      </c>
      <c r="J196" s="8">
        <v>267</v>
      </c>
      <c r="K196" s="8">
        <v>325</v>
      </c>
      <c r="L196" s="8">
        <v>190</v>
      </c>
      <c r="M196" s="8">
        <v>223</v>
      </c>
      <c r="N196" s="8">
        <v>309</v>
      </c>
      <c r="O196" s="8">
        <v>282</v>
      </c>
      <c r="P196" s="3"/>
      <c r="Q196" s="4">
        <v>3.4516</v>
      </c>
      <c r="R196" s="4">
        <v>7.4333</v>
      </c>
      <c r="S196" s="4">
        <v>5.5160999999999998</v>
      </c>
      <c r="T196" s="4">
        <v>4.0999999999999996</v>
      </c>
      <c r="U196" s="4">
        <v>9.4193999999999996</v>
      </c>
      <c r="V196" s="4">
        <v>6.5805999999999996</v>
      </c>
      <c r="W196" s="4">
        <v>9.5357000000000003</v>
      </c>
      <c r="X196" s="4">
        <v>10.4839</v>
      </c>
      <c r="Y196" s="4">
        <v>6.3333000000000004</v>
      </c>
      <c r="Z196" s="4">
        <v>7.1935000000000002</v>
      </c>
      <c r="AA196" s="4">
        <v>10.3</v>
      </c>
      <c r="AB196" s="9">
        <v>12.260899999999999</v>
      </c>
      <c r="AC196" s="6">
        <v>0</v>
      </c>
      <c r="AD196" s="4">
        <v>7.3042999999999996</v>
      </c>
      <c r="AE196" s="4">
        <v>8.8000000000000007</v>
      </c>
      <c r="AF196" s="1" t="s">
        <v>35</v>
      </c>
      <c r="AG196" s="19">
        <f t="array" ref="AG196">DIASQUIEBRE(Q196:AB196)</f>
        <v>8</v>
      </c>
      <c r="AH196" s="19">
        <f t="array" ref="AH196">DiasMesesGris(Q196:AB196)</f>
        <v>0</v>
      </c>
      <c r="AI196" s="19">
        <f t="shared" si="23"/>
        <v>8</v>
      </c>
      <c r="AJ196" s="19">
        <f t="shared" si="24"/>
        <v>352</v>
      </c>
      <c r="AK196" s="20">
        <f t="shared" si="21"/>
        <v>2716</v>
      </c>
      <c r="AL196" s="21">
        <f t="shared" si="25"/>
        <v>7.7159090909090908</v>
      </c>
    </row>
    <row r="197" spans="1:38" x14ac:dyDescent="0.25">
      <c r="A197" s="1" t="s">
        <v>375</v>
      </c>
      <c r="B197" s="1" t="s">
        <v>374</v>
      </c>
      <c r="C197" s="1" t="s">
        <v>330</v>
      </c>
      <c r="D197" s="8">
        <v>57</v>
      </c>
      <c r="E197" s="8">
        <v>145</v>
      </c>
      <c r="F197" s="8">
        <v>108</v>
      </c>
      <c r="G197" s="8">
        <v>93</v>
      </c>
      <c r="H197" s="8">
        <v>138</v>
      </c>
      <c r="I197" s="8">
        <v>133</v>
      </c>
      <c r="J197" s="8">
        <v>83</v>
      </c>
      <c r="K197" s="8">
        <v>149</v>
      </c>
      <c r="L197" s="8">
        <v>153</v>
      </c>
      <c r="M197" s="8">
        <v>73</v>
      </c>
      <c r="N197" s="8">
        <v>161</v>
      </c>
      <c r="O197" s="8">
        <v>245</v>
      </c>
      <c r="P197" s="3"/>
      <c r="Q197" s="4">
        <v>1.8387</v>
      </c>
      <c r="R197" s="4">
        <v>4.8333000000000004</v>
      </c>
      <c r="S197" s="4">
        <v>3.4839000000000002</v>
      </c>
      <c r="T197" s="4">
        <v>3.1</v>
      </c>
      <c r="U197" s="4">
        <v>4.4516</v>
      </c>
      <c r="V197" s="4">
        <v>4.2903000000000002</v>
      </c>
      <c r="W197" s="4">
        <v>2.9643000000000002</v>
      </c>
      <c r="X197" s="4">
        <v>4.8064999999999998</v>
      </c>
      <c r="Y197" s="4">
        <v>5.0999999999999996</v>
      </c>
      <c r="Z197" s="4">
        <v>2.3548</v>
      </c>
      <c r="AA197" s="4">
        <v>5.3666999999999998</v>
      </c>
      <c r="AB197" s="4">
        <v>7.9032</v>
      </c>
      <c r="AC197" s="10">
        <v>0</v>
      </c>
      <c r="AD197" s="4">
        <v>4.2077999999999998</v>
      </c>
      <c r="AE197" s="4">
        <v>5.0999999999999996</v>
      </c>
      <c r="AF197" s="1" t="s">
        <v>35</v>
      </c>
      <c r="AG197" s="19">
        <f t="array" ref="AG197">DIASQUIEBRE(Q197:AB197)</f>
        <v>0</v>
      </c>
      <c r="AH197" s="19">
        <f t="array" ref="AH197">DiasMesesGris(Q197:AB197)</f>
        <v>0</v>
      </c>
      <c r="AI197" s="19">
        <f t="shared" si="23"/>
        <v>0</v>
      </c>
      <c r="AJ197" s="19">
        <f t="shared" si="24"/>
        <v>360</v>
      </c>
      <c r="AK197" s="20">
        <f t="shared" si="21"/>
        <v>1538</v>
      </c>
      <c r="AL197" s="21">
        <f t="shared" si="25"/>
        <v>4.2722222222222221</v>
      </c>
    </row>
    <row r="198" spans="1:38" x14ac:dyDescent="0.25">
      <c r="A198" s="1" t="s">
        <v>377</v>
      </c>
      <c r="B198" s="1" t="s">
        <v>376</v>
      </c>
      <c r="C198" s="1" t="s">
        <v>349</v>
      </c>
      <c r="D198" s="8">
        <v>8</v>
      </c>
      <c r="E198" s="8">
        <v>28</v>
      </c>
      <c r="F198" s="8">
        <v>25</v>
      </c>
      <c r="G198" s="8">
        <v>14</v>
      </c>
      <c r="H198" s="8">
        <v>17</v>
      </c>
      <c r="I198" s="8">
        <v>24</v>
      </c>
      <c r="J198" s="8">
        <v>8</v>
      </c>
      <c r="K198" s="8">
        <v>33</v>
      </c>
      <c r="L198" s="8">
        <v>20</v>
      </c>
      <c r="M198" s="3"/>
      <c r="N198" s="8">
        <v>25</v>
      </c>
      <c r="O198" s="8">
        <v>22</v>
      </c>
      <c r="P198" s="3"/>
      <c r="Q198" s="4">
        <v>0.2581</v>
      </c>
      <c r="R198" s="4">
        <v>0.93330000000000002</v>
      </c>
      <c r="S198" s="4">
        <v>0.80649999999999999</v>
      </c>
      <c r="T198" s="4">
        <v>0.4667</v>
      </c>
      <c r="U198" s="4">
        <v>0.5484</v>
      </c>
      <c r="V198" s="4">
        <v>0.7742</v>
      </c>
      <c r="W198" s="4">
        <v>0.28570000000000001</v>
      </c>
      <c r="X198" s="4">
        <v>1.0645</v>
      </c>
      <c r="Y198" s="4">
        <v>0.66669999999999996</v>
      </c>
      <c r="Z198" s="4">
        <v>0</v>
      </c>
      <c r="AA198" s="4">
        <v>0.83330000000000004</v>
      </c>
      <c r="AB198" s="4">
        <v>0.7097</v>
      </c>
      <c r="AC198" s="10">
        <v>0</v>
      </c>
      <c r="AD198" s="4">
        <v>0.61229999999999996</v>
      </c>
      <c r="AE198" s="4">
        <v>0.66</v>
      </c>
      <c r="AF198" s="1" t="s">
        <v>32</v>
      </c>
      <c r="AG198" s="19">
        <f t="array" ref="AG198">DIASQUIEBRE(Q198:AB198)</f>
        <v>0</v>
      </c>
      <c r="AH198" s="19">
        <f t="array" ref="AH198">DiasMesesGris(Q198:AB198)</f>
        <v>0</v>
      </c>
      <c r="AI198" s="19">
        <f t="shared" si="23"/>
        <v>0</v>
      </c>
      <c r="AJ198" s="19">
        <f t="shared" si="24"/>
        <v>360</v>
      </c>
      <c r="AK198" s="20">
        <f t="shared" si="21"/>
        <v>224</v>
      </c>
      <c r="AL198" s="21">
        <f t="shared" si="25"/>
        <v>0.62222222222222223</v>
      </c>
    </row>
    <row r="199" spans="1:38" x14ac:dyDescent="0.25">
      <c r="A199" s="1" t="s">
        <v>379</v>
      </c>
      <c r="B199" s="1" t="s">
        <v>378</v>
      </c>
      <c r="C199" s="1" t="s">
        <v>282</v>
      </c>
      <c r="D199" s="8">
        <v>135</v>
      </c>
      <c r="E199" s="8">
        <v>197</v>
      </c>
      <c r="F199" s="8">
        <v>59</v>
      </c>
      <c r="G199" s="8">
        <v>67</v>
      </c>
      <c r="H199" s="8">
        <v>113</v>
      </c>
      <c r="I199" s="8">
        <v>32</v>
      </c>
      <c r="J199" s="3"/>
      <c r="K199" s="3"/>
      <c r="L199" s="3"/>
      <c r="M199" s="3"/>
      <c r="N199" s="3"/>
      <c r="O199" s="3"/>
      <c r="P199" s="3"/>
      <c r="Q199" s="9">
        <v>11.25</v>
      </c>
      <c r="R199" s="9">
        <v>7.0357000000000003</v>
      </c>
      <c r="S199" s="4">
        <v>1.9032</v>
      </c>
      <c r="T199" s="4">
        <v>2.2332999999999998</v>
      </c>
      <c r="U199" s="4">
        <v>3.6452</v>
      </c>
      <c r="V199" s="9">
        <v>1.2307999999999999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6">
        <v>0</v>
      </c>
      <c r="AD199" s="4">
        <v>2.5939000000000001</v>
      </c>
      <c r="AE199" s="4">
        <f>AVERAGE(W199:AB199)</f>
        <v>0</v>
      </c>
      <c r="AF199" s="1" t="s">
        <v>32</v>
      </c>
      <c r="AG199" s="19">
        <f t="array" ref="AG199">DIASQUIEBRE(Q199:AB199)</f>
        <v>26</v>
      </c>
      <c r="AH199" s="19">
        <f t="array" ref="AH199">DiasMesesGris(Q199:AB199)</f>
        <v>180</v>
      </c>
      <c r="AI199" s="19">
        <f t="shared" si="23"/>
        <v>206</v>
      </c>
      <c r="AJ199" s="19">
        <f t="shared" si="24"/>
        <v>154</v>
      </c>
      <c r="AK199" s="20">
        <f t="shared" si="21"/>
        <v>603</v>
      </c>
      <c r="AL199" s="21">
        <f t="shared" si="25"/>
        <v>3.9155844155844157</v>
      </c>
    </row>
    <row r="200" spans="1:38" x14ac:dyDescent="0.25">
      <c r="A200" s="1" t="s">
        <v>381</v>
      </c>
      <c r="B200" s="1" t="s">
        <v>380</v>
      </c>
      <c r="C200" s="1" t="s">
        <v>366</v>
      </c>
      <c r="D200" s="8">
        <v>63</v>
      </c>
      <c r="E200" s="8">
        <v>50</v>
      </c>
      <c r="F200" s="8">
        <v>125</v>
      </c>
      <c r="G200" s="8">
        <v>82</v>
      </c>
      <c r="H200" s="8">
        <v>117</v>
      </c>
      <c r="I200" s="8">
        <v>44</v>
      </c>
      <c r="J200" s="8">
        <v>92</v>
      </c>
      <c r="K200" s="8">
        <v>54</v>
      </c>
      <c r="L200" s="8">
        <v>38</v>
      </c>
      <c r="M200" s="8">
        <v>36</v>
      </c>
      <c r="N200" s="8">
        <v>49</v>
      </c>
      <c r="O200" s="8">
        <v>25</v>
      </c>
      <c r="P200" s="3"/>
      <c r="Q200" s="4">
        <v>2.0323000000000002</v>
      </c>
      <c r="R200" s="4">
        <v>1.6667000000000001</v>
      </c>
      <c r="S200" s="4">
        <v>4.0323000000000002</v>
      </c>
      <c r="T200" s="4">
        <v>2.7332999999999998</v>
      </c>
      <c r="U200" s="4">
        <v>3.7742</v>
      </c>
      <c r="V200" s="4">
        <v>1.4194</v>
      </c>
      <c r="W200" s="4">
        <v>3.2856999999999998</v>
      </c>
      <c r="X200" s="4">
        <v>1.7419</v>
      </c>
      <c r="Y200" s="4">
        <v>1.2666999999999999</v>
      </c>
      <c r="Z200" s="4">
        <v>1.1613</v>
      </c>
      <c r="AA200" s="4">
        <v>1.6333</v>
      </c>
      <c r="AB200" s="9">
        <v>1.087</v>
      </c>
      <c r="AC200" s="6">
        <v>0</v>
      </c>
      <c r="AD200" s="4">
        <v>2.2496999999999998</v>
      </c>
      <c r="AE200" s="4">
        <f>AVERAGE(W200:AB200)</f>
        <v>1.6959833333333332</v>
      </c>
      <c r="AF200" s="1" t="s">
        <v>35</v>
      </c>
      <c r="AG200" s="19">
        <f t="array" ref="AG200">DIASQUIEBRE(Q200:AB200)</f>
        <v>8</v>
      </c>
      <c r="AH200" s="19">
        <f t="array" ref="AH200">DiasMesesGris(Q200:AB200)</f>
        <v>0</v>
      </c>
      <c r="AI200" s="19">
        <f t="shared" si="23"/>
        <v>8</v>
      </c>
      <c r="AJ200" s="19">
        <f t="shared" si="24"/>
        <v>352</v>
      </c>
      <c r="AK200" s="20">
        <f t="shared" si="21"/>
        <v>775</v>
      </c>
      <c r="AL200" s="21">
        <f t="shared" si="25"/>
        <v>2.2017045454545454</v>
      </c>
    </row>
    <row r="201" spans="1:38" x14ac:dyDescent="0.25">
      <c r="A201" s="1" t="s">
        <v>383</v>
      </c>
      <c r="B201" s="1" t="s">
        <v>382</v>
      </c>
      <c r="C201" s="1" t="s">
        <v>285</v>
      </c>
      <c r="D201" s="8">
        <v>41</v>
      </c>
      <c r="E201" s="8">
        <v>33</v>
      </c>
      <c r="F201" s="8">
        <v>11</v>
      </c>
      <c r="G201" s="8">
        <v>54</v>
      </c>
      <c r="H201" s="8">
        <v>60</v>
      </c>
      <c r="I201" s="8">
        <v>30</v>
      </c>
      <c r="J201" s="8">
        <v>10</v>
      </c>
      <c r="K201" s="8">
        <v>72</v>
      </c>
      <c r="L201" s="8">
        <v>56</v>
      </c>
      <c r="M201" s="8">
        <v>9</v>
      </c>
      <c r="N201" s="8">
        <v>22</v>
      </c>
      <c r="O201" s="8">
        <v>5</v>
      </c>
      <c r="P201" s="3"/>
      <c r="Q201" s="4">
        <v>1.3226</v>
      </c>
      <c r="R201" s="4">
        <v>1.1000000000000001</v>
      </c>
      <c r="S201" s="4">
        <v>0.3548</v>
      </c>
      <c r="T201" s="4">
        <v>1.8</v>
      </c>
      <c r="U201" s="4">
        <v>1.9355</v>
      </c>
      <c r="V201" s="4">
        <v>0.9677</v>
      </c>
      <c r="W201" s="4">
        <v>0.35709999999999997</v>
      </c>
      <c r="X201" s="4">
        <v>2.3226</v>
      </c>
      <c r="Y201" s="4">
        <v>1.8667</v>
      </c>
      <c r="Z201" s="4">
        <v>0.2903</v>
      </c>
      <c r="AA201" s="4">
        <v>0.73329999999999995</v>
      </c>
      <c r="AB201" s="9">
        <v>0.1852</v>
      </c>
      <c r="AC201" s="6">
        <v>0</v>
      </c>
      <c r="AD201" s="4">
        <v>1.1863999999999999</v>
      </c>
      <c r="AE201" s="4">
        <f>AVERAGE(W201:AB201)</f>
        <v>0.95920000000000005</v>
      </c>
      <c r="AF201" s="1" t="s">
        <v>32</v>
      </c>
      <c r="AG201" s="19">
        <f t="array" ref="AG201">DIASQUIEBRE(Q201:AB201)</f>
        <v>4</v>
      </c>
      <c r="AH201" s="19">
        <f t="array" ref="AH201">DiasMesesGris(Q201:AB201)</f>
        <v>0</v>
      </c>
      <c r="AI201" s="19">
        <f t="shared" si="23"/>
        <v>4</v>
      </c>
      <c r="AJ201" s="19">
        <f t="shared" si="24"/>
        <v>356</v>
      </c>
      <c r="AK201" s="20">
        <f t="shared" si="21"/>
        <v>403</v>
      </c>
      <c r="AL201" s="21">
        <f t="shared" si="25"/>
        <v>1.1320224719101124</v>
      </c>
    </row>
    <row r="202" spans="1:38" x14ac:dyDescent="0.25">
      <c r="A202" s="1" t="s">
        <v>386</v>
      </c>
      <c r="B202" s="1" t="s">
        <v>385</v>
      </c>
      <c r="C202" s="1" t="s">
        <v>384</v>
      </c>
      <c r="D202" s="3"/>
      <c r="E202" s="8">
        <v>17</v>
      </c>
      <c r="F202" s="8">
        <v>31</v>
      </c>
      <c r="G202" s="3"/>
      <c r="H202" s="8">
        <v>42</v>
      </c>
      <c r="I202" s="8">
        <v>2</v>
      </c>
      <c r="J202" s="8">
        <v>11</v>
      </c>
      <c r="K202" s="8">
        <v>12</v>
      </c>
      <c r="L202" s="8">
        <v>21</v>
      </c>
      <c r="M202" s="8">
        <v>8</v>
      </c>
      <c r="N202" s="8">
        <v>32</v>
      </c>
      <c r="O202" s="8">
        <v>47</v>
      </c>
      <c r="P202" s="3"/>
      <c r="Q202" s="5">
        <v>0</v>
      </c>
      <c r="R202" s="9">
        <v>0.60709999999999997</v>
      </c>
      <c r="S202" s="9">
        <v>1.55</v>
      </c>
      <c r="T202" s="5">
        <v>0</v>
      </c>
      <c r="U202" s="9">
        <v>1.5</v>
      </c>
      <c r="V202" s="4">
        <v>6.4500000000000002E-2</v>
      </c>
      <c r="W202" s="4">
        <v>0.39290000000000003</v>
      </c>
      <c r="X202" s="4">
        <v>0.3871</v>
      </c>
      <c r="Y202" s="4">
        <v>0.7</v>
      </c>
      <c r="Z202" s="4">
        <v>0.2581</v>
      </c>
      <c r="AA202" s="4">
        <v>1.0667</v>
      </c>
      <c r="AB202" s="4">
        <v>1.5161</v>
      </c>
      <c r="AC202" s="10">
        <v>0</v>
      </c>
      <c r="AD202" s="4">
        <v>0.62649999999999995</v>
      </c>
      <c r="AE202" s="4">
        <v>0.79</v>
      </c>
      <c r="AF202" s="1" t="s">
        <v>35</v>
      </c>
      <c r="AG202" s="19">
        <f t="array" ref="AG202">DIASQUIEBRE(Q202:AB202)</f>
        <v>16</v>
      </c>
      <c r="AH202" s="19">
        <f t="array" ref="AH202">DiasMesesGris(Q202:AB202)</f>
        <v>60</v>
      </c>
      <c r="AI202" s="19">
        <f t="shared" si="23"/>
        <v>76</v>
      </c>
      <c r="AJ202" s="19">
        <f t="shared" si="24"/>
        <v>284</v>
      </c>
      <c r="AK202" s="20">
        <f t="shared" si="21"/>
        <v>223</v>
      </c>
      <c r="AL202" s="21">
        <f t="shared" si="25"/>
        <v>0.78521126760563376</v>
      </c>
    </row>
    <row r="203" spans="1:38" x14ac:dyDescent="0.25">
      <c r="A203" s="1" t="s">
        <v>389</v>
      </c>
      <c r="B203" s="1" t="s">
        <v>388</v>
      </c>
      <c r="C203" s="1" t="s">
        <v>387</v>
      </c>
      <c r="D203" s="8">
        <v>7</v>
      </c>
      <c r="E203" s="8">
        <v>3</v>
      </c>
      <c r="F203" s="8">
        <v>25</v>
      </c>
      <c r="G203" s="8">
        <v>12</v>
      </c>
      <c r="H203" s="8">
        <v>16</v>
      </c>
      <c r="I203" s="8">
        <v>1</v>
      </c>
      <c r="J203" s="8">
        <v>9</v>
      </c>
      <c r="K203" s="8">
        <v>6</v>
      </c>
      <c r="L203" s="8">
        <v>8</v>
      </c>
      <c r="M203" s="8">
        <v>2</v>
      </c>
      <c r="N203" s="8">
        <v>6</v>
      </c>
      <c r="O203" s="8">
        <v>28</v>
      </c>
      <c r="P203" s="3"/>
      <c r="Q203" s="4">
        <v>0.2258</v>
      </c>
      <c r="R203" s="4">
        <v>0.1</v>
      </c>
      <c r="S203" s="4">
        <v>0.80649999999999999</v>
      </c>
      <c r="T203" s="4">
        <v>0.4</v>
      </c>
      <c r="U203" s="4">
        <v>0.5161</v>
      </c>
      <c r="V203" s="4">
        <v>3.2300000000000002E-2</v>
      </c>
      <c r="W203" s="4">
        <v>0.32140000000000002</v>
      </c>
      <c r="X203" s="4">
        <v>0.19350000000000001</v>
      </c>
      <c r="Y203" s="4">
        <v>0.26669999999999999</v>
      </c>
      <c r="Z203" s="4">
        <v>6.4500000000000002E-2</v>
      </c>
      <c r="AA203" s="4">
        <v>0.2</v>
      </c>
      <c r="AB203" s="4">
        <v>0.9032</v>
      </c>
      <c r="AC203" s="10">
        <v>0</v>
      </c>
      <c r="AD203" s="4">
        <v>0.33579999999999999</v>
      </c>
      <c r="AE203" s="4">
        <v>0.36</v>
      </c>
      <c r="AF203" s="1" t="s">
        <v>35</v>
      </c>
      <c r="AG203" s="19">
        <f t="array" ref="AG203">DIASQUIEBRE(Q203:AB203)</f>
        <v>0</v>
      </c>
      <c r="AH203" s="19">
        <f t="array" ref="AH203">DiasMesesGris(Q203:AB203)</f>
        <v>0</v>
      </c>
      <c r="AI203" s="19">
        <f t="shared" si="23"/>
        <v>0</v>
      </c>
      <c r="AJ203" s="19">
        <f t="shared" si="24"/>
        <v>360</v>
      </c>
      <c r="AK203" s="20">
        <f t="shared" si="21"/>
        <v>123</v>
      </c>
      <c r="AL203" s="21">
        <f t="shared" si="25"/>
        <v>0.34166666666666667</v>
      </c>
    </row>
    <row r="204" spans="1:38" x14ac:dyDescent="0.25">
      <c r="A204" s="1" t="s">
        <v>392</v>
      </c>
      <c r="B204" s="1" t="s">
        <v>391</v>
      </c>
      <c r="C204" s="1" t="s">
        <v>390</v>
      </c>
      <c r="D204" s="8">
        <v>6</v>
      </c>
      <c r="E204" s="8">
        <v>19</v>
      </c>
      <c r="F204" s="8">
        <v>18</v>
      </c>
      <c r="G204" s="8">
        <v>17</v>
      </c>
      <c r="H204" s="8">
        <v>6</v>
      </c>
      <c r="I204" s="8">
        <v>27</v>
      </c>
      <c r="J204" s="8">
        <v>43</v>
      </c>
      <c r="K204" s="3"/>
      <c r="L204" s="3"/>
      <c r="M204" s="3"/>
      <c r="N204" s="3"/>
      <c r="O204" s="3"/>
      <c r="P204" s="3"/>
      <c r="Q204" s="4">
        <v>0.19350000000000001</v>
      </c>
      <c r="R204" s="4">
        <v>0.63329999999999997</v>
      </c>
      <c r="S204" s="4">
        <v>0.5806</v>
      </c>
      <c r="T204" s="4">
        <v>0.56669999999999998</v>
      </c>
      <c r="U204" s="4">
        <v>0.19350000000000001</v>
      </c>
      <c r="V204" s="4">
        <v>0.871</v>
      </c>
      <c r="W204" s="9">
        <v>3.5832999999999999</v>
      </c>
      <c r="X204" s="5">
        <v>0</v>
      </c>
      <c r="Y204" s="5">
        <v>0</v>
      </c>
      <c r="Z204" s="5">
        <v>0</v>
      </c>
      <c r="AA204" s="5">
        <v>0</v>
      </c>
      <c r="AB204" s="5">
        <v>0</v>
      </c>
      <c r="AC204" s="6">
        <v>0</v>
      </c>
      <c r="AD204" s="4">
        <v>0.50639999999999996</v>
      </c>
      <c r="AE204" s="4">
        <f>AVERAGE(W204:AB204)</f>
        <v>0.59721666666666662</v>
      </c>
      <c r="AF204" s="1" t="s">
        <v>32</v>
      </c>
      <c r="AG204" s="19">
        <f t="array" ref="AG204">DIASQUIEBRE(Q204:AB204)</f>
        <v>16</v>
      </c>
      <c r="AH204" s="19">
        <f t="array" ref="AH204">DiasMesesGris(Q204:AB204)</f>
        <v>150</v>
      </c>
      <c r="AI204" s="19">
        <f t="shared" si="23"/>
        <v>166</v>
      </c>
      <c r="AJ204" s="19">
        <f t="shared" si="24"/>
        <v>194</v>
      </c>
      <c r="AK204" s="20">
        <f t="shared" si="21"/>
        <v>136</v>
      </c>
      <c r="AL204" s="21">
        <f t="shared" si="25"/>
        <v>0.7010309278350515</v>
      </c>
    </row>
    <row r="205" spans="1:38" x14ac:dyDescent="0.25">
      <c r="A205" s="1" t="s">
        <v>395</v>
      </c>
      <c r="B205" s="1" t="s">
        <v>394</v>
      </c>
      <c r="C205" s="1" t="s">
        <v>393</v>
      </c>
      <c r="D205" s="3"/>
      <c r="E205" s="8">
        <v>8</v>
      </c>
      <c r="F205" s="8">
        <v>20</v>
      </c>
      <c r="G205" s="8">
        <v>10</v>
      </c>
      <c r="H205" s="8">
        <v>53</v>
      </c>
      <c r="I205" s="8">
        <v>84</v>
      </c>
      <c r="J205" s="8">
        <v>45</v>
      </c>
      <c r="K205" s="8">
        <v>6</v>
      </c>
      <c r="L205" s="8">
        <v>32</v>
      </c>
      <c r="M205" s="8">
        <v>-1</v>
      </c>
      <c r="N205" s="3"/>
      <c r="O205" s="8">
        <v>-1</v>
      </c>
      <c r="P205" s="3"/>
      <c r="Q205" s="5">
        <v>0</v>
      </c>
      <c r="R205" s="9">
        <v>0.28570000000000001</v>
      </c>
      <c r="S205" s="4">
        <v>0.6452</v>
      </c>
      <c r="T205" s="4">
        <v>0.33329999999999999</v>
      </c>
      <c r="U205" s="4">
        <v>1.7097</v>
      </c>
      <c r="V205" s="4">
        <v>2.7097000000000002</v>
      </c>
      <c r="W205" s="4">
        <v>1.6071</v>
      </c>
      <c r="X205" s="4">
        <v>0.19350000000000001</v>
      </c>
      <c r="Y205" s="9">
        <v>4.5713999999999997</v>
      </c>
      <c r="Z205" s="5">
        <v>0</v>
      </c>
      <c r="AA205" s="5">
        <v>0</v>
      </c>
      <c r="AB205" s="5">
        <v>0</v>
      </c>
      <c r="AC205" s="6">
        <v>0</v>
      </c>
      <c r="AD205" s="4">
        <v>1.1998</v>
      </c>
      <c r="AE205" s="4">
        <f>AVERAGE(W205:AB205)</f>
        <v>1.0620000000000001</v>
      </c>
      <c r="AF205" s="1" t="s">
        <v>32</v>
      </c>
      <c r="AG205" s="19">
        <f t="array" ref="AG205">DIASQUIEBRE(Q205:AB205)</f>
        <v>25</v>
      </c>
      <c r="AH205" s="19">
        <f t="array" ref="AH205">DiasMesesGris(Q205:AB205)</f>
        <v>120</v>
      </c>
      <c r="AI205" s="19">
        <f t="shared" si="23"/>
        <v>145</v>
      </c>
      <c r="AJ205" s="19">
        <f t="shared" si="24"/>
        <v>215</v>
      </c>
      <c r="AK205" s="20">
        <f t="shared" si="21"/>
        <v>256</v>
      </c>
      <c r="AL205" s="21">
        <f t="shared" si="25"/>
        <v>1.1906976744186046</v>
      </c>
    </row>
    <row r="206" spans="1:38" x14ac:dyDescent="0.25">
      <c r="A206" s="1" t="s">
        <v>398</v>
      </c>
      <c r="B206" s="1" t="s">
        <v>397</v>
      </c>
      <c r="C206" s="1" t="s">
        <v>396</v>
      </c>
      <c r="D206" s="8">
        <v>10</v>
      </c>
      <c r="E206" s="8">
        <v>17</v>
      </c>
      <c r="F206" s="8">
        <v>6</v>
      </c>
      <c r="G206" s="3"/>
      <c r="H206" s="3"/>
      <c r="I206" s="3"/>
      <c r="J206" s="8">
        <v>2</v>
      </c>
      <c r="K206" s="3"/>
      <c r="L206" s="3"/>
      <c r="M206" s="3"/>
      <c r="N206" s="3"/>
      <c r="O206" s="3"/>
      <c r="P206" s="3"/>
      <c r="Q206" s="4">
        <v>0.3226</v>
      </c>
      <c r="R206" s="4">
        <v>0.56669999999999998</v>
      </c>
      <c r="S206" s="4">
        <v>0.19350000000000001</v>
      </c>
      <c r="T206" s="4">
        <v>0</v>
      </c>
      <c r="U206" s="9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6">
        <v>0</v>
      </c>
      <c r="AD206" s="4">
        <v>0.2707</v>
      </c>
      <c r="AE206" s="4">
        <f>AVERAGE(W206:AB206)</f>
        <v>0</v>
      </c>
      <c r="AF206" s="1" t="s">
        <v>32</v>
      </c>
      <c r="AG206" s="19">
        <f t="array" ref="AG206">DIASQUIEBRE(Q206:AB206)</f>
        <v>29</v>
      </c>
      <c r="AH206" s="19">
        <f t="array" ref="AH206">DiasMesesGris(Q206:AB206)</f>
        <v>210</v>
      </c>
      <c r="AI206" s="19">
        <f t="shared" si="23"/>
        <v>239</v>
      </c>
      <c r="AJ206" s="19">
        <f t="shared" si="24"/>
        <v>121</v>
      </c>
      <c r="AK206" s="20">
        <f t="shared" si="21"/>
        <v>35</v>
      </c>
      <c r="AL206" s="21">
        <f t="shared" si="25"/>
        <v>0.28925619834710742</v>
      </c>
    </row>
    <row r="207" spans="1:38" x14ac:dyDescent="0.25">
      <c r="A207" s="1" t="s">
        <v>401</v>
      </c>
      <c r="B207" s="1" t="s">
        <v>400</v>
      </c>
      <c r="C207" s="1" t="s">
        <v>399</v>
      </c>
      <c r="D207" s="8">
        <v>5</v>
      </c>
      <c r="E207" s="8">
        <v>4</v>
      </c>
      <c r="F207" s="8">
        <v>3</v>
      </c>
      <c r="G207" s="8">
        <v>15</v>
      </c>
      <c r="H207" s="8">
        <v>13</v>
      </c>
      <c r="I207" s="8">
        <v>5</v>
      </c>
      <c r="J207" s="8">
        <v>6</v>
      </c>
      <c r="K207" s="8">
        <v>28</v>
      </c>
      <c r="L207" s="8">
        <v>14</v>
      </c>
      <c r="M207" s="3"/>
      <c r="N207" s="3"/>
      <c r="O207" s="8">
        <v>37</v>
      </c>
      <c r="P207" s="3"/>
      <c r="Q207" s="4">
        <v>0.1613</v>
      </c>
      <c r="R207" s="4">
        <v>0.1333</v>
      </c>
      <c r="S207" s="4">
        <v>9.6799999999999997E-2</v>
      </c>
      <c r="T207" s="4">
        <v>0.5</v>
      </c>
      <c r="U207" s="4">
        <v>0.4194</v>
      </c>
      <c r="V207" s="4">
        <v>0.1613</v>
      </c>
      <c r="W207" s="4">
        <v>0.21429999999999999</v>
      </c>
      <c r="X207" s="4">
        <v>0.9032</v>
      </c>
      <c r="Y207" s="4">
        <v>0.4667</v>
      </c>
      <c r="Z207" s="4">
        <v>0</v>
      </c>
      <c r="AA207" s="4">
        <v>0</v>
      </c>
      <c r="AB207" s="9">
        <f>O207/31</f>
        <v>1.1935483870967742</v>
      </c>
      <c r="AC207" s="6">
        <v>0</v>
      </c>
      <c r="AD207" s="4">
        <v>0.27779999999999999</v>
      </c>
      <c r="AE207" s="4">
        <v>0.42</v>
      </c>
      <c r="AF207" s="1" t="s">
        <v>32</v>
      </c>
      <c r="AG207" s="19">
        <f t="array" ref="AG207">DIASQUIEBRE(Q207:AB207)</f>
        <v>5</v>
      </c>
      <c r="AH207" s="19">
        <f t="array" ref="AH207">DiasMesesGris(Q207:AB207)</f>
        <v>0</v>
      </c>
      <c r="AI207" s="19">
        <f t="shared" si="23"/>
        <v>5</v>
      </c>
      <c r="AJ207" s="19">
        <f t="shared" si="24"/>
        <v>355</v>
      </c>
      <c r="AK207" s="20">
        <f t="shared" si="21"/>
        <v>130</v>
      </c>
      <c r="AL207" s="21">
        <f t="shared" si="25"/>
        <v>0.36619718309859156</v>
      </c>
    </row>
    <row r="208" spans="1:38" x14ac:dyDescent="0.25">
      <c r="A208" s="1" t="s">
        <v>404</v>
      </c>
      <c r="B208" s="1" t="s">
        <v>403</v>
      </c>
      <c r="C208" s="1" t="s">
        <v>402</v>
      </c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6">
        <v>0</v>
      </c>
      <c r="AE208" s="4">
        <f>AVERAGE(W208:AB208)</f>
        <v>0</v>
      </c>
      <c r="AF208" s="1" t="s">
        <v>32</v>
      </c>
      <c r="AG208" s="19">
        <f t="array" ref="AG208">DIASQUIEBRE(Q208:AB208)</f>
        <v>0</v>
      </c>
      <c r="AH208" s="19">
        <f t="array" ref="AH208">DiasMesesGris(Q208:AB208)</f>
        <v>360</v>
      </c>
      <c r="AI208" s="19">
        <f t="shared" si="23"/>
        <v>360</v>
      </c>
      <c r="AJ208" s="19">
        <f t="shared" si="24"/>
        <v>0</v>
      </c>
      <c r="AK208" s="20">
        <f t="shared" si="21"/>
        <v>0</v>
      </c>
      <c r="AL208" s="21">
        <f t="shared" si="25"/>
        <v>0</v>
      </c>
    </row>
    <row r="209" spans="1:38" x14ac:dyDescent="0.25">
      <c r="A209" s="1" t="s">
        <v>406</v>
      </c>
      <c r="B209" s="1" t="s">
        <v>405</v>
      </c>
      <c r="C209" s="1" t="s">
        <v>384</v>
      </c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6">
        <v>0</v>
      </c>
      <c r="AE209" s="4">
        <f>AVERAGE(W209:AB209)</f>
        <v>0</v>
      </c>
      <c r="AF209" s="1" t="s">
        <v>35</v>
      </c>
      <c r="AG209" s="19">
        <f t="array" ref="AG209">DIASQUIEBRE(Q209:AB209)</f>
        <v>0</v>
      </c>
      <c r="AH209" s="19">
        <f t="array" ref="AH209">DiasMesesGris(Q209:AB209)</f>
        <v>360</v>
      </c>
      <c r="AI209" s="19">
        <f t="shared" si="23"/>
        <v>360</v>
      </c>
      <c r="AJ209" s="19">
        <f t="shared" si="24"/>
        <v>0</v>
      </c>
      <c r="AK209" s="20">
        <f t="shared" si="21"/>
        <v>0</v>
      </c>
      <c r="AL209" s="21">
        <f t="shared" si="25"/>
        <v>0</v>
      </c>
    </row>
    <row r="210" spans="1:38" x14ac:dyDescent="0.25">
      <c r="A210" s="1" t="s">
        <v>408</v>
      </c>
      <c r="B210" s="1" t="s">
        <v>407</v>
      </c>
      <c r="C210" s="1" t="s">
        <v>387</v>
      </c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0</v>
      </c>
      <c r="AA210" s="5">
        <v>0</v>
      </c>
      <c r="AB210" s="5">
        <v>0</v>
      </c>
      <c r="AC210" s="6">
        <v>0</v>
      </c>
      <c r="AE210" s="4">
        <f>AVERAGE(W210:AB210)</f>
        <v>0</v>
      </c>
      <c r="AF210" s="1" t="s">
        <v>35</v>
      </c>
      <c r="AG210" s="19">
        <f t="array" ref="AG210">DIASQUIEBRE(Q210:AB210)</f>
        <v>0</v>
      </c>
      <c r="AH210" s="19">
        <f t="array" ref="AH210">DiasMesesGris(Q210:AB210)</f>
        <v>360</v>
      </c>
      <c r="AI210" s="19">
        <f t="shared" si="23"/>
        <v>360</v>
      </c>
      <c r="AJ210" s="19">
        <f t="shared" si="24"/>
        <v>0</v>
      </c>
      <c r="AK210" s="20">
        <f t="shared" si="21"/>
        <v>0</v>
      </c>
      <c r="AL210" s="21">
        <f t="shared" si="25"/>
        <v>0</v>
      </c>
    </row>
    <row r="211" spans="1:38" x14ac:dyDescent="0.25">
      <c r="A211" s="1" t="s">
        <v>411</v>
      </c>
      <c r="B211" s="1" t="s">
        <v>410</v>
      </c>
      <c r="C211" s="1" t="s">
        <v>409</v>
      </c>
      <c r="D211" s="3"/>
      <c r="E211" s="8">
        <v>3</v>
      </c>
      <c r="F211" s="3"/>
      <c r="G211" s="3"/>
      <c r="H211" s="3"/>
      <c r="I211" s="3"/>
      <c r="J211" s="3"/>
      <c r="K211" s="3"/>
      <c r="L211" s="3"/>
      <c r="M211" s="3"/>
      <c r="N211" s="8">
        <v>-1</v>
      </c>
      <c r="O211" s="3"/>
      <c r="P211" s="3"/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6">
        <v>0</v>
      </c>
      <c r="AE211" s="4">
        <f>AVERAGE(W211:AB211)</f>
        <v>0</v>
      </c>
      <c r="AF211" s="1" t="s">
        <v>32</v>
      </c>
      <c r="AG211" s="19">
        <f t="array" ref="AG211">DIASQUIEBRE(Q211:AB211)</f>
        <v>0</v>
      </c>
      <c r="AH211" s="19">
        <f t="array" ref="AH211">DiasMesesGris(Q211:AB211)</f>
        <v>360</v>
      </c>
      <c r="AI211" s="19">
        <f t="shared" si="23"/>
        <v>360</v>
      </c>
      <c r="AJ211" s="19">
        <f t="shared" si="24"/>
        <v>0</v>
      </c>
      <c r="AK211" s="20">
        <f t="shared" si="21"/>
        <v>2</v>
      </c>
      <c r="AL211" s="21">
        <f t="shared" si="25"/>
        <v>0</v>
      </c>
    </row>
    <row r="212" spans="1:38" x14ac:dyDescent="0.25">
      <c r="A212" s="1" t="s">
        <v>414</v>
      </c>
      <c r="B212" s="1" t="s">
        <v>413</v>
      </c>
      <c r="C212" s="1" t="s">
        <v>412</v>
      </c>
      <c r="D212" s="8">
        <v>5</v>
      </c>
      <c r="E212" s="8">
        <v>17</v>
      </c>
      <c r="F212" s="8">
        <v>2</v>
      </c>
      <c r="G212" s="8">
        <v>6</v>
      </c>
      <c r="H212" s="8">
        <v>10</v>
      </c>
      <c r="I212" s="8">
        <v>55</v>
      </c>
      <c r="J212" s="8">
        <v>10</v>
      </c>
      <c r="K212" s="3"/>
      <c r="L212" s="3"/>
      <c r="M212" s="3"/>
      <c r="N212" s="3"/>
      <c r="O212" s="8">
        <v>-1</v>
      </c>
      <c r="P212" s="3"/>
      <c r="Q212" s="4">
        <v>0.1613</v>
      </c>
      <c r="R212" s="4">
        <v>0.56669999999999998</v>
      </c>
      <c r="S212" s="4">
        <v>6.4500000000000002E-2</v>
      </c>
      <c r="T212" s="4">
        <v>0.2</v>
      </c>
      <c r="U212" s="4">
        <v>0.3226</v>
      </c>
      <c r="V212" s="4">
        <v>1.7742</v>
      </c>
      <c r="W212" s="9">
        <v>3.3332999999999999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6">
        <v>0</v>
      </c>
      <c r="AD212" s="4">
        <v>0.51490000000000002</v>
      </c>
      <c r="AE212" s="4">
        <f>AVERAGE(W212:AB212)</f>
        <v>0.55554999999999999</v>
      </c>
      <c r="AF212" s="1" t="s">
        <v>32</v>
      </c>
      <c r="AG212" s="19">
        <f t="array" ref="AG212">DIASQUIEBRE(Q212:AB212)</f>
        <v>25</v>
      </c>
      <c r="AH212" s="19">
        <f t="array" ref="AH212">DiasMesesGris(Q212:AB212)</f>
        <v>150</v>
      </c>
      <c r="AI212" s="19">
        <f t="shared" si="23"/>
        <v>175</v>
      </c>
      <c r="AJ212" s="19">
        <f t="shared" si="24"/>
        <v>185</v>
      </c>
      <c r="AK212" s="20">
        <f t="shared" si="21"/>
        <v>104</v>
      </c>
      <c r="AL212" s="21">
        <f t="shared" si="25"/>
        <v>0.56216216216216219</v>
      </c>
    </row>
    <row r="213" spans="1:38" x14ac:dyDescent="0.25">
      <c r="A213" s="1" t="s">
        <v>417</v>
      </c>
      <c r="B213" s="1" t="s">
        <v>416</v>
      </c>
      <c r="C213" s="1" t="s">
        <v>415</v>
      </c>
      <c r="D213" s="8">
        <v>164</v>
      </c>
      <c r="E213" s="8">
        <v>232</v>
      </c>
      <c r="F213" s="8">
        <v>209</v>
      </c>
      <c r="G213" s="8">
        <v>132</v>
      </c>
      <c r="H213" s="8">
        <v>176</v>
      </c>
      <c r="I213" s="8">
        <v>129</v>
      </c>
      <c r="J213" s="8">
        <v>177</v>
      </c>
      <c r="K213" s="8">
        <v>156</v>
      </c>
      <c r="L213" s="8">
        <v>300</v>
      </c>
      <c r="M213" s="8">
        <v>159</v>
      </c>
      <c r="N213" s="8">
        <v>270</v>
      </c>
      <c r="O213" s="8">
        <v>419</v>
      </c>
      <c r="P213" s="3"/>
      <c r="Q213" s="4">
        <v>5.2903000000000002</v>
      </c>
      <c r="R213" s="4">
        <v>7.7332999999999998</v>
      </c>
      <c r="S213" s="4">
        <v>6.7419000000000002</v>
      </c>
      <c r="T213" s="4">
        <v>4.4000000000000004</v>
      </c>
      <c r="U213" s="4">
        <v>5.6773999999999996</v>
      </c>
      <c r="V213" s="4">
        <v>4.1612999999999998</v>
      </c>
      <c r="W213" s="4">
        <v>6.3213999999999997</v>
      </c>
      <c r="X213" s="4">
        <v>5.0323000000000002</v>
      </c>
      <c r="Y213" s="4">
        <v>10</v>
      </c>
      <c r="Z213" s="4">
        <v>5.1289999999999996</v>
      </c>
      <c r="AA213" s="4">
        <v>9</v>
      </c>
      <c r="AB213" s="9">
        <f>O213/31</f>
        <v>13.516129032258064</v>
      </c>
      <c r="AC213" s="6">
        <v>0</v>
      </c>
      <c r="AD213" s="4">
        <v>6.3170000000000002</v>
      </c>
      <c r="AE213" s="4">
        <v>10.8</v>
      </c>
      <c r="AF213" s="1" t="s">
        <v>35</v>
      </c>
      <c r="AG213" s="19">
        <f t="array" ref="AG213">DIASQUIEBRE(Q213:AB213)</f>
        <v>9</v>
      </c>
      <c r="AH213" s="19">
        <f t="array" ref="AH213">DiasMesesGris(Q213:AB213)</f>
        <v>0</v>
      </c>
      <c r="AI213" s="19">
        <f t="shared" si="23"/>
        <v>9</v>
      </c>
      <c r="AJ213" s="19">
        <f t="shared" si="24"/>
        <v>351</v>
      </c>
      <c r="AK213" s="20">
        <f t="shared" si="21"/>
        <v>2523</v>
      </c>
      <c r="AL213" s="21">
        <f t="shared" si="25"/>
        <v>7.1880341880341883</v>
      </c>
    </row>
    <row r="214" spans="1:38" x14ac:dyDescent="0.25">
      <c r="A214" s="1" t="s">
        <v>420</v>
      </c>
      <c r="B214" s="1" t="s">
        <v>419</v>
      </c>
      <c r="C214" s="1" t="s">
        <v>418</v>
      </c>
      <c r="D214" s="8">
        <v>55</v>
      </c>
      <c r="E214" s="8">
        <v>30</v>
      </c>
      <c r="F214" s="8">
        <v>60</v>
      </c>
      <c r="G214" s="8">
        <v>87</v>
      </c>
      <c r="H214" s="8">
        <v>148</v>
      </c>
      <c r="I214" s="8">
        <v>32</v>
      </c>
      <c r="J214" s="8">
        <v>9</v>
      </c>
      <c r="K214" s="8">
        <v>54</v>
      </c>
      <c r="L214" s="8">
        <v>168</v>
      </c>
      <c r="M214" s="8">
        <v>116</v>
      </c>
      <c r="N214" s="8">
        <v>227</v>
      </c>
      <c r="O214" s="8">
        <v>105</v>
      </c>
      <c r="P214" s="3"/>
      <c r="Q214" s="4">
        <v>1.7742</v>
      </c>
      <c r="R214" s="4">
        <v>1</v>
      </c>
      <c r="S214" s="4">
        <v>1.9355</v>
      </c>
      <c r="T214" s="4">
        <v>2.9</v>
      </c>
      <c r="U214" s="4">
        <v>4.7742000000000004</v>
      </c>
      <c r="V214" s="4">
        <v>1.0323</v>
      </c>
      <c r="W214" s="4">
        <v>0.32140000000000002</v>
      </c>
      <c r="X214" s="4">
        <v>1.7419</v>
      </c>
      <c r="Y214" s="4">
        <v>5.6</v>
      </c>
      <c r="Z214" s="4">
        <v>3.7418999999999998</v>
      </c>
      <c r="AA214" s="4">
        <v>7.5667</v>
      </c>
      <c r="AB214" s="9">
        <f>O214/31</f>
        <v>3.3870967741935485</v>
      </c>
      <c r="AC214" s="6">
        <v>0</v>
      </c>
      <c r="AD214" s="4">
        <v>2.9443999999999999</v>
      </c>
      <c r="AE214" s="4">
        <v>5.42</v>
      </c>
      <c r="AF214" s="1" t="s">
        <v>35</v>
      </c>
      <c r="AG214" s="19">
        <f t="array" ref="AG214">DIASQUIEBRE(Q214:AB214)</f>
        <v>9</v>
      </c>
      <c r="AH214" s="19">
        <f t="array" ref="AH214">DiasMesesGris(Q214:AB214)</f>
        <v>0</v>
      </c>
      <c r="AI214" s="19">
        <f t="shared" si="23"/>
        <v>9</v>
      </c>
      <c r="AJ214" s="19">
        <f t="shared" si="24"/>
        <v>351</v>
      </c>
      <c r="AK214" s="20">
        <f t="shared" ref="AK214:AK277" si="26">SUM(D214:O214)</f>
        <v>1091</v>
      </c>
      <c r="AL214" s="21">
        <f t="shared" si="25"/>
        <v>3.1082621082621085</v>
      </c>
    </row>
    <row r="215" spans="1:38" x14ac:dyDescent="0.25">
      <c r="A215" s="1" t="s">
        <v>423</v>
      </c>
      <c r="B215" s="1" t="s">
        <v>422</v>
      </c>
      <c r="C215" s="1" t="s">
        <v>421</v>
      </c>
      <c r="D215" s="8">
        <v>67</v>
      </c>
      <c r="E215" s="8">
        <v>52</v>
      </c>
      <c r="F215" s="8">
        <v>48</v>
      </c>
      <c r="G215" s="8">
        <v>108</v>
      </c>
      <c r="H215" s="8">
        <v>131</v>
      </c>
      <c r="I215" s="8">
        <v>165</v>
      </c>
      <c r="J215" s="8">
        <v>155</v>
      </c>
      <c r="K215" s="8">
        <v>131</v>
      </c>
      <c r="L215" s="8">
        <v>139</v>
      </c>
      <c r="M215" s="8">
        <v>96</v>
      </c>
      <c r="N215" s="8">
        <v>98</v>
      </c>
      <c r="O215" s="8">
        <v>14</v>
      </c>
      <c r="P215" s="3"/>
      <c r="Q215" s="9">
        <v>3.9411999999999998</v>
      </c>
      <c r="R215" s="9">
        <v>1.8571</v>
      </c>
      <c r="S215" s="4">
        <v>1.5484</v>
      </c>
      <c r="T215" s="4">
        <v>3.6</v>
      </c>
      <c r="U215" s="4">
        <v>4.2257999999999996</v>
      </c>
      <c r="V215" s="4">
        <v>5.3226000000000004</v>
      </c>
      <c r="W215" s="4">
        <v>5.5357000000000003</v>
      </c>
      <c r="X215" s="9">
        <v>4.3666999999999998</v>
      </c>
      <c r="Y215" s="9">
        <f>L215/30</f>
        <v>4.6333333333333337</v>
      </c>
      <c r="Z215" s="4">
        <v>3.0968</v>
      </c>
      <c r="AA215" s="4">
        <v>3.2667000000000002</v>
      </c>
      <c r="AB215" s="9">
        <v>2.8</v>
      </c>
      <c r="AC215" s="6">
        <v>0</v>
      </c>
      <c r="AD215" s="4">
        <v>3.7993999999999999</v>
      </c>
      <c r="AE215" s="4">
        <f>AVERAGE(W215:AB215)</f>
        <v>3.9498722222222225</v>
      </c>
      <c r="AF215" s="1" t="s">
        <v>35</v>
      </c>
      <c r="AG215" s="19">
        <f t="array" ref="AG215">DIASQUIEBRE(Q215:AB215)</f>
        <v>56</v>
      </c>
      <c r="AH215" s="19">
        <f t="array" ref="AH215">DiasMesesGris(Q215:AB215)</f>
        <v>0</v>
      </c>
      <c r="AI215" s="19">
        <f t="shared" si="23"/>
        <v>56</v>
      </c>
      <c r="AJ215" s="19">
        <f t="shared" si="24"/>
        <v>304</v>
      </c>
      <c r="AK215" s="20">
        <f t="shared" si="26"/>
        <v>1204</v>
      </c>
      <c r="AL215" s="21">
        <f t="shared" si="25"/>
        <v>3.9605263157894739</v>
      </c>
    </row>
    <row r="216" spans="1:38" x14ac:dyDescent="0.25">
      <c r="A216" s="1" t="s">
        <v>426</v>
      </c>
      <c r="B216" s="1" t="s">
        <v>425</v>
      </c>
      <c r="C216" s="1" t="s">
        <v>424</v>
      </c>
      <c r="D216" s="8">
        <v>99</v>
      </c>
      <c r="E216" s="8">
        <v>121</v>
      </c>
      <c r="F216" s="8">
        <v>89</v>
      </c>
      <c r="G216" s="8">
        <v>156</v>
      </c>
      <c r="H216" s="8">
        <v>241</v>
      </c>
      <c r="I216" s="8">
        <v>171</v>
      </c>
      <c r="J216" s="8">
        <v>293</v>
      </c>
      <c r="K216" s="8">
        <v>220</v>
      </c>
      <c r="L216" s="8">
        <v>244</v>
      </c>
      <c r="M216" s="8">
        <v>158</v>
      </c>
      <c r="N216" s="8">
        <v>48</v>
      </c>
      <c r="O216" s="3"/>
      <c r="P216" s="3"/>
      <c r="Q216" s="4">
        <v>3.1934999999999998</v>
      </c>
      <c r="R216" s="4">
        <v>4.0332999999999997</v>
      </c>
      <c r="S216" s="4">
        <v>2.871</v>
      </c>
      <c r="T216" s="4">
        <v>5.2</v>
      </c>
      <c r="U216" s="4">
        <v>7.7742000000000004</v>
      </c>
      <c r="V216" s="4">
        <v>5.5160999999999998</v>
      </c>
      <c r="W216" s="4">
        <v>10.4643</v>
      </c>
      <c r="X216" s="4">
        <v>7.0968</v>
      </c>
      <c r="Y216" s="9">
        <f>L216/30</f>
        <v>8.1333333333333329</v>
      </c>
      <c r="Z216" s="4">
        <v>5.0968</v>
      </c>
      <c r="AA216" s="9">
        <v>6</v>
      </c>
      <c r="AB216" s="5">
        <v>0</v>
      </c>
      <c r="AC216" s="6">
        <v>0</v>
      </c>
      <c r="AD216" s="4">
        <v>5.694</v>
      </c>
      <c r="AE216" s="4">
        <v>7.7</v>
      </c>
      <c r="AF216" s="1" t="s">
        <v>35</v>
      </c>
      <c r="AG216" s="19">
        <f t="array" ref="AG216">DIASQUIEBRE(Q216:AB216)</f>
        <v>36</v>
      </c>
      <c r="AH216" s="19">
        <f t="array" ref="AH216">DiasMesesGris(Q216:AB216)</f>
        <v>30</v>
      </c>
      <c r="AI216" s="19">
        <f t="shared" si="23"/>
        <v>66</v>
      </c>
      <c r="AJ216" s="19">
        <f t="shared" si="24"/>
        <v>294</v>
      </c>
      <c r="AK216" s="20">
        <f t="shared" si="26"/>
        <v>1840</v>
      </c>
      <c r="AL216" s="21">
        <f t="shared" si="25"/>
        <v>6.2585034013605441</v>
      </c>
    </row>
    <row r="217" spans="1:38" x14ac:dyDescent="0.25">
      <c r="A217" s="11" t="s">
        <v>428</v>
      </c>
      <c r="B217" s="1" t="s">
        <v>427</v>
      </c>
      <c r="C217" s="1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s="5">
        <v>0</v>
      </c>
      <c r="AC217" s="6">
        <v>0</v>
      </c>
      <c r="AE217" s="4">
        <f t="shared" ref="AE217:AE231" si="27">AVERAGE(W217:AB217)</f>
        <v>0</v>
      </c>
      <c r="AF217" s="1" t="s">
        <v>35</v>
      </c>
      <c r="AG217" s="19">
        <f t="array" ref="AG217">DIASQUIEBRE(Q217:AB217)</f>
        <v>0</v>
      </c>
      <c r="AH217" s="19">
        <f t="array" ref="AH217">DiasMesesGris(Q217:AB217)</f>
        <v>360</v>
      </c>
      <c r="AI217" s="19">
        <f t="shared" si="23"/>
        <v>360</v>
      </c>
      <c r="AJ217" s="19">
        <f t="shared" si="24"/>
        <v>0</v>
      </c>
      <c r="AK217" s="20">
        <f t="shared" si="26"/>
        <v>0</v>
      </c>
      <c r="AL217" s="21">
        <f t="shared" si="25"/>
        <v>0</v>
      </c>
    </row>
    <row r="218" spans="1:38" x14ac:dyDescent="0.25">
      <c r="A218" s="11" t="s">
        <v>430</v>
      </c>
      <c r="B218" s="1" t="s">
        <v>429</v>
      </c>
      <c r="C218" s="1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C218" s="6">
        <v>0</v>
      </c>
      <c r="AE218" s="4">
        <f t="shared" si="27"/>
        <v>0</v>
      </c>
      <c r="AF218" s="1" t="s">
        <v>35</v>
      </c>
      <c r="AG218" s="19">
        <f t="array" ref="AG218">DIASQUIEBRE(Q218:AB218)</f>
        <v>0</v>
      </c>
      <c r="AH218" s="19">
        <f t="array" ref="AH218">DiasMesesGris(Q218:AB218)</f>
        <v>360</v>
      </c>
      <c r="AI218" s="19">
        <f t="shared" si="23"/>
        <v>360</v>
      </c>
      <c r="AJ218" s="19">
        <f t="shared" si="24"/>
        <v>0</v>
      </c>
      <c r="AK218" s="20">
        <f t="shared" si="26"/>
        <v>0</v>
      </c>
      <c r="AL218" s="21">
        <f t="shared" si="25"/>
        <v>0</v>
      </c>
    </row>
    <row r="219" spans="1:38" x14ac:dyDescent="0.25">
      <c r="A219" s="1" t="s">
        <v>432</v>
      </c>
      <c r="B219" s="1" t="s">
        <v>431</v>
      </c>
      <c r="C219" s="1" t="s">
        <v>282</v>
      </c>
      <c r="D219" s="8">
        <v>14</v>
      </c>
      <c r="E219" s="8">
        <v>8</v>
      </c>
      <c r="F219" s="8">
        <v>5</v>
      </c>
      <c r="G219" s="8">
        <v>25</v>
      </c>
      <c r="H219" s="3"/>
      <c r="I219" s="3"/>
      <c r="J219" s="8">
        <v>31</v>
      </c>
      <c r="K219" s="8">
        <v>40</v>
      </c>
      <c r="L219" s="8">
        <v>30</v>
      </c>
      <c r="M219" s="8">
        <v>45</v>
      </c>
      <c r="N219" s="8">
        <v>16</v>
      </c>
      <c r="O219" s="8">
        <v>79</v>
      </c>
      <c r="P219" s="3"/>
      <c r="Q219" s="4">
        <v>0.4516</v>
      </c>
      <c r="R219" s="4">
        <v>0.26669999999999999</v>
      </c>
      <c r="S219" s="4">
        <v>0.1613</v>
      </c>
      <c r="T219" s="9">
        <v>0.96150000000000002</v>
      </c>
      <c r="U219" s="5">
        <v>0</v>
      </c>
      <c r="V219" s="9">
        <v>0</v>
      </c>
      <c r="W219" s="4">
        <v>1.1071</v>
      </c>
      <c r="X219" s="4">
        <v>1.2903</v>
      </c>
      <c r="Y219" s="4">
        <v>1</v>
      </c>
      <c r="Z219" s="4">
        <v>1.4516</v>
      </c>
      <c r="AA219" s="4">
        <v>0.5333</v>
      </c>
      <c r="AB219" s="4">
        <v>2.5484</v>
      </c>
      <c r="AC219" s="10">
        <v>0</v>
      </c>
      <c r="AD219" s="4">
        <v>0.97889999999999999</v>
      </c>
      <c r="AE219" s="4">
        <f t="shared" si="27"/>
        <v>1.3217833333333333</v>
      </c>
      <c r="AF219" s="1" t="s">
        <v>35</v>
      </c>
      <c r="AG219" s="19">
        <f t="array" ref="AG219">DIASQUIEBRE(Q219:AB219)</f>
        <v>12</v>
      </c>
      <c r="AH219" s="19">
        <f t="array" ref="AH219">DiasMesesGris(Q219:AB219)</f>
        <v>30</v>
      </c>
      <c r="AI219" s="19">
        <f t="shared" si="23"/>
        <v>42</v>
      </c>
      <c r="AJ219" s="19">
        <f t="shared" si="24"/>
        <v>318</v>
      </c>
      <c r="AK219" s="20">
        <f t="shared" si="26"/>
        <v>293</v>
      </c>
      <c r="AL219" s="21">
        <f t="shared" si="25"/>
        <v>0.92138364779874216</v>
      </c>
    </row>
    <row r="220" spans="1:38" x14ac:dyDescent="0.25">
      <c r="A220" s="1" t="s">
        <v>434</v>
      </c>
      <c r="B220" s="1" t="s">
        <v>433</v>
      </c>
      <c r="C220" s="1" t="s">
        <v>285</v>
      </c>
      <c r="D220" s="8">
        <v>10</v>
      </c>
      <c r="E220" s="8">
        <v>6</v>
      </c>
      <c r="F220" s="8">
        <v>6</v>
      </c>
      <c r="G220" s="8">
        <v>25</v>
      </c>
      <c r="H220" s="8">
        <v>4</v>
      </c>
      <c r="I220" s="3"/>
      <c r="J220" s="8">
        <v>11</v>
      </c>
      <c r="K220" s="3"/>
      <c r="L220" s="8">
        <v>27</v>
      </c>
      <c r="M220" s="3"/>
      <c r="N220" s="8">
        <v>10</v>
      </c>
      <c r="O220" s="8">
        <v>12</v>
      </c>
      <c r="P220" s="3"/>
      <c r="Q220" s="4">
        <v>0.3226</v>
      </c>
      <c r="R220" s="4">
        <v>0.2</v>
      </c>
      <c r="S220" s="4">
        <v>0.19350000000000001</v>
      </c>
      <c r="T220" s="4">
        <v>0.83330000000000004</v>
      </c>
      <c r="U220" s="9">
        <v>1.3332999999999999</v>
      </c>
      <c r="V220" s="9">
        <v>0</v>
      </c>
      <c r="W220" s="4">
        <v>0.39290000000000003</v>
      </c>
      <c r="X220" s="4">
        <v>0</v>
      </c>
      <c r="Y220" s="4">
        <v>0.9</v>
      </c>
      <c r="Z220" s="4">
        <v>0</v>
      </c>
      <c r="AA220" s="4">
        <v>0.33329999999999999</v>
      </c>
      <c r="AB220" s="4">
        <v>0.3871</v>
      </c>
      <c r="AC220" s="10">
        <v>0</v>
      </c>
      <c r="AD220" s="4">
        <v>0.35630000000000001</v>
      </c>
      <c r="AE220" s="4">
        <f t="shared" si="27"/>
        <v>0.33555000000000001</v>
      </c>
      <c r="AF220" s="1" t="s">
        <v>35</v>
      </c>
      <c r="AG220" s="19">
        <f t="array" ref="AG220">DIASQUIEBRE(Q220:AB220)</f>
        <v>36</v>
      </c>
      <c r="AH220" s="19">
        <f t="array" ref="AH220">DiasMesesGris(Q220:AB220)</f>
        <v>0</v>
      </c>
      <c r="AI220" s="19">
        <f t="shared" si="23"/>
        <v>36</v>
      </c>
      <c r="AJ220" s="19">
        <f t="shared" si="24"/>
        <v>324</v>
      </c>
      <c r="AK220" s="20">
        <f t="shared" si="26"/>
        <v>111</v>
      </c>
      <c r="AL220" s="21">
        <f t="shared" si="25"/>
        <v>0.34259259259259262</v>
      </c>
    </row>
    <row r="221" spans="1:38" x14ac:dyDescent="0.25">
      <c r="A221" s="1" t="s">
        <v>436</v>
      </c>
      <c r="B221" s="1" t="s">
        <v>435</v>
      </c>
      <c r="C221" s="1" t="s">
        <v>273</v>
      </c>
      <c r="D221" s="8">
        <v>10</v>
      </c>
      <c r="E221" s="8">
        <v>56</v>
      </c>
      <c r="F221" s="8">
        <v>69</v>
      </c>
      <c r="G221" s="8">
        <v>72</v>
      </c>
      <c r="H221" s="8">
        <v>33</v>
      </c>
      <c r="I221" s="8">
        <v>68</v>
      </c>
      <c r="J221" s="8">
        <v>42</v>
      </c>
      <c r="K221" s="8">
        <v>41</v>
      </c>
      <c r="L221" s="8">
        <v>49</v>
      </c>
      <c r="M221" s="8">
        <v>16</v>
      </c>
      <c r="N221" s="8">
        <v>22</v>
      </c>
      <c r="O221" s="8">
        <v>18</v>
      </c>
      <c r="P221" s="3"/>
      <c r="Q221" s="4">
        <v>0.3226</v>
      </c>
      <c r="R221" s="4">
        <v>1.8667</v>
      </c>
      <c r="S221" s="4">
        <v>2.2258</v>
      </c>
      <c r="T221" s="4">
        <v>2.4</v>
      </c>
      <c r="U221" s="4">
        <v>1.0645</v>
      </c>
      <c r="V221" s="4">
        <v>2.1934999999999998</v>
      </c>
      <c r="W221" s="4">
        <v>1.5</v>
      </c>
      <c r="X221" s="4">
        <v>1.3226</v>
      </c>
      <c r="Y221" s="4">
        <v>1.6333</v>
      </c>
      <c r="Z221" s="4">
        <v>0.5161</v>
      </c>
      <c r="AA221" s="4">
        <v>0.73329999999999995</v>
      </c>
      <c r="AB221" s="4">
        <v>0.5806</v>
      </c>
      <c r="AC221" s="10">
        <v>0</v>
      </c>
      <c r="AD221" s="4">
        <v>1.3633</v>
      </c>
      <c r="AE221" s="4">
        <f t="shared" si="27"/>
        <v>1.04765</v>
      </c>
      <c r="AF221" s="1" t="s">
        <v>35</v>
      </c>
      <c r="AG221" s="19">
        <f t="array" ref="AG221">DIASQUIEBRE(Q221:AB221)</f>
        <v>0</v>
      </c>
      <c r="AH221" s="19">
        <f t="array" ref="AH221">DiasMesesGris(Q221:AB221)</f>
        <v>0</v>
      </c>
      <c r="AI221" s="19">
        <f t="shared" si="23"/>
        <v>0</v>
      </c>
      <c r="AJ221" s="19">
        <f t="shared" si="24"/>
        <v>360</v>
      </c>
      <c r="AK221" s="20">
        <f t="shared" si="26"/>
        <v>496</v>
      </c>
      <c r="AL221" s="21">
        <f t="shared" si="25"/>
        <v>1.3777777777777778</v>
      </c>
    </row>
    <row r="222" spans="1:38" x14ac:dyDescent="0.25">
      <c r="A222" s="1" t="s">
        <v>438</v>
      </c>
      <c r="B222" s="1" t="s">
        <v>437</v>
      </c>
      <c r="C222" s="1" t="s">
        <v>276</v>
      </c>
      <c r="D222" s="8">
        <v>1</v>
      </c>
      <c r="E222" s="8">
        <v>31</v>
      </c>
      <c r="F222" s="8">
        <v>93</v>
      </c>
      <c r="G222" s="8">
        <v>30</v>
      </c>
      <c r="H222" s="8">
        <v>18</v>
      </c>
      <c r="I222" s="8">
        <v>45</v>
      </c>
      <c r="J222" s="8">
        <v>15</v>
      </c>
      <c r="K222" s="8">
        <v>25</v>
      </c>
      <c r="L222" s="8">
        <v>2</v>
      </c>
      <c r="M222" s="3"/>
      <c r="N222" s="8">
        <v>20</v>
      </c>
      <c r="O222" s="8">
        <v>9</v>
      </c>
      <c r="P222" s="3"/>
      <c r="Q222" s="4">
        <v>3.2300000000000002E-2</v>
      </c>
      <c r="R222" s="4">
        <v>1.0333000000000001</v>
      </c>
      <c r="S222" s="4">
        <v>3</v>
      </c>
      <c r="T222" s="4">
        <v>1</v>
      </c>
      <c r="U222" s="4">
        <v>0.5806</v>
      </c>
      <c r="V222" s="4">
        <v>1.4516</v>
      </c>
      <c r="W222" s="4">
        <v>0.53569999999999995</v>
      </c>
      <c r="X222" s="4">
        <v>0.80649999999999999</v>
      </c>
      <c r="Y222" s="4">
        <v>6.6699999999999995E-2</v>
      </c>
      <c r="Z222" s="4">
        <v>0</v>
      </c>
      <c r="AA222" s="4">
        <v>0.66669999999999996</v>
      </c>
      <c r="AB222" s="4">
        <v>0.2903</v>
      </c>
      <c r="AC222" s="10">
        <v>0</v>
      </c>
      <c r="AD222" s="4">
        <v>0.78859999999999997</v>
      </c>
      <c r="AE222" s="4">
        <f t="shared" si="27"/>
        <v>0.39431666666666665</v>
      </c>
      <c r="AF222" s="1" t="s">
        <v>35</v>
      </c>
      <c r="AG222" s="19">
        <f t="array" ref="AG222">DIASQUIEBRE(Q222:AB222)</f>
        <v>0</v>
      </c>
      <c r="AH222" s="19">
        <f t="array" ref="AH222">DiasMesesGris(Q222:AB222)</f>
        <v>0</v>
      </c>
      <c r="AI222" s="19">
        <f t="shared" si="23"/>
        <v>0</v>
      </c>
      <c r="AJ222" s="19">
        <f t="shared" si="24"/>
        <v>360</v>
      </c>
      <c r="AK222" s="20">
        <f t="shared" si="26"/>
        <v>289</v>
      </c>
      <c r="AL222" s="21">
        <f t="shared" si="25"/>
        <v>0.80277777777777781</v>
      </c>
    </row>
    <row r="223" spans="1:38" x14ac:dyDescent="0.25">
      <c r="A223" s="1" t="s">
        <v>440</v>
      </c>
      <c r="B223" s="1" t="s">
        <v>439</v>
      </c>
      <c r="C223" s="1" t="s">
        <v>279</v>
      </c>
      <c r="D223" s="8">
        <v>20</v>
      </c>
      <c r="E223" s="8">
        <v>33</v>
      </c>
      <c r="F223" s="8">
        <v>32</v>
      </c>
      <c r="G223" s="8">
        <v>20</v>
      </c>
      <c r="H223" s="3"/>
      <c r="I223" s="8">
        <v>5</v>
      </c>
      <c r="J223" s="8">
        <v>11</v>
      </c>
      <c r="K223" s="8">
        <v>25</v>
      </c>
      <c r="L223" s="8">
        <v>8</v>
      </c>
      <c r="M223" s="8">
        <v>10</v>
      </c>
      <c r="N223" s="8">
        <v>8</v>
      </c>
      <c r="O223" s="8">
        <v>7</v>
      </c>
      <c r="P223" s="3"/>
      <c r="Q223" s="4">
        <v>0.6452</v>
      </c>
      <c r="R223" s="4">
        <v>1.1000000000000001</v>
      </c>
      <c r="S223" s="4">
        <v>1.0323</v>
      </c>
      <c r="T223" s="4">
        <v>0.66669999999999996</v>
      </c>
      <c r="U223" s="4">
        <v>0</v>
      </c>
      <c r="V223" s="4">
        <v>0.1613</v>
      </c>
      <c r="W223" s="4">
        <v>0.39290000000000003</v>
      </c>
      <c r="X223" s="4">
        <v>0.80649999999999999</v>
      </c>
      <c r="Y223" s="4">
        <v>0.26669999999999999</v>
      </c>
      <c r="Z223" s="4">
        <v>0.3226</v>
      </c>
      <c r="AA223" s="4">
        <v>0.26669999999999999</v>
      </c>
      <c r="AB223" s="4">
        <v>0.2258</v>
      </c>
      <c r="AC223" s="10">
        <v>0</v>
      </c>
      <c r="AD223" s="4">
        <v>0.49059999999999998</v>
      </c>
      <c r="AE223" s="4">
        <f t="shared" si="27"/>
        <v>0.38020000000000004</v>
      </c>
      <c r="AF223" s="1" t="s">
        <v>35</v>
      </c>
      <c r="AG223" s="19">
        <f t="array" ref="AG223">DIASQUIEBRE(Q223:AB223)</f>
        <v>0</v>
      </c>
      <c r="AH223" s="19">
        <f t="array" ref="AH223">DiasMesesGris(Q223:AB223)</f>
        <v>0</v>
      </c>
      <c r="AI223" s="19">
        <f t="shared" si="23"/>
        <v>0</v>
      </c>
      <c r="AJ223" s="19">
        <f t="shared" si="24"/>
        <v>360</v>
      </c>
      <c r="AK223" s="20">
        <f t="shared" si="26"/>
        <v>179</v>
      </c>
      <c r="AL223" s="21">
        <f t="shared" si="25"/>
        <v>0.49722222222222223</v>
      </c>
    </row>
    <row r="224" spans="1:38" x14ac:dyDescent="0.25">
      <c r="A224" s="1" t="s">
        <v>443</v>
      </c>
      <c r="B224" s="1" t="s">
        <v>442</v>
      </c>
      <c r="C224" s="1" t="s">
        <v>441</v>
      </c>
      <c r="D224" s="8">
        <v>4</v>
      </c>
      <c r="E224" s="8">
        <v>23</v>
      </c>
      <c r="F224" s="8">
        <v>34</v>
      </c>
      <c r="G224" s="8">
        <v>35</v>
      </c>
      <c r="H224" s="8">
        <v>173</v>
      </c>
      <c r="I224" s="8">
        <v>26</v>
      </c>
      <c r="J224" s="8">
        <v>30</v>
      </c>
      <c r="K224" s="8">
        <v>32</v>
      </c>
      <c r="L224" s="8">
        <v>142</v>
      </c>
      <c r="M224" s="8">
        <v>-4</v>
      </c>
      <c r="N224" s="8">
        <v>97</v>
      </c>
      <c r="O224" s="8">
        <v>82</v>
      </c>
      <c r="P224" s="3"/>
      <c r="Q224" s="4">
        <v>0.129</v>
      </c>
      <c r="R224" s="4">
        <v>0.76670000000000005</v>
      </c>
      <c r="S224" s="4">
        <v>1.0968</v>
      </c>
      <c r="T224" s="4">
        <v>1.1667000000000001</v>
      </c>
      <c r="U224" s="4">
        <v>5.5805999999999996</v>
      </c>
      <c r="V224" s="4">
        <v>0.8387</v>
      </c>
      <c r="W224" s="4">
        <v>1.0713999999999999</v>
      </c>
      <c r="X224" s="4">
        <v>1.0323</v>
      </c>
      <c r="Y224" s="4">
        <v>4.7332999999999998</v>
      </c>
      <c r="Z224" s="4">
        <v>-0.129</v>
      </c>
      <c r="AA224" s="4">
        <v>3.2332999999999998</v>
      </c>
      <c r="AB224" s="9">
        <v>5.125</v>
      </c>
      <c r="AC224" s="6">
        <v>0</v>
      </c>
      <c r="AD224" s="4">
        <v>1.7745</v>
      </c>
      <c r="AE224" s="4">
        <f t="shared" si="27"/>
        <v>2.51105</v>
      </c>
      <c r="AF224" s="1" t="s">
        <v>35</v>
      </c>
      <c r="AG224" s="19">
        <f t="array" ref="AG224">DIASQUIEBRE(Q224:AB224)</f>
        <v>15</v>
      </c>
      <c r="AH224" s="19">
        <f t="array" ref="AH224">DiasMesesGris(Q224:AB224)</f>
        <v>0</v>
      </c>
      <c r="AI224" s="19">
        <f t="shared" si="23"/>
        <v>15</v>
      </c>
      <c r="AJ224" s="19">
        <f t="shared" si="24"/>
        <v>345</v>
      </c>
      <c r="AK224" s="20">
        <f t="shared" si="26"/>
        <v>674</v>
      </c>
      <c r="AL224" s="21">
        <f t="shared" si="25"/>
        <v>1.9536231884057971</v>
      </c>
    </row>
    <row r="225" spans="1:38" x14ac:dyDescent="0.25">
      <c r="A225" s="1" t="s">
        <v>446</v>
      </c>
      <c r="B225" s="1" t="s">
        <v>445</v>
      </c>
      <c r="C225" s="1" t="s">
        <v>444</v>
      </c>
      <c r="D225" s="3"/>
      <c r="E225" s="8">
        <v>53</v>
      </c>
      <c r="F225" s="8">
        <v>16</v>
      </c>
      <c r="G225" s="8">
        <v>24</v>
      </c>
      <c r="H225" s="8">
        <v>83</v>
      </c>
      <c r="I225" s="8">
        <v>42</v>
      </c>
      <c r="J225" s="8">
        <v>41</v>
      </c>
      <c r="K225" s="8">
        <v>59</v>
      </c>
      <c r="L225" s="8">
        <v>104</v>
      </c>
      <c r="M225" s="8">
        <v>5</v>
      </c>
      <c r="N225" s="8">
        <v>33</v>
      </c>
      <c r="O225" s="8">
        <v>10</v>
      </c>
      <c r="P225" s="3"/>
      <c r="Q225" s="5">
        <v>0</v>
      </c>
      <c r="R225" s="9">
        <v>1.8929</v>
      </c>
      <c r="S225" s="4">
        <v>0.5161</v>
      </c>
      <c r="T225" s="4">
        <v>0.8</v>
      </c>
      <c r="U225" s="4">
        <v>2.6774</v>
      </c>
      <c r="V225" s="4">
        <v>1.3548</v>
      </c>
      <c r="W225" s="4">
        <v>1.4642999999999999</v>
      </c>
      <c r="X225" s="4">
        <v>1.9032</v>
      </c>
      <c r="Y225" s="4">
        <v>3.4666999999999999</v>
      </c>
      <c r="Z225" s="4">
        <v>0.1613</v>
      </c>
      <c r="AA225" s="4">
        <v>1.1000000000000001</v>
      </c>
      <c r="AB225" s="9">
        <v>1.6667000000000001</v>
      </c>
      <c r="AC225" s="6">
        <v>0</v>
      </c>
      <c r="AD225" s="4">
        <v>1.4938</v>
      </c>
      <c r="AE225" s="4">
        <f t="shared" si="27"/>
        <v>1.6270333333333333</v>
      </c>
      <c r="AF225" s="1" t="s">
        <v>32</v>
      </c>
      <c r="AG225" s="19">
        <f t="array" ref="AG225">DIASQUIEBRE(Q225:AB225)</f>
        <v>27</v>
      </c>
      <c r="AH225" s="19">
        <f t="array" ref="AH225">DiasMesesGris(Q225:AB225)</f>
        <v>30</v>
      </c>
      <c r="AI225" s="19">
        <f t="shared" si="23"/>
        <v>57</v>
      </c>
      <c r="AJ225" s="19">
        <f t="shared" si="24"/>
        <v>303</v>
      </c>
      <c r="AK225" s="20">
        <f t="shared" si="26"/>
        <v>470</v>
      </c>
      <c r="AL225" s="21">
        <f t="shared" si="25"/>
        <v>1.5511551155115511</v>
      </c>
    </row>
    <row r="226" spans="1:38" x14ac:dyDescent="0.25">
      <c r="A226" s="1" t="s">
        <v>448</v>
      </c>
      <c r="B226" s="1" t="s">
        <v>447</v>
      </c>
      <c r="C226" s="1" t="s">
        <v>318</v>
      </c>
      <c r="D226" s="8">
        <v>64</v>
      </c>
      <c r="E226" s="8">
        <v>80</v>
      </c>
      <c r="F226" s="8">
        <v>23</v>
      </c>
      <c r="G226" s="8">
        <v>4</v>
      </c>
      <c r="H226" s="8">
        <v>41</v>
      </c>
      <c r="I226" s="8">
        <v>92</v>
      </c>
      <c r="J226" s="8">
        <v>73</v>
      </c>
      <c r="K226" s="8">
        <v>72</v>
      </c>
      <c r="L226" s="8">
        <v>64</v>
      </c>
      <c r="M226" s="8">
        <v>38</v>
      </c>
      <c r="N226" s="8">
        <v>83</v>
      </c>
      <c r="O226" s="8">
        <v>59</v>
      </c>
      <c r="P226" s="3"/>
      <c r="Q226" s="4">
        <v>2.0644999999999998</v>
      </c>
      <c r="R226" s="4">
        <v>2.6667000000000001</v>
      </c>
      <c r="S226" s="4">
        <v>0.7419</v>
      </c>
      <c r="T226" s="9">
        <v>1.3332999999999999</v>
      </c>
      <c r="U226" s="9">
        <v>1.4642999999999999</v>
      </c>
      <c r="V226" s="4">
        <v>2.9676999999999998</v>
      </c>
      <c r="W226" s="4">
        <v>2.6071</v>
      </c>
      <c r="X226" s="4">
        <v>2.3226</v>
      </c>
      <c r="Y226" s="4">
        <v>2.1333000000000002</v>
      </c>
      <c r="Z226" s="4">
        <v>1.2258</v>
      </c>
      <c r="AA226" s="4">
        <v>2.7667000000000002</v>
      </c>
      <c r="AB226" s="4">
        <v>1.9032</v>
      </c>
      <c r="AC226" s="10">
        <v>0</v>
      </c>
      <c r="AD226" s="4">
        <v>2.14</v>
      </c>
      <c r="AE226" s="4">
        <f t="shared" si="27"/>
        <v>2.1597833333333334</v>
      </c>
      <c r="AF226" s="1" t="s">
        <v>35</v>
      </c>
      <c r="AG226" s="19">
        <f t="array" ref="AG226">DIASQUIEBRE(Q226:AB226)</f>
        <v>30</v>
      </c>
      <c r="AH226" s="19">
        <f t="array" ref="AH226">DiasMesesGris(Q226:AB226)</f>
        <v>0</v>
      </c>
      <c r="AI226" s="19">
        <f t="shared" si="23"/>
        <v>30</v>
      </c>
      <c r="AJ226" s="19">
        <f t="shared" si="24"/>
        <v>330</v>
      </c>
      <c r="AK226" s="20">
        <f t="shared" si="26"/>
        <v>693</v>
      </c>
      <c r="AL226" s="21">
        <f t="shared" si="25"/>
        <v>2.1</v>
      </c>
    </row>
    <row r="227" spans="1:38" x14ac:dyDescent="0.25">
      <c r="A227" s="1" t="s">
        <v>451</v>
      </c>
      <c r="B227" s="1" t="s">
        <v>450</v>
      </c>
      <c r="C227" s="1" t="s">
        <v>449</v>
      </c>
      <c r="D227" s="8">
        <v>15</v>
      </c>
      <c r="E227" s="8">
        <v>59</v>
      </c>
      <c r="F227" s="8">
        <v>19</v>
      </c>
      <c r="G227" s="8">
        <v>19</v>
      </c>
      <c r="H227" s="8">
        <v>45</v>
      </c>
      <c r="I227" s="8">
        <v>56</v>
      </c>
      <c r="J227" s="8">
        <v>39</v>
      </c>
      <c r="K227" s="8">
        <v>48</v>
      </c>
      <c r="L227" s="8">
        <v>26</v>
      </c>
      <c r="M227" s="8">
        <v>24</v>
      </c>
      <c r="N227" s="8">
        <v>61</v>
      </c>
      <c r="O227" s="8">
        <v>86</v>
      </c>
      <c r="P227" s="3"/>
      <c r="Q227" s="4">
        <v>0.4839</v>
      </c>
      <c r="R227" s="4">
        <v>1.9666999999999999</v>
      </c>
      <c r="S227" s="4">
        <v>0.6129</v>
      </c>
      <c r="T227" s="4">
        <v>0.63329999999999997</v>
      </c>
      <c r="U227" s="4">
        <v>1.4516</v>
      </c>
      <c r="V227" s="4">
        <v>1.8065</v>
      </c>
      <c r="W227" s="4">
        <v>1.3929</v>
      </c>
      <c r="X227" s="4">
        <v>1.5484</v>
      </c>
      <c r="Y227" s="4">
        <v>0.86670000000000003</v>
      </c>
      <c r="Z227" s="4">
        <v>0.7742</v>
      </c>
      <c r="AA227" s="4">
        <v>2.0333000000000001</v>
      </c>
      <c r="AB227" s="9">
        <v>4.0952000000000002</v>
      </c>
      <c r="AC227" s="6">
        <v>0</v>
      </c>
      <c r="AD227" s="4">
        <v>1.2337</v>
      </c>
      <c r="AE227" s="4">
        <f t="shared" si="27"/>
        <v>1.7851166666666669</v>
      </c>
      <c r="AF227" s="1" t="s">
        <v>35</v>
      </c>
      <c r="AG227" s="19">
        <f t="array" ref="AG227">DIASQUIEBRE(Q227:AB227)</f>
        <v>10</v>
      </c>
      <c r="AH227" s="19">
        <f t="array" ref="AH227">DiasMesesGris(Q227:AB227)</f>
        <v>0</v>
      </c>
      <c r="AI227" s="19">
        <f t="shared" si="23"/>
        <v>10</v>
      </c>
      <c r="AJ227" s="19">
        <f t="shared" si="24"/>
        <v>350</v>
      </c>
      <c r="AK227" s="20">
        <f t="shared" si="26"/>
        <v>497</v>
      </c>
      <c r="AL227" s="21">
        <f t="shared" si="25"/>
        <v>1.42</v>
      </c>
    </row>
    <row r="228" spans="1:38" x14ac:dyDescent="0.25">
      <c r="A228" s="1" t="s">
        <v>453</v>
      </c>
      <c r="B228" s="1" t="s">
        <v>452</v>
      </c>
      <c r="C228" s="1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0</v>
      </c>
      <c r="AA228" s="5">
        <v>0</v>
      </c>
      <c r="AB228" s="5">
        <v>0</v>
      </c>
      <c r="AC228" s="6">
        <v>0</v>
      </c>
      <c r="AE228" s="4">
        <f t="shared" si="27"/>
        <v>0</v>
      </c>
      <c r="AF228" s="1" t="s">
        <v>35</v>
      </c>
      <c r="AG228" s="19">
        <f t="array" ref="AG228">DIASQUIEBRE(Q228:AB228)</f>
        <v>0</v>
      </c>
      <c r="AH228" s="19">
        <f t="array" ref="AH228">DiasMesesGris(Q228:AB228)</f>
        <v>360</v>
      </c>
      <c r="AI228" s="19">
        <f t="shared" si="23"/>
        <v>360</v>
      </c>
      <c r="AJ228" s="19">
        <f t="shared" si="24"/>
        <v>0</v>
      </c>
      <c r="AK228" s="20">
        <f t="shared" si="26"/>
        <v>0</v>
      </c>
      <c r="AL228" s="21">
        <f t="shared" si="25"/>
        <v>0</v>
      </c>
    </row>
    <row r="229" spans="1:38" x14ac:dyDescent="0.25">
      <c r="A229" s="1" t="s">
        <v>455</v>
      </c>
      <c r="B229" s="1" t="s">
        <v>454</v>
      </c>
      <c r="C229" s="1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6">
        <v>0</v>
      </c>
      <c r="AE229" s="4">
        <f t="shared" si="27"/>
        <v>0</v>
      </c>
      <c r="AF229" s="1" t="s">
        <v>35</v>
      </c>
      <c r="AG229" s="19">
        <f t="array" ref="AG229">DIASQUIEBRE(Q229:AB229)</f>
        <v>0</v>
      </c>
      <c r="AH229" s="19">
        <f t="array" ref="AH229">DiasMesesGris(Q229:AB229)</f>
        <v>360</v>
      </c>
      <c r="AI229" s="19">
        <f t="shared" si="23"/>
        <v>360</v>
      </c>
      <c r="AJ229" s="19">
        <f t="shared" si="24"/>
        <v>0</v>
      </c>
      <c r="AK229" s="20">
        <f t="shared" si="26"/>
        <v>0</v>
      </c>
      <c r="AL229" s="21">
        <f t="shared" si="25"/>
        <v>0</v>
      </c>
    </row>
    <row r="230" spans="1:38" x14ac:dyDescent="0.25">
      <c r="A230" s="1" t="s">
        <v>457</v>
      </c>
      <c r="B230" s="1" t="s">
        <v>456</v>
      </c>
      <c r="C230" s="1" t="s">
        <v>318</v>
      </c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6">
        <v>0</v>
      </c>
      <c r="AE230" s="4">
        <f t="shared" si="27"/>
        <v>0</v>
      </c>
      <c r="AF230" s="1" t="s">
        <v>35</v>
      </c>
      <c r="AG230" s="19">
        <f t="array" ref="AG230">DIASQUIEBRE(Q230:AB230)</f>
        <v>0</v>
      </c>
      <c r="AH230" s="19">
        <f t="array" ref="AH230">DiasMesesGris(Q230:AB230)</f>
        <v>360</v>
      </c>
      <c r="AI230" s="19">
        <f t="shared" si="23"/>
        <v>360</v>
      </c>
      <c r="AJ230" s="19">
        <f t="shared" si="24"/>
        <v>0</v>
      </c>
      <c r="AK230" s="20">
        <f t="shared" si="26"/>
        <v>0</v>
      </c>
      <c r="AL230" s="21">
        <f t="shared" si="25"/>
        <v>0</v>
      </c>
    </row>
    <row r="231" spans="1:38" x14ac:dyDescent="0.25">
      <c r="A231" s="1" t="s">
        <v>459</v>
      </c>
      <c r="B231" s="1" t="s">
        <v>458</v>
      </c>
      <c r="C231" s="1"/>
      <c r="D231" s="3"/>
      <c r="E231" s="3"/>
      <c r="F231" s="3"/>
      <c r="G231" s="3"/>
      <c r="H231" s="8">
        <v>17</v>
      </c>
      <c r="I231" s="8">
        <v>18</v>
      </c>
      <c r="J231" s="8">
        <v>10</v>
      </c>
      <c r="K231" s="8">
        <v>2</v>
      </c>
      <c r="L231" s="8">
        <v>16</v>
      </c>
      <c r="M231" s="8">
        <v>10</v>
      </c>
      <c r="N231" s="8">
        <v>23</v>
      </c>
      <c r="O231" s="8">
        <v>12</v>
      </c>
      <c r="P231" s="3"/>
      <c r="Q231" s="5">
        <v>0</v>
      </c>
      <c r="R231" s="5">
        <v>0</v>
      </c>
      <c r="S231" s="5">
        <v>0</v>
      </c>
      <c r="T231" s="5">
        <v>0</v>
      </c>
      <c r="U231" s="9">
        <v>0.60709999999999997</v>
      </c>
      <c r="V231" s="4">
        <v>0.5806</v>
      </c>
      <c r="W231" s="4">
        <v>0.35709999999999997</v>
      </c>
      <c r="X231" s="4">
        <v>6.4500000000000002E-2</v>
      </c>
      <c r="Y231" s="4">
        <v>0.5333</v>
      </c>
      <c r="Z231" s="4">
        <v>0.3226</v>
      </c>
      <c r="AA231" s="4">
        <v>0.76670000000000005</v>
      </c>
      <c r="AB231" s="9">
        <v>0.92310000000000003</v>
      </c>
      <c r="AC231" s="6">
        <v>0</v>
      </c>
      <c r="AD231" s="4">
        <v>0.4375</v>
      </c>
      <c r="AE231" s="4">
        <f t="shared" si="27"/>
        <v>0.49454999999999999</v>
      </c>
      <c r="AF231" s="1" t="s">
        <v>32</v>
      </c>
      <c r="AG231" s="19">
        <f t="array" ref="AG231">DIASQUIEBRE(Q231:AB231)</f>
        <v>21</v>
      </c>
      <c r="AH231" s="19">
        <f t="array" ref="AH231">DiasMesesGris(Q231:AB231)</f>
        <v>120</v>
      </c>
      <c r="AI231" s="19">
        <f t="shared" si="23"/>
        <v>141</v>
      </c>
      <c r="AJ231" s="19">
        <f t="shared" si="24"/>
        <v>219</v>
      </c>
      <c r="AK231" s="20">
        <f t="shared" si="26"/>
        <v>108</v>
      </c>
      <c r="AL231" s="21">
        <f t="shared" si="25"/>
        <v>0.49315068493150682</v>
      </c>
    </row>
    <row r="232" spans="1:38" x14ac:dyDescent="0.25">
      <c r="A232" s="1" t="s">
        <v>461</v>
      </c>
      <c r="B232" s="1" t="s">
        <v>460</v>
      </c>
      <c r="C232" s="1"/>
      <c r="D232" s="3"/>
      <c r="E232" s="3"/>
      <c r="F232" s="3"/>
      <c r="G232" s="3"/>
      <c r="H232" s="8">
        <v>10</v>
      </c>
      <c r="I232" s="8">
        <v>22</v>
      </c>
      <c r="J232" s="8">
        <v>11</v>
      </c>
      <c r="K232" s="3"/>
      <c r="L232" s="3"/>
      <c r="M232" s="8">
        <v>45</v>
      </c>
      <c r="N232" s="3"/>
      <c r="O232" s="3"/>
      <c r="P232" s="3"/>
      <c r="Q232" s="5">
        <v>0</v>
      </c>
      <c r="R232" s="5">
        <v>0</v>
      </c>
      <c r="S232" s="5">
        <v>0</v>
      </c>
      <c r="T232" s="5">
        <v>0</v>
      </c>
      <c r="U232" s="9">
        <v>0.35709999999999997</v>
      </c>
      <c r="V232" s="4">
        <v>0.7097</v>
      </c>
      <c r="W232" s="9">
        <v>0.91669999999999996</v>
      </c>
      <c r="X232" s="5">
        <v>0</v>
      </c>
      <c r="Y232" s="9">
        <v>0</v>
      </c>
      <c r="Z232" s="9">
        <v>3.4615</v>
      </c>
      <c r="AA232" s="5">
        <v>0</v>
      </c>
      <c r="AB232" s="5">
        <v>0</v>
      </c>
      <c r="AC232" s="6">
        <v>0</v>
      </c>
      <c r="AD232" s="4">
        <v>0.7097</v>
      </c>
      <c r="AE232" s="4">
        <v>1.05</v>
      </c>
      <c r="AF232" s="1" t="s">
        <v>35</v>
      </c>
      <c r="AG232" s="19">
        <f t="array" ref="AG232">DIASQUIEBRE(Q232:AB232)</f>
        <v>66</v>
      </c>
      <c r="AH232" s="19">
        <f t="array" ref="AH232">DiasMesesGris(Q232:AB232)</f>
        <v>210</v>
      </c>
      <c r="AI232" s="19">
        <f t="shared" si="23"/>
        <v>276</v>
      </c>
      <c r="AJ232" s="19">
        <f t="shared" si="24"/>
        <v>84</v>
      </c>
      <c r="AK232" s="20">
        <f t="shared" si="26"/>
        <v>88</v>
      </c>
      <c r="AL232" s="21">
        <f t="shared" si="25"/>
        <v>1.0476190476190477</v>
      </c>
    </row>
    <row r="233" spans="1:38" x14ac:dyDescent="0.25">
      <c r="A233" s="1" t="s">
        <v>463</v>
      </c>
      <c r="B233" s="1" t="s">
        <v>462</v>
      </c>
      <c r="C233" s="1"/>
      <c r="D233" s="3"/>
      <c r="E233" s="3"/>
      <c r="F233" s="3"/>
      <c r="G233" s="3"/>
      <c r="H233" s="3"/>
      <c r="I233" s="8">
        <v>19</v>
      </c>
      <c r="J233" s="8">
        <v>21</v>
      </c>
      <c r="K233" s="8">
        <v>18</v>
      </c>
      <c r="L233" s="8">
        <v>38</v>
      </c>
      <c r="M233" s="3"/>
      <c r="N233" s="3"/>
      <c r="O233" s="3"/>
      <c r="P233" s="3"/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9">
        <v>0.82609999999999995</v>
      </c>
      <c r="W233" s="4">
        <v>0.75</v>
      </c>
      <c r="X233" s="4">
        <v>0.5806</v>
      </c>
      <c r="Y233" s="9">
        <v>1.7273000000000001</v>
      </c>
      <c r="Z233" s="5">
        <v>0</v>
      </c>
      <c r="AA233" s="5">
        <v>0</v>
      </c>
      <c r="AB233" s="5">
        <v>0</v>
      </c>
      <c r="AC233" s="6">
        <v>0</v>
      </c>
      <c r="AD233" s="4">
        <v>0.6653</v>
      </c>
      <c r="AE233" s="4">
        <v>0.92</v>
      </c>
      <c r="AF233" s="1" t="s">
        <v>35</v>
      </c>
      <c r="AG233" s="19">
        <f t="array" ref="AG233">DIASQUIEBRE(Q233:AB233)</f>
        <v>16</v>
      </c>
      <c r="AH233" s="19">
        <f t="array" ref="AH233">DiasMesesGris(Q233:AB233)</f>
        <v>240</v>
      </c>
      <c r="AI233" s="19">
        <f t="shared" si="23"/>
        <v>256</v>
      </c>
      <c r="AJ233" s="19">
        <f t="shared" si="24"/>
        <v>104</v>
      </c>
      <c r="AK233" s="20">
        <f t="shared" si="26"/>
        <v>96</v>
      </c>
      <c r="AL233" s="21">
        <f t="shared" si="25"/>
        <v>0.92307692307692313</v>
      </c>
    </row>
    <row r="234" spans="1:38" x14ac:dyDescent="0.25">
      <c r="A234" s="1" t="s">
        <v>465</v>
      </c>
      <c r="B234" s="1" t="s">
        <v>464</v>
      </c>
      <c r="C234" s="1"/>
      <c r="D234" s="3"/>
      <c r="E234" s="3"/>
      <c r="F234" s="3"/>
      <c r="G234" s="3"/>
      <c r="H234" s="3"/>
      <c r="I234" s="3"/>
      <c r="J234" s="3"/>
      <c r="K234" s="8">
        <v>20</v>
      </c>
      <c r="L234" s="8">
        <v>45</v>
      </c>
      <c r="M234" s="8">
        <v>4</v>
      </c>
      <c r="N234" s="8">
        <v>1</v>
      </c>
      <c r="O234" s="3"/>
      <c r="P234" s="3"/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9">
        <v>0.90910000000000002</v>
      </c>
      <c r="Y234" s="4">
        <v>1.5</v>
      </c>
      <c r="Z234" s="9">
        <v>0.23530000000000001</v>
      </c>
      <c r="AA234" s="5">
        <v>0</v>
      </c>
      <c r="AB234" s="5">
        <v>0</v>
      </c>
      <c r="AC234" s="6">
        <v>0</v>
      </c>
      <c r="AD234" s="4">
        <v>1.5</v>
      </c>
      <c r="AE234" s="4">
        <v>1.04</v>
      </c>
      <c r="AF234" s="1" t="s">
        <v>35</v>
      </c>
      <c r="AG234" s="19">
        <f t="array" ref="AG234">DIASQUIEBRE(Q234:AB234)</f>
        <v>23</v>
      </c>
      <c r="AH234" s="19">
        <f t="array" ref="AH234">DiasMesesGris(Q234:AB234)</f>
        <v>270</v>
      </c>
      <c r="AI234" s="19">
        <f t="shared" si="23"/>
        <v>293</v>
      </c>
      <c r="AJ234" s="19">
        <f t="shared" si="24"/>
        <v>67</v>
      </c>
      <c r="AK234" s="20">
        <f t="shared" si="26"/>
        <v>70</v>
      </c>
      <c r="AL234" s="21">
        <f t="shared" si="25"/>
        <v>1.044776119402985</v>
      </c>
    </row>
    <row r="235" spans="1:38" x14ac:dyDescent="0.25">
      <c r="A235" s="1" t="s">
        <v>467</v>
      </c>
      <c r="B235" s="1" t="s">
        <v>466</v>
      </c>
      <c r="C235" s="1"/>
      <c r="D235" s="3"/>
      <c r="E235" s="3"/>
      <c r="F235" s="3"/>
      <c r="G235" s="3"/>
      <c r="H235" s="3"/>
      <c r="I235" s="3"/>
      <c r="J235" s="3"/>
      <c r="K235" s="3"/>
      <c r="L235" s="3"/>
      <c r="M235" s="8">
        <v>2</v>
      </c>
      <c r="N235" s="8">
        <v>41</v>
      </c>
      <c r="O235" s="8">
        <v>43</v>
      </c>
      <c r="P235" s="3"/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9">
        <v>0</v>
      </c>
      <c r="Z235" s="4">
        <v>6.4500000000000002E-2</v>
      </c>
      <c r="AA235" s="4">
        <v>1.3667</v>
      </c>
      <c r="AB235" s="9">
        <v>2.0476000000000001</v>
      </c>
      <c r="AC235" s="6">
        <v>0</v>
      </c>
      <c r="AD235" s="4">
        <v>0.71560000000000001</v>
      </c>
      <c r="AE235" s="4">
        <v>1.06</v>
      </c>
      <c r="AF235" s="1" t="s">
        <v>35</v>
      </c>
      <c r="AG235" s="19">
        <f t="array" ref="AG235">DIASQUIEBRE(Q235:AB235)</f>
        <v>39</v>
      </c>
      <c r="AH235" s="19">
        <f t="array" ref="AH235">DiasMesesGris(Q235:AB235)</f>
        <v>240</v>
      </c>
      <c r="AI235" s="19">
        <f t="shared" si="23"/>
        <v>279</v>
      </c>
      <c r="AJ235" s="19">
        <f t="shared" si="24"/>
        <v>81</v>
      </c>
      <c r="AK235" s="20">
        <f t="shared" si="26"/>
        <v>86</v>
      </c>
      <c r="AL235" s="21">
        <f t="shared" si="25"/>
        <v>1.0617283950617284</v>
      </c>
    </row>
    <row r="236" spans="1:38" x14ac:dyDescent="0.25">
      <c r="A236" s="1" t="s">
        <v>469</v>
      </c>
      <c r="B236" s="1" t="s">
        <v>468</v>
      </c>
      <c r="C236" s="1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6">
        <v>0</v>
      </c>
      <c r="AE236" s="4">
        <f t="shared" ref="AE236:AE254" si="28">AVERAGE(W236:AB236)</f>
        <v>0</v>
      </c>
      <c r="AF236" s="1" t="s">
        <v>35</v>
      </c>
      <c r="AG236" s="19">
        <f t="array" ref="AG236">DIASQUIEBRE(Q236:AB236)</f>
        <v>0</v>
      </c>
      <c r="AH236" s="19">
        <f t="array" ref="AH236">DiasMesesGris(Q236:AB236)</f>
        <v>360</v>
      </c>
      <c r="AI236" s="19">
        <f t="shared" si="23"/>
        <v>360</v>
      </c>
      <c r="AJ236" s="19">
        <f t="shared" si="24"/>
        <v>0</v>
      </c>
      <c r="AK236" s="20">
        <f t="shared" si="26"/>
        <v>0</v>
      </c>
      <c r="AL236" s="21">
        <f t="shared" si="25"/>
        <v>0</v>
      </c>
    </row>
    <row r="237" spans="1:38" x14ac:dyDescent="0.25">
      <c r="A237" s="1" t="s">
        <v>471</v>
      </c>
      <c r="B237" s="1" t="s">
        <v>470</v>
      </c>
      <c r="C237" s="1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Z237" s="5">
        <v>0</v>
      </c>
      <c r="AA237" s="5">
        <v>0</v>
      </c>
      <c r="AB237" s="5">
        <v>0</v>
      </c>
      <c r="AC237" s="6">
        <v>0</v>
      </c>
      <c r="AE237" s="4">
        <f t="shared" si="28"/>
        <v>0</v>
      </c>
      <c r="AF237" s="1" t="s">
        <v>35</v>
      </c>
      <c r="AG237" s="19">
        <f t="array" ref="AG237">DIASQUIEBRE(Q237:AB237)</f>
        <v>0</v>
      </c>
      <c r="AH237" s="19">
        <f t="array" ref="AH237">DiasMesesGris(Q237:AB237)</f>
        <v>360</v>
      </c>
      <c r="AI237" s="19">
        <f t="shared" si="23"/>
        <v>360</v>
      </c>
      <c r="AJ237" s="19">
        <f t="shared" si="24"/>
        <v>0</v>
      </c>
      <c r="AK237" s="20">
        <f t="shared" si="26"/>
        <v>0</v>
      </c>
      <c r="AL237" s="21">
        <f t="shared" si="25"/>
        <v>0</v>
      </c>
    </row>
    <row r="238" spans="1:38" x14ac:dyDescent="0.25">
      <c r="A238" s="1" t="s">
        <v>473</v>
      </c>
      <c r="B238" s="1" t="s">
        <v>472</v>
      </c>
      <c r="C238" s="1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6">
        <v>0</v>
      </c>
      <c r="AE238" s="4">
        <f t="shared" si="28"/>
        <v>0</v>
      </c>
      <c r="AF238" s="1" t="s">
        <v>35</v>
      </c>
      <c r="AG238" s="19">
        <f t="array" ref="AG238">DIASQUIEBRE(Q238:AB238)</f>
        <v>0</v>
      </c>
      <c r="AH238" s="19">
        <f t="array" ref="AH238">DiasMesesGris(Q238:AB238)</f>
        <v>360</v>
      </c>
      <c r="AI238" s="19">
        <f t="shared" si="23"/>
        <v>360</v>
      </c>
      <c r="AJ238" s="19">
        <f t="shared" si="24"/>
        <v>0</v>
      </c>
      <c r="AK238" s="20">
        <f t="shared" si="26"/>
        <v>0</v>
      </c>
      <c r="AL238" s="21">
        <f t="shared" si="25"/>
        <v>0</v>
      </c>
    </row>
    <row r="239" spans="1:38" x14ac:dyDescent="0.25">
      <c r="A239" s="1" t="s">
        <v>475</v>
      </c>
      <c r="B239" s="1" t="s">
        <v>474</v>
      </c>
      <c r="C239" s="1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6">
        <v>0</v>
      </c>
      <c r="AE239" s="4">
        <f t="shared" si="28"/>
        <v>0</v>
      </c>
      <c r="AF239" s="1" t="s">
        <v>35</v>
      </c>
      <c r="AG239" s="19">
        <f t="array" ref="AG239">DIASQUIEBRE(Q239:AB239)</f>
        <v>0</v>
      </c>
      <c r="AH239" s="19">
        <f t="array" ref="AH239">DiasMesesGris(Q239:AB239)</f>
        <v>360</v>
      </c>
      <c r="AI239" s="19">
        <f t="shared" si="23"/>
        <v>360</v>
      </c>
      <c r="AJ239" s="19">
        <f t="shared" si="24"/>
        <v>0</v>
      </c>
      <c r="AK239" s="20">
        <f t="shared" si="26"/>
        <v>0</v>
      </c>
      <c r="AL239" s="21">
        <f t="shared" si="25"/>
        <v>0</v>
      </c>
    </row>
    <row r="240" spans="1:38" x14ac:dyDescent="0.25">
      <c r="A240" s="1" t="s">
        <v>477</v>
      </c>
      <c r="B240" s="1" t="s">
        <v>476</v>
      </c>
      <c r="C240" s="1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Z240" s="5">
        <v>0</v>
      </c>
      <c r="AA240" s="5">
        <v>0</v>
      </c>
      <c r="AB240" s="5">
        <v>0</v>
      </c>
      <c r="AC240" s="6">
        <v>0</v>
      </c>
      <c r="AE240" s="4">
        <f t="shared" si="28"/>
        <v>0</v>
      </c>
      <c r="AF240" s="1" t="s">
        <v>35</v>
      </c>
      <c r="AG240" s="19">
        <f t="array" ref="AG240">DIASQUIEBRE(Q240:AB240)</f>
        <v>0</v>
      </c>
      <c r="AH240" s="19">
        <f t="array" ref="AH240">DiasMesesGris(Q240:AB240)</f>
        <v>360</v>
      </c>
      <c r="AI240" s="19">
        <f t="shared" si="23"/>
        <v>360</v>
      </c>
      <c r="AJ240" s="19">
        <f t="shared" si="24"/>
        <v>0</v>
      </c>
      <c r="AK240" s="20">
        <f t="shared" si="26"/>
        <v>0</v>
      </c>
      <c r="AL240" s="21">
        <f t="shared" si="25"/>
        <v>0</v>
      </c>
    </row>
    <row r="241" spans="1:38" x14ac:dyDescent="0.25">
      <c r="A241" s="1" t="s">
        <v>479</v>
      </c>
      <c r="B241" s="1" t="s">
        <v>478</v>
      </c>
      <c r="C241" s="1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C241" s="6">
        <v>0</v>
      </c>
      <c r="AE241" s="4">
        <f t="shared" si="28"/>
        <v>0</v>
      </c>
      <c r="AF241" s="1" t="s">
        <v>35</v>
      </c>
      <c r="AG241" s="19">
        <f t="array" ref="AG241">DIASQUIEBRE(Q241:AB241)</f>
        <v>0</v>
      </c>
      <c r="AH241" s="19">
        <f t="array" ref="AH241">DiasMesesGris(Q241:AB241)</f>
        <v>360</v>
      </c>
      <c r="AI241" s="19">
        <f t="shared" si="23"/>
        <v>360</v>
      </c>
      <c r="AJ241" s="19">
        <f t="shared" si="24"/>
        <v>0</v>
      </c>
      <c r="AK241" s="20">
        <f t="shared" si="26"/>
        <v>0</v>
      </c>
      <c r="AL241" s="21">
        <f t="shared" si="25"/>
        <v>0</v>
      </c>
    </row>
    <row r="242" spans="1:38" x14ac:dyDescent="0.25">
      <c r="A242" s="1" t="s">
        <v>481</v>
      </c>
      <c r="B242" s="1" t="s">
        <v>480</v>
      </c>
      <c r="C242" s="1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6">
        <v>0</v>
      </c>
      <c r="AE242" s="4">
        <f t="shared" si="28"/>
        <v>0</v>
      </c>
      <c r="AF242" s="1" t="s">
        <v>35</v>
      </c>
      <c r="AG242" s="19">
        <f t="array" ref="AG242">DIASQUIEBRE(Q242:AB242)</f>
        <v>0</v>
      </c>
      <c r="AH242" s="19">
        <f t="array" ref="AH242">DiasMesesGris(Q242:AB242)</f>
        <v>360</v>
      </c>
      <c r="AI242" s="19">
        <f t="shared" si="23"/>
        <v>360</v>
      </c>
      <c r="AJ242" s="19">
        <f t="shared" si="24"/>
        <v>0</v>
      </c>
      <c r="AK242" s="20">
        <f t="shared" si="26"/>
        <v>0</v>
      </c>
      <c r="AL242" s="21">
        <f t="shared" si="25"/>
        <v>0</v>
      </c>
    </row>
    <row r="243" spans="1:38" x14ac:dyDescent="0.25">
      <c r="A243" s="1" t="s">
        <v>483</v>
      </c>
      <c r="B243" s="1" t="s">
        <v>482</v>
      </c>
      <c r="C243" s="1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Z243" s="5">
        <v>0</v>
      </c>
      <c r="AA243" s="5">
        <v>0</v>
      </c>
      <c r="AB243" s="5">
        <v>0</v>
      </c>
      <c r="AC243" s="6">
        <v>0</v>
      </c>
      <c r="AE243" s="4">
        <f t="shared" si="28"/>
        <v>0</v>
      </c>
      <c r="AF243" s="1" t="s">
        <v>35</v>
      </c>
      <c r="AG243" s="19">
        <f t="array" ref="AG243">DIASQUIEBRE(Q243:AB243)</f>
        <v>0</v>
      </c>
      <c r="AH243" s="19">
        <f t="array" ref="AH243">DiasMesesGris(Q243:AB243)</f>
        <v>360</v>
      </c>
      <c r="AI243" s="19">
        <f t="shared" si="23"/>
        <v>360</v>
      </c>
      <c r="AJ243" s="19">
        <f t="shared" si="24"/>
        <v>0</v>
      </c>
      <c r="AK243" s="20">
        <f t="shared" si="26"/>
        <v>0</v>
      </c>
      <c r="AL243" s="21">
        <f t="shared" si="25"/>
        <v>0</v>
      </c>
    </row>
    <row r="244" spans="1:38" x14ac:dyDescent="0.25">
      <c r="A244" s="11" t="s">
        <v>485</v>
      </c>
      <c r="B244" s="1" t="s">
        <v>484</v>
      </c>
      <c r="C244" s="1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6">
        <v>0</v>
      </c>
      <c r="AE244" s="4">
        <f t="shared" si="28"/>
        <v>0</v>
      </c>
      <c r="AF244" s="1" t="s">
        <v>35</v>
      </c>
      <c r="AG244" s="19">
        <f t="array" ref="AG244">DIASQUIEBRE(Q244:AB244)</f>
        <v>0</v>
      </c>
      <c r="AH244" s="19">
        <f t="array" ref="AH244">DiasMesesGris(Q244:AB244)</f>
        <v>360</v>
      </c>
      <c r="AI244" s="19">
        <f t="shared" si="23"/>
        <v>360</v>
      </c>
      <c r="AJ244" s="19">
        <f t="shared" si="24"/>
        <v>0</v>
      </c>
      <c r="AK244" s="20">
        <f t="shared" si="26"/>
        <v>0</v>
      </c>
      <c r="AL244" s="21">
        <f t="shared" si="25"/>
        <v>0</v>
      </c>
    </row>
    <row r="245" spans="1:38" x14ac:dyDescent="0.25">
      <c r="A245" s="11" t="s">
        <v>487</v>
      </c>
      <c r="B245" s="1" t="s">
        <v>486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6">
        <v>0</v>
      </c>
      <c r="AE245" s="4">
        <f t="shared" si="28"/>
        <v>0</v>
      </c>
      <c r="AF245" s="1" t="s">
        <v>35</v>
      </c>
      <c r="AG245" s="19">
        <f t="array" ref="AG245">DIASQUIEBRE(Q245:AB245)</f>
        <v>0</v>
      </c>
      <c r="AH245" s="19">
        <f t="array" ref="AH245">DiasMesesGris(Q245:AB245)</f>
        <v>360</v>
      </c>
      <c r="AI245" s="19">
        <f t="shared" si="23"/>
        <v>360</v>
      </c>
      <c r="AJ245" s="19">
        <f t="shared" si="24"/>
        <v>0</v>
      </c>
      <c r="AK245" s="20">
        <f t="shared" si="26"/>
        <v>0</v>
      </c>
      <c r="AL245" s="21">
        <f t="shared" si="25"/>
        <v>0</v>
      </c>
    </row>
    <row r="246" spans="1:38" x14ac:dyDescent="0.25">
      <c r="A246" s="11" t="s">
        <v>489</v>
      </c>
      <c r="B246" s="1" t="s">
        <v>488</v>
      </c>
      <c r="C246" s="1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  <c r="AA246" s="5">
        <v>0</v>
      </c>
      <c r="AB246" s="5">
        <v>0</v>
      </c>
      <c r="AC246" s="6">
        <v>0</v>
      </c>
      <c r="AE246" s="4">
        <f t="shared" si="28"/>
        <v>0</v>
      </c>
      <c r="AF246" s="1" t="s">
        <v>35</v>
      </c>
      <c r="AG246" s="19">
        <f t="array" ref="AG246">DIASQUIEBRE(Q246:AB246)</f>
        <v>0</v>
      </c>
      <c r="AH246" s="19">
        <f t="array" ref="AH246">DiasMesesGris(Q246:AB246)</f>
        <v>360</v>
      </c>
      <c r="AI246" s="19">
        <f t="shared" si="23"/>
        <v>360</v>
      </c>
      <c r="AJ246" s="19">
        <f t="shared" si="24"/>
        <v>0</v>
      </c>
      <c r="AK246" s="20">
        <f t="shared" si="26"/>
        <v>0</v>
      </c>
      <c r="AL246" s="21">
        <f t="shared" si="25"/>
        <v>0</v>
      </c>
    </row>
    <row r="247" spans="1:38" x14ac:dyDescent="0.25">
      <c r="A247" s="11" t="s">
        <v>491</v>
      </c>
      <c r="B247" s="1" t="s">
        <v>490</v>
      </c>
      <c r="C247" s="1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6">
        <v>0</v>
      </c>
      <c r="AE247" s="4">
        <f t="shared" si="28"/>
        <v>0</v>
      </c>
      <c r="AF247" s="1" t="s">
        <v>35</v>
      </c>
      <c r="AG247" s="19">
        <f t="array" ref="AG247">DIASQUIEBRE(Q247:AB247)</f>
        <v>0</v>
      </c>
      <c r="AH247" s="19">
        <f t="array" ref="AH247">DiasMesesGris(Q247:AB247)</f>
        <v>360</v>
      </c>
      <c r="AI247" s="19">
        <f t="shared" si="23"/>
        <v>360</v>
      </c>
      <c r="AJ247" s="19">
        <f t="shared" si="24"/>
        <v>0</v>
      </c>
      <c r="AK247" s="20">
        <f t="shared" si="26"/>
        <v>0</v>
      </c>
      <c r="AL247" s="21">
        <f t="shared" si="25"/>
        <v>0</v>
      </c>
    </row>
    <row r="248" spans="1:38" x14ac:dyDescent="0.25">
      <c r="A248" s="11" t="s">
        <v>493</v>
      </c>
      <c r="B248" s="1" t="s">
        <v>492</v>
      </c>
      <c r="C248" s="1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6">
        <v>0</v>
      </c>
      <c r="AE248" s="4">
        <f t="shared" si="28"/>
        <v>0</v>
      </c>
      <c r="AF248" s="1" t="s">
        <v>35</v>
      </c>
      <c r="AG248" s="19">
        <f t="array" ref="AG248">DIASQUIEBRE(Q248:AB248)</f>
        <v>0</v>
      </c>
      <c r="AH248" s="19">
        <f t="array" ref="AH248">DiasMesesGris(Q248:AB248)</f>
        <v>360</v>
      </c>
      <c r="AI248" s="19">
        <f t="shared" si="23"/>
        <v>360</v>
      </c>
      <c r="AJ248" s="19">
        <f t="shared" si="24"/>
        <v>0</v>
      </c>
      <c r="AK248" s="20">
        <f t="shared" si="26"/>
        <v>0</v>
      </c>
      <c r="AL248" s="21">
        <f t="shared" si="25"/>
        <v>0</v>
      </c>
    </row>
    <row r="249" spans="1:38" x14ac:dyDescent="0.25">
      <c r="A249" s="11" t="s">
        <v>495</v>
      </c>
      <c r="B249" s="1" t="s">
        <v>494</v>
      </c>
      <c r="C249" s="1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C249" s="6">
        <v>0</v>
      </c>
      <c r="AE249" s="4">
        <f t="shared" si="28"/>
        <v>0</v>
      </c>
      <c r="AF249" s="1" t="s">
        <v>35</v>
      </c>
      <c r="AG249" s="19">
        <f t="array" ref="AG249">DIASQUIEBRE(Q249:AB249)</f>
        <v>0</v>
      </c>
      <c r="AH249" s="19">
        <f t="array" ref="AH249">DiasMesesGris(Q249:AB249)</f>
        <v>360</v>
      </c>
      <c r="AI249" s="19">
        <f t="shared" si="23"/>
        <v>360</v>
      </c>
      <c r="AJ249" s="19">
        <f t="shared" si="24"/>
        <v>0</v>
      </c>
      <c r="AK249" s="20">
        <f t="shared" si="26"/>
        <v>0</v>
      </c>
      <c r="AL249" s="21">
        <f t="shared" si="25"/>
        <v>0</v>
      </c>
    </row>
    <row r="250" spans="1:38" x14ac:dyDescent="0.25">
      <c r="A250" s="1" t="s">
        <v>497</v>
      </c>
      <c r="B250" s="1" t="s">
        <v>496</v>
      </c>
      <c r="C250" s="1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6">
        <v>0</v>
      </c>
      <c r="AE250" s="4">
        <f t="shared" si="28"/>
        <v>0</v>
      </c>
      <c r="AF250" s="1" t="s">
        <v>32</v>
      </c>
      <c r="AG250" s="19">
        <f t="array" ref="AG250">DIASQUIEBRE(Q250:AB250)</f>
        <v>0</v>
      </c>
      <c r="AH250" s="19">
        <f t="array" ref="AH250">DiasMesesGris(Q250:AB250)</f>
        <v>360</v>
      </c>
      <c r="AI250" s="19">
        <f t="shared" si="23"/>
        <v>360</v>
      </c>
      <c r="AJ250" s="19">
        <f t="shared" si="24"/>
        <v>0</v>
      </c>
      <c r="AK250" s="20">
        <f t="shared" si="26"/>
        <v>0</v>
      </c>
      <c r="AL250" s="21">
        <f t="shared" si="25"/>
        <v>0</v>
      </c>
    </row>
    <row r="251" spans="1:38" x14ac:dyDescent="0.25">
      <c r="A251" s="1" t="s">
        <v>565</v>
      </c>
      <c r="B251" s="1" t="s">
        <v>564</v>
      </c>
      <c r="C251" s="1"/>
      <c r="D251" s="8">
        <v>11</v>
      </c>
      <c r="E251" s="8">
        <v>13</v>
      </c>
      <c r="F251" s="8">
        <v>12</v>
      </c>
      <c r="G251" s="8">
        <v>9</v>
      </c>
      <c r="H251" s="8">
        <v>28</v>
      </c>
      <c r="I251" s="8">
        <v>7</v>
      </c>
      <c r="J251" s="8">
        <v>18</v>
      </c>
      <c r="K251" s="8">
        <v>11</v>
      </c>
      <c r="L251" s="8">
        <v>68</v>
      </c>
      <c r="M251" s="3"/>
      <c r="N251" s="8">
        <v>33</v>
      </c>
      <c r="O251" s="8">
        <v>25</v>
      </c>
      <c r="P251" s="3"/>
      <c r="Q251" s="4">
        <v>0.3548</v>
      </c>
      <c r="R251" s="4">
        <v>0.61899999999999999</v>
      </c>
      <c r="S251" s="4">
        <v>0.3871</v>
      </c>
      <c r="T251" s="4">
        <v>0.22059999999999999</v>
      </c>
      <c r="U251" s="4">
        <v>0.53129999999999999</v>
      </c>
      <c r="V251" s="4">
        <v>0.37630000000000002</v>
      </c>
      <c r="W251" s="4">
        <v>1.0713999999999999</v>
      </c>
      <c r="X251" s="4">
        <v>0.3548</v>
      </c>
      <c r="Y251" s="4">
        <v>2.6983999999999999</v>
      </c>
      <c r="Z251" s="4">
        <v>0</v>
      </c>
      <c r="AA251" s="4">
        <v>1.2222</v>
      </c>
      <c r="AB251" s="9">
        <v>0.96150000000000002</v>
      </c>
      <c r="AC251" s="6">
        <v>0</v>
      </c>
      <c r="AD251" s="4">
        <v>0.71240000000000003</v>
      </c>
      <c r="AE251" s="4">
        <f t="shared" si="28"/>
        <v>1.0513833333333333</v>
      </c>
      <c r="AF251" s="1" t="s">
        <v>35</v>
      </c>
      <c r="AG251" s="19">
        <f t="array" ref="AG251">DIASQUIEBRE(Q251:AB251)</f>
        <v>11</v>
      </c>
      <c r="AH251" s="19">
        <f t="array" ref="AH251">DiasMesesGris(Q251:AB251)</f>
        <v>0</v>
      </c>
      <c r="AI251" s="19">
        <f t="shared" si="23"/>
        <v>11</v>
      </c>
      <c r="AJ251" s="19">
        <f t="shared" si="24"/>
        <v>349</v>
      </c>
      <c r="AK251" s="20">
        <f t="shared" si="26"/>
        <v>235</v>
      </c>
      <c r="AL251" s="21">
        <f t="shared" si="25"/>
        <v>0.67335243553008595</v>
      </c>
    </row>
    <row r="252" spans="1:38" x14ac:dyDescent="0.25">
      <c r="A252" s="1" t="s">
        <v>567</v>
      </c>
      <c r="B252" s="1" t="s">
        <v>566</v>
      </c>
      <c r="C252" s="1"/>
      <c r="D252" s="8">
        <v>9</v>
      </c>
      <c r="E252" s="8">
        <v>4</v>
      </c>
      <c r="F252" s="8">
        <v>7</v>
      </c>
      <c r="G252" s="8">
        <v>16</v>
      </c>
      <c r="H252" s="8">
        <v>25</v>
      </c>
      <c r="I252" s="8">
        <v>9</v>
      </c>
      <c r="J252" s="8">
        <v>18</v>
      </c>
      <c r="K252" s="8">
        <v>14</v>
      </c>
      <c r="L252" s="8">
        <v>27</v>
      </c>
      <c r="M252" s="8">
        <v>3</v>
      </c>
      <c r="N252" s="8">
        <v>23</v>
      </c>
      <c r="O252" s="8">
        <v>22</v>
      </c>
      <c r="P252" s="3"/>
      <c r="Q252" s="4">
        <v>0.2903</v>
      </c>
      <c r="R252" s="4">
        <v>0.1905</v>
      </c>
      <c r="S252" s="4">
        <v>0.2258</v>
      </c>
      <c r="T252" s="4">
        <v>0.39219999999999999</v>
      </c>
      <c r="U252" s="4">
        <v>0.47439999999999999</v>
      </c>
      <c r="V252" s="4">
        <v>0.4839</v>
      </c>
      <c r="W252" s="4">
        <v>1.0713999999999999</v>
      </c>
      <c r="X252" s="4">
        <v>0.4516</v>
      </c>
      <c r="Y252" s="4">
        <v>1.0713999999999999</v>
      </c>
      <c r="Z252" s="4">
        <v>9.6799999999999997E-2</v>
      </c>
      <c r="AA252" s="4">
        <v>0.85189999999999999</v>
      </c>
      <c r="AB252" s="4">
        <v>0.54590000000000005</v>
      </c>
      <c r="AC252" s="10">
        <v>0</v>
      </c>
      <c r="AD252" s="4">
        <v>0.51219999999999999</v>
      </c>
      <c r="AE252" s="4">
        <f t="shared" si="28"/>
        <v>0.68150000000000011</v>
      </c>
      <c r="AF252" s="1" t="s">
        <v>35</v>
      </c>
      <c r="AG252" s="19">
        <f t="array" ref="AG252">DIASQUIEBRE(Q252:AB252)</f>
        <v>0</v>
      </c>
      <c r="AH252" s="19">
        <f t="array" ref="AH252">DiasMesesGris(Q252:AB252)</f>
        <v>0</v>
      </c>
      <c r="AI252" s="19">
        <f t="shared" si="23"/>
        <v>0</v>
      </c>
      <c r="AJ252" s="19">
        <f t="shared" si="24"/>
        <v>360</v>
      </c>
      <c r="AK252" s="20">
        <f t="shared" si="26"/>
        <v>177</v>
      </c>
      <c r="AL252" s="21">
        <f t="shared" si="25"/>
        <v>0.49166666666666664</v>
      </c>
    </row>
    <row r="253" spans="1:38" x14ac:dyDescent="0.25">
      <c r="A253" s="1" t="s">
        <v>571</v>
      </c>
      <c r="B253" s="1" t="s">
        <v>570</v>
      </c>
      <c r="C253" s="1"/>
      <c r="D253" s="8">
        <v>3</v>
      </c>
      <c r="E253" s="3"/>
      <c r="F253" s="8">
        <v>1</v>
      </c>
      <c r="G253" s="3"/>
      <c r="H253" s="8">
        <v>5</v>
      </c>
      <c r="I253" s="8">
        <v>2</v>
      </c>
      <c r="J253" s="3"/>
      <c r="K253" s="8">
        <v>2</v>
      </c>
      <c r="L253" s="8">
        <v>3</v>
      </c>
      <c r="M253" s="8">
        <v>16</v>
      </c>
      <c r="N253" s="8">
        <v>2</v>
      </c>
      <c r="O253" s="3"/>
      <c r="P253" s="3"/>
      <c r="Q253" s="4">
        <v>9.6799999999999997E-2</v>
      </c>
      <c r="R253" s="4">
        <v>0</v>
      </c>
      <c r="S253" s="4">
        <v>3.2300000000000002E-2</v>
      </c>
      <c r="T253" s="4">
        <v>0</v>
      </c>
      <c r="U253" s="4">
        <v>9.4899999999999998E-2</v>
      </c>
      <c r="V253" s="4">
        <v>0.1075</v>
      </c>
      <c r="W253" s="4">
        <v>0</v>
      </c>
      <c r="X253" s="4">
        <v>6.4500000000000002E-2</v>
      </c>
      <c r="Y253" s="4">
        <v>0.11899999999999999</v>
      </c>
      <c r="Z253" s="4">
        <v>0.5161</v>
      </c>
      <c r="AA253" s="4">
        <v>7.4099999999999999E-2</v>
      </c>
      <c r="AB253" s="4">
        <v>0</v>
      </c>
      <c r="AC253" s="10">
        <v>0</v>
      </c>
      <c r="AD253" s="4">
        <v>9.2100000000000001E-2</v>
      </c>
      <c r="AE253" s="4">
        <f t="shared" si="28"/>
        <v>0.12895000000000001</v>
      </c>
      <c r="AF253" s="1" t="s">
        <v>35</v>
      </c>
      <c r="AG253" s="19">
        <f t="array" ref="AG253">DIASQUIEBRE(Q253:AB253)</f>
        <v>0</v>
      </c>
      <c r="AH253" s="19">
        <f t="array" ref="AH253">DiasMesesGris(Q253:AB253)</f>
        <v>0</v>
      </c>
      <c r="AI253" s="19">
        <f t="shared" si="23"/>
        <v>0</v>
      </c>
      <c r="AJ253" s="19">
        <f t="shared" si="24"/>
        <v>360</v>
      </c>
      <c r="AK253" s="20">
        <f t="shared" si="26"/>
        <v>34</v>
      </c>
      <c r="AL253" s="21">
        <f t="shared" si="25"/>
        <v>9.4444444444444442E-2</v>
      </c>
    </row>
    <row r="254" spans="1:38" x14ac:dyDescent="0.25">
      <c r="A254" s="1" t="s">
        <v>573</v>
      </c>
      <c r="B254" s="1" t="s">
        <v>572</v>
      </c>
      <c r="C254" s="1"/>
      <c r="D254" s="8">
        <v>12</v>
      </c>
      <c r="E254" s="8">
        <v>21</v>
      </c>
      <c r="F254" s="8">
        <v>19</v>
      </c>
      <c r="G254" s="8">
        <v>23</v>
      </c>
      <c r="H254" s="8">
        <v>102</v>
      </c>
      <c r="I254" s="8">
        <v>20</v>
      </c>
      <c r="J254" s="8">
        <v>20</v>
      </c>
      <c r="K254" s="8">
        <v>29</v>
      </c>
      <c r="L254" s="8">
        <v>30</v>
      </c>
      <c r="M254" s="8">
        <v>26</v>
      </c>
      <c r="N254" s="8">
        <v>49</v>
      </c>
      <c r="O254" s="8">
        <v>38</v>
      </c>
      <c r="P254" s="3"/>
      <c r="Q254" s="4">
        <v>0.3871</v>
      </c>
      <c r="R254" s="4">
        <v>1</v>
      </c>
      <c r="S254" s="4">
        <v>0.6129</v>
      </c>
      <c r="T254" s="4">
        <v>0.56369999999999998</v>
      </c>
      <c r="U254" s="4">
        <v>1.9355</v>
      </c>
      <c r="V254" s="4">
        <v>1.0752999999999999</v>
      </c>
      <c r="W254" s="4">
        <v>1.1904999999999999</v>
      </c>
      <c r="X254" s="4">
        <v>0.9355</v>
      </c>
      <c r="Y254" s="4">
        <v>1.1904999999999999</v>
      </c>
      <c r="Z254" s="4">
        <v>0.8387</v>
      </c>
      <c r="AA254" s="4">
        <v>1.8148</v>
      </c>
      <c r="AB254" s="4">
        <v>0.94289999999999996</v>
      </c>
      <c r="AC254" s="10">
        <v>0</v>
      </c>
      <c r="AD254" s="4">
        <v>1.0406</v>
      </c>
      <c r="AE254" s="4">
        <f t="shared" si="28"/>
        <v>1.15215</v>
      </c>
      <c r="AF254" s="1" t="s">
        <v>35</v>
      </c>
      <c r="AG254" s="19">
        <f t="array" ref="AG254">DIASQUIEBRE(Q254:AB254)</f>
        <v>0</v>
      </c>
      <c r="AH254" s="19">
        <f t="array" ref="AH254">DiasMesesGris(Q254:AB254)</f>
        <v>0</v>
      </c>
      <c r="AI254" s="19">
        <f t="shared" si="23"/>
        <v>0</v>
      </c>
      <c r="AJ254" s="19">
        <f t="shared" si="24"/>
        <v>360</v>
      </c>
      <c r="AK254" s="20">
        <f t="shared" si="26"/>
        <v>389</v>
      </c>
      <c r="AL254" s="21">
        <f t="shared" si="25"/>
        <v>1.0805555555555555</v>
      </c>
    </row>
    <row r="255" spans="1:38" x14ac:dyDescent="0.25">
      <c r="A255" s="1" t="s">
        <v>575</v>
      </c>
      <c r="B255" s="1" t="s">
        <v>574</v>
      </c>
      <c r="C255" s="1"/>
      <c r="D255" s="8">
        <v>5</v>
      </c>
      <c r="E255" s="8">
        <v>16</v>
      </c>
      <c r="F255" s="8">
        <v>17</v>
      </c>
      <c r="G255" s="8">
        <v>21</v>
      </c>
      <c r="H255" s="8">
        <v>28</v>
      </c>
      <c r="I255" s="8">
        <v>18</v>
      </c>
      <c r="J255" s="8">
        <v>18</v>
      </c>
      <c r="K255" s="8">
        <v>15</v>
      </c>
      <c r="L255" s="8">
        <v>25</v>
      </c>
      <c r="M255" s="8">
        <v>67</v>
      </c>
      <c r="N255" s="8">
        <v>1</v>
      </c>
      <c r="O255" s="8">
        <v>2</v>
      </c>
      <c r="P255" s="3"/>
      <c r="Q255" s="4">
        <v>0.1613</v>
      </c>
      <c r="R255" s="4">
        <v>0.76190000000000002</v>
      </c>
      <c r="S255" s="4">
        <v>0.5484</v>
      </c>
      <c r="T255" s="4">
        <v>0.51470000000000005</v>
      </c>
      <c r="U255" s="4">
        <v>0.53129999999999999</v>
      </c>
      <c r="V255" s="4">
        <v>0.9677</v>
      </c>
      <c r="W255" s="4">
        <v>1.0713999999999999</v>
      </c>
      <c r="X255" s="4">
        <v>0.4839</v>
      </c>
      <c r="Y255" s="4">
        <v>0.99209999999999998</v>
      </c>
      <c r="Z255" s="9">
        <v>2.3929</v>
      </c>
      <c r="AA255" s="5">
        <v>0</v>
      </c>
      <c r="AB255" s="5">
        <v>0</v>
      </c>
      <c r="AC255" s="6">
        <v>0</v>
      </c>
      <c r="AD255" s="4">
        <v>0.67030000000000001</v>
      </c>
      <c r="AE255" s="4">
        <v>1.04</v>
      </c>
      <c r="AF255" s="1" t="s">
        <v>35</v>
      </c>
      <c r="AG255" s="19">
        <f t="array" ref="AG255">DIASQUIEBRE(Q255:AB255)</f>
        <v>3</v>
      </c>
      <c r="AH255" s="19">
        <f t="array" ref="AH255">DiasMesesGris(Q255:AB255)</f>
        <v>60</v>
      </c>
      <c r="AI255" s="19">
        <f t="shared" si="23"/>
        <v>63</v>
      </c>
      <c r="AJ255" s="19">
        <f t="shared" si="24"/>
        <v>297</v>
      </c>
      <c r="AK255" s="20">
        <f t="shared" si="26"/>
        <v>233</v>
      </c>
      <c r="AL255" s="21">
        <f t="shared" si="25"/>
        <v>0.78451178451178449</v>
      </c>
    </row>
    <row r="256" spans="1:38" x14ac:dyDescent="0.25">
      <c r="A256" s="1" t="s">
        <v>577</v>
      </c>
      <c r="B256" s="1" t="s">
        <v>576</v>
      </c>
      <c r="C256" s="1"/>
      <c r="D256" s="3"/>
      <c r="E256" s="3"/>
      <c r="F256" s="3"/>
      <c r="G256" s="3"/>
      <c r="H256" s="3"/>
      <c r="I256" s="3"/>
      <c r="J256" s="8">
        <v>-1</v>
      </c>
      <c r="K256" s="3"/>
      <c r="L256" s="3"/>
      <c r="M256" s="3"/>
      <c r="N256" s="3"/>
      <c r="O256" s="3"/>
      <c r="P256" s="3"/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6">
        <v>0</v>
      </c>
      <c r="AE256" s="4">
        <f>AVERAGE(W256:AB256)</f>
        <v>0</v>
      </c>
      <c r="AF256" s="1" t="s">
        <v>35</v>
      </c>
      <c r="AG256" s="19">
        <f t="array" ref="AG256">DIASQUIEBRE(Q256:AB256)</f>
        <v>0</v>
      </c>
      <c r="AH256" s="19">
        <f t="array" ref="AH256">DiasMesesGris(Q256:AB256)</f>
        <v>360</v>
      </c>
      <c r="AI256" s="19">
        <f t="shared" si="23"/>
        <v>360</v>
      </c>
      <c r="AJ256" s="19">
        <f t="shared" si="24"/>
        <v>0</v>
      </c>
      <c r="AK256" s="20">
        <f t="shared" si="26"/>
        <v>-1</v>
      </c>
      <c r="AL256" s="21">
        <f t="shared" si="25"/>
        <v>0</v>
      </c>
    </row>
    <row r="257" spans="1:38" x14ac:dyDescent="0.25">
      <c r="A257" s="1" t="s">
        <v>579</v>
      </c>
      <c r="B257" s="1" t="s">
        <v>578</v>
      </c>
      <c r="C257" s="1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6">
        <v>0</v>
      </c>
      <c r="AE257" s="4">
        <f>AVERAGE(W257:AB257)</f>
        <v>0</v>
      </c>
      <c r="AF257" s="1" t="s">
        <v>32</v>
      </c>
      <c r="AG257" s="19">
        <f t="array" ref="AG257">DIASQUIEBRE(Q257:AB257)</f>
        <v>0</v>
      </c>
      <c r="AH257" s="19">
        <f t="array" ref="AH257">DiasMesesGris(Q257:AB257)</f>
        <v>360</v>
      </c>
      <c r="AI257" s="19">
        <f t="shared" si="23"/>
        <v>360</v>
      </c>
      <c r="AJ257" s="19">
        <f t="shared" si="24"/>
        <v>0</v>
      </c>
      <c r="AK257" s="20">
        <f t="shared" si="26"/>
        <v>0</v>
      </c>
      <c r="AL257" s="21">
        <f t="shared" si="25"/>
        <v>0</v>
      </c>
    </row>
    <row r="258" spans="1:38" x14ac:dyDescent="0.25">
      <c r="A258" s="1" t="s">
        <v>581</v>
      </c>
      <c r="B258" s="1" t="s">
        <v>580</v>
      </c>
      <c r="C258" s="1"/>
      <c r="D258" s="8">
        <v>20</v>
      </c>
      <c r="E258" s="8">
        <v>8</v>
      </c>
      <c r="F258" s="8">
        <v>7</v>
      </c>
      <c r="G258" s="8">
        <v>13</v>
      </c>
      <c r="H258" s="8">
        <v>35</v>
      </c>
      <c r="I258" s="8">
        <v>6</v>
      </c>
      <c r="J258" s="8">
        <v>5</v>
      </c>
      <c r="K258" s="8">
        <v>17</v>
      </c>
      <c r="L258" s="8">
        <v>1</v>
      </c>
      <c r="M258" s="8">
        <v>-13</v>
      </c>
      <c r="N258" s="8">
        <v>10</v>
      </c>
      <c r="O258" s="8">
        <v>11</v>
      </c>
      <c r="P258" s="3"/>
      <c r="Q258" s="4">
        <v>0.6452</v>
      </c>
      <c r="R258" s="4">
        <v>0.38100000000000001</v>
      </c>
      <c r="S258" s="4">
        <v>0.2258</v>
      </c>
      <c r="T258" s="4">
        <v>0.31859999999999999</v>
      </c>
      <c r="U258" s="4">
        <v>0.66410000000000002</v>
      </c>
      <c r="V258" s="4">
        <v>0.3226</v>
      </c>
      <c r="W258" s="4">
        <v>0.29759999999999998</v>
      </c>
      <c r="X258" s="4">
        <v>0.5484</v>
      </c>
      <c r="Y258" s="4">
        <v>3.9699999999999999E-2</v>
      </c>
      <c r="Z258" s="4">
        <v>-0.4194</v>
      </c>
      <c r="AA258" s="4">
        <v>0.37040000000000001</v>
      </c>
      <c r="AB258" s="4">
        <v>0.27300000000000002</v>
      </c>
      <c r="AC258" s="10">
        <v>0</v>
      </c>
      <c r="AD258" s="4">
        <v>0.30559999999999998</v>
      </c>
      <c r="AE258" s="4">
        <f>AVERAGE(W258:AB258)</f>
        <v>0.18495000000000003</v>
      </c>
      <c r="AF258" s="1" t="s">
        <v>35</v>
      </c>
      <c r="AG258" s="19">
        <f t="array" ref="AG258">DIASQUIEBRE(Q258:AB258)</f>
        <v>0</v>
      </c>
      <c r="AH258" s="19">
        <f t="array" ref="AH258">DiasMesesGris(Q258:AB258)</f>
        <v>0</v>
      </c>
      <c r="AI258" s="19">
        <f t="shared" ref="AI258:AI321" si="29">AG258+AH258</f>
        <v>0</v>
      </c>
      <c r="AJ258" s="19">
        <f t="shared" ref="AJ258:AJ321" si="30">360-AI258</f>
        <v>360</v>
      </c>
      <c r="AK258" s="20">
        <f t="shared" si="26"/>
        <v>120</v>
      </c>
      <c r="AL258" s="21">
        <f t="shared" ref="AL258:AL321" si="31">IFERROR(AK258/AJ258,0)</f>
        <v>0.33333333333333331</v>
      </c>
    </row>
    <row r="259" spans="1:38" x14ac:dyDescent="0.25">
      <c r="A259" s="1" t="s">
        <v>583</v>
      </c>
      <c r="B259" s="1" t="s">
        <v>582</v>
      </c>
      <c r="C259" s="1"/>
      <c r="D259" s="8">
        <v>2</v>
      </c>
      <c r="E259" s="8">
        <v>2</v>
      </c>
      <c r="F259" s="8">
        <v>8</v>
      </c>
      <c r="G259" s="8">
        <v>12</v>
      </c>
      <c r="H259" s="8">
        <v>31</v>
      </c>
      <c r="I259" s="8">
        <v>7</v>
      </c>
      <c r="J259" s="8">
        <v>5</v>
      </c>
      <c r="K259" s="3"/>
      <c r="L259" s="3"/>
      <c r="M259" s="8">
        <v>-4</v>
      </c>
      <c r="N259" s="8">
        <v>4</v>
      </c>
      <c r="O259" s="8">
        <v>1</v>
      </c>
      <c r="P259" s="3"/>
      <c r="Q259" s="4">
        <v>6.4500000000000002E-2</v>
      </c>
      <c r="R259" s="4">
        <v>9.5200000000000007E-2</v>
      </c>
      <c r="S259" s="4">
        <v>0.2581</v>
      </c>
      <c r="T259" s="4">
        <v>0.29409999999999997</v>
      </c>
      <c r="U259" s="4">
        <v>0.58819999999999995</v>
      </c>
      <c r="V259" s="4">
        <v>0.37630000000000002</v>
      </c>
      <c r="W259" s="9">
        <v>2.7778</v>
      </c>
      <c r="X259" s="5">
        <v>0</v>
      </c>
      <c r="Y259" s="5">
        <v>0</v>
      </c>
      <c r="Z259" s="9">
        <v>-0.15379999999999999</v>
      </c>
      <c r="AA259" s="5">
        <v>0</v>
      </c>
      <c r="AB259" s="5">
        <v>0</v>
      </c>
      <c r="AC259" s="6">
        <v>0</v>
      </c>
      <c r="AD259" s="4">
        <v>0.27939999999999998</v>
      </c>
      <c r="AE259" s="4">
        <v>0.32</v>
      </c>
      <c r="AF259" s="1" t="s">
        <v>35</v>
      </c>
      <c r="AG259" s="19">
        <f t="array" ref="AG259">DIASQUIEBRE(Q259:AB259)</f>
        <v>30</v>
      </c>
      <c r="AH259" s="19">
        <f t="array" ref="AH259">DiasMesesGris(Q259:AB259)</f>
        <v>120</v>
      </c>
      <c r="AI259" s="19">
        <f t="shared" si="29"/>
        <v>150</v>
      </c>
      <c r="AJ259" s="19">
        <f t="shared" si="30"/>
        <v>210</v>
      </c>
      <c r="AK259" s="20">
        <f t="shared" si="26"/>
        <v>68</v>
      </c>
      <c r="AL259" s="21">
        <f t="shared" si="31"/>
        <v>0.32380952380952382</v>
      </c>
    </row>
    <row r="260" spans="1:38" x14ac:dyDescent="0.25">
      <c r="A260" s="1" t="s">
        <v>585</v>
      </c>
      <c r="B260" s="1" t="s">
        <v>584</v>
      </c>
      <c r="C260" s="1"/>
      <c r="D260" s="3"/>
      <c r="E260" s="8">
        <v>1</v>
      </c>
      <c r="F260" s="8">
        <v>4</v>
      </c>
      <c r="G260" s="8">
        <v>12</v>
      </c>
      <c r="H260" s="8">
        <v>2</v>
      </c>
      <c r="I260" s="8">
        <v>5</v>
      </c>
      <c r="J260" s="8">
        <v>2</v>
      </c>
      <c r="K260" s="8">
        <v>1</v>
      </c>
      <c r="L260" s="8">
        <v>4</v>
      </c>
      <c r="M260" s="8">
        <v>-4</v>
      </c>
      <c r="N260" s="8">
        <v>12</v>
      </c>
      <c r="O260" s="8">
        <v>9</v>
      </c>
      <c r="P260" s="3"/>
      <c r="Q260" s="4">
        <v>0</v>
      </c>
      <c r="R260" s="4">
        <v>4.7600000000000003E-2</v>
      </c>
      <c r="S260" s="4">
        <v>0.129</v>
      </c>
      <c r="T260" s="4">
        <v>0.29409999999999997</v>
      </c>
      <c r="U260" s="4">
        <v>3.7999999999999999E-2</v>
      </c>
      <c r="V260" s="4">
        <v>0.26879999999999998</v>
      </c>
      <c r="W260" s="4">
        <v>0.11899999999999999</v>
      </c>
      <c r="X260" s="4">
        <v>3.2300000000000002E-2</v>
      </c>
      <c r="Y260" s="4">
        <v>0.15870000000000001</v>
      </c>
      <c r="Z260" s="4">
        <v>-0.129</v>
      </c>
      <c r="AA260" s="4">
        <v>0.44440000000000002</v>
      </c>
      <c r="AB260" s="4">
        <v>0.2233</v>
      </c>
      <c r="AC260" s="10">
        <v>0</v>
      </c>
      <c r="AD260" s="4">
        <v>0.13550000000000001</v>
      </c>
      <c r="AE260" s="4">
        <f t="shared" ref="AE260:AE275" si="32">AVERAGE(W260:AB260)</f>
        <v>0.14144999999999999</v>
      </c>
      <c r="AF260" s="1" t="s">
        <v>35</v>
      </c>
      <c r="AG260" s="19">
        <f t="array" ref="AG260">DIASQUIEBRE(Q260:AB260)</f>
        <v>0</v>
      </c>
      <c r="AH260" s="19">
        <f t="array" ref="AH260">DiasMesesGris(Q260:AB260)</f>
        <v>0</v>
      </c>
      <c r="AI260" s="19">
        <f t="shared" si="29"/>
        <v>0</v>
      </c>
      <c r="AJ260" s="19">
        <f t="shared" si="30"/>
        <v>360</v>
      </c>
      <c r="AK260" s="20">
        <f t="shared" si="26"/>
        <v>48</v>
      </c>
      <c r="AL260" s="21">
        <f t="shared" si="31"/>
        <v>0.13333333333333333</v>
      </c>
    </row>
    <row r="261" spans="1:38" x14ac:dyDescent="0.25">
      <c r="A261" s="1" t="s">
        <v>587</v>
      </c>
      <c r="B261" s="1" t="s">
        <v>586</v>
      </c>
      <c r="C261" s="1"/>
      <c r="D261" s="8">
        <v>1</v>
      </c>
      <c r="E261" s="3"/>
      <c r="F261" s="8">
        <v>2</v>
      </c>
      <c r="G261" s="8">
        <v>11</v>
      </c>
      <c r="H261" s="8">
        <v>27</v>
      </c>
      <c r="I261" s="3"/>
      <c r="J261" s="3"/>
      <c r="K261" s="3"/>
      <c r="L261" s="8">
        <v>1</v>
      </c>
      <c r="M261" s="8">
        <v>1</v>
      </c>
      <c r="N261" s="8">
        <v>-1</v>
      </c>
      <c r="O261" s="3"/>
      <c r="P261" s="3"/>
      <c r="Q261" s="4">
        <v>3.2300000000000002E-2</v>
      </c>
      <c r="R261" s="4">
        <v>0</v>
      </c>
      <c r="S261" s="4">
        <v>6.4500000000000002E-2</v>
      </c>
      <c r="T261" s="4">
        <v>0.26960000000000001</v>
      </c>
      <c r="U261" s="9">
        <v>0.6905</v>
      </c>
      <c r="V261" s="5">
        <v>0</v>
      </c>
      <c r="W261" s="5">
        <v>0</v>
      </c>
      <c r="X261" s="5">
        <v>0</v>
      </c>
      <c r="Y261" s="5">
        <v>0</v>
      </c>
      <c r="Z261" s="9">
        <v>0.16669999999999999</v>
      </c>
      <c r="AA261" s="5">
        <v>0</v>
      </c>
      <c r="AB261" s="5">
        <v>0</v>
      </c>
      <c r="AC261" s="6">
        <v>0</v>
      </c>
      <c r="AD261" s="4">
        <v>9.1600000000000001E-2</v>
      </c>
      <c r="AE261" s="4">
        <f t="shared" si="32"/>
        <v>2.778333333333333E-2</v>
      </c>
      <c r="AF261" s="1" t="s">
        <v>32</v>
      </c>
      <c r="AG261" s="19">
        <f t="array" ref="AG261">DIASQUIEBRE(Q261:AB261)</f>
        <v>33</v>
      </c>
      <c r="AH261" s="19">
        <f t="array" ref="AH261">DiasMesesGris(Q261:AB261)</f>
        <v>180</v>
      </c>
      <c r="AI261" s="19">
        <f t="shared" si="29"/>
        <v>213</v>
      </c>
      <c r="AJ261" s="19">
        <f t="shared" si="30"/>
        <v>147</v>
      </c>
      <c r="AK261" s="20">
        <f t="shared" si="26"/>
        <v>42</v>
      </c>
      <c r="AL261" s="21">
        <f t="shared" si="31"/>
        <v>0.2857142857142857</v>
      </c>
    </row>
    <row r="262" spans="1:38" x14ac:dyDescent="0.25">
      <c r="A262" s="1" t="s">
        <v>589</v>
      </c>
      <c r="B262" s="1" t="s">
        <v>588</v>
      </c>
      <c r="C262" s="1"/>
      <c r="D262" s="8">
        <v>1</v>
      </c>
      <c r="E262" s="8">
        <v>1</v>
      </c>
      <c r="F262" s="8">
        <v>4</v>
      </c>
      <c r="G262" s="8">
        <v>15</v>
      </c>
      <c r="H262" s="8">
        <v>56</v>
      </c>
      <c r="I262" s="8">
        <v>1</v>
      </c>
      <c r="J262" s="8">
        <v>-1</v>
      </c>
      <c r="K262" s="3"/>
      <c r="L262" s="3"/>
      <c r="M262" s="3"/>
      <c r="N262" s="3"/>
      <c r="O262" s="3"/>
      <c r="P262" s="3"/>
      <c r="Q262" s="4">
        <v>3.2300000000000002E-2</v>
      </c>
      <c r="R262" s="4">
        <v>4.7600000000000003E-2</v>
      </c>
      <c r="S262" s="4">
        <v>0.129</v>
      </c>
      <c r="T262" s="4">
        <v>0.36759999999999998</v>
      </c>
      <c r="U262" s="9">
        <v>1.4321999999999999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C262" s="6">
        <v>0</v>
      </c>
      <c r="AD262" s="4">
        <v>0.14410000000000001</v>
      </c>
      <c r="AE262" s="4">
        <f t="shared" si="32"/>
        <v>0</v>
      </c>
      <c r="AF262" s="1" t="s">
        <v>32</v>
      </c>
      <c r="AG262" s="19">
        <f t="array" ref="AG262">DIASQUIEBRE(Q262:AB262)</f>
        <v>8</v>
      </c>
      <c r="AH262" s="19">
        <f t="array" ref="AH262">DiasMesesGris(Q262:AB262)</f>
        <v>210</v>
      </c>
      <c r="AI262" s="19">
        <f t="shared" si="29"/>
        <v>218</v>
      </c>
      <c r="AJ262" s="19">
        <f t="shared" si="30"/>
        <v>142</v>
      </c>
      <c r="AK262" s="20">
        <f t="shared" si="26"/>
        <v>77</v>
      </c>
      <c r="AL262" s="21">
        <f t="shared" si="31"/>
        <v>0.54225352112676062</v>
      </c>
    </row>
    <row r="263" spans="1:38" x14ac:dyDescent="0.25">
      <c r="A263" s="1" t="s">
        <v>591</v>
      </c>
      <c r="B263" s="1" t="s">
        <v>590</v>
      </c>
      <c r="C263" s="1"/>
      <c r="D263" s="8">
        <v>1</v>
      </c>
      <c r="E263" s="3"/>
      <c r="F263" s="8">
        <v>1</v>
      </c>
      <c r="G263" s="8">
        <v>1</v>
      </c>
      <c r="H263" s="8">
        <v>26</v>
      </c>
      <c r="I263" s="8">
        <v>2</v>
      </c>
      <c r="J263" s="8">
        <v>2</v>
      </c>
      <c r="K263" s="3"/>
      <c r="L263" s="3"/>
      <c r="M263" s="8">
        <v>-1</v>
      </c>
      <c r="N263" s="8">
        <v>3</v>
      </c>
      <c r="O263" s="8">
        <v>2</v>
      </c>
      <c r="P263" s="3"/>
      <c r="Q263" s="5">
        <v>0</v>
      </c>
      <c r="R263" s="9">
        <v>0</v>
      </c>
      <c r="S263" s="4">
        <v>3.2300000000000002E-2</v>
      </c>
      <c r="T263" s="4">
        <v>2.4500000000000001E-2</v>
      </c>
      <c r="U263" s="4">
        <v>0.49340000000000001</v>
      </c>
      <c r="V263" s="4">
        <v>0.1075</v>
      </c>
      <c r="W263" s="4">
        <v>0.11899999999999999</v>
      </c>
      <c r="X263" s="4">
        <v>0</v>
      </c>
      <c r="Y263" s="4">
        <v>0</v>
      </c>
      <c r="Z263" s="4">
        <v>-3.2300000000000002E-2</v>
      </c>
      <c r="AA263" s="4">
        <v>0.1111</v>
      </c>
      <c r="AB263" s="4">
        <v>4.9599999999999998E-2</v>
      </c>
      <c r="AC263" s="10">
        <v>0</v>
      </c>
      <c r="AD263" s="4">
        <v>9.0499999999999997E-2</v>
      </c>
      <c r="AE263" s="4">
        <f t="shared" si="32"/>
        <v>4.1233333333333337E-2</v>
      </c>
      <c r="AF263" s="1" t="s">
        <v>35</v>
      </c>
      <c r="AG263" s="19">
        <f t="array" ref="AG263">DIASQUIEBRE(Q263:AB263)</f>
        <v>2</v>
      </c>
      <c r="AH263" s="19">
        <f t="array" ref="AH263">DiasMesesGris(Q263:AB263)</f>
        <v>30</v>
      </c>
      <c r="AI263" s="19">
        <f t="shared" si="29"/>
        <v>32</v>
      </c>
      <c r="AJ263" s="19">
        <f t="shared" si="30"/>
        <v>328</v>
      </c>
      <c r="AK263" s="20">
        <f t="shared" si="26"/>
        <v>37</v>
      </c>
      <c r="AL263" s="21">
        <f t="shared" si="31"/>
        <v>0.11280487804878049</v>
      </c>
    </row>
    <row r="264" spans="1:38" x14ac:dyDescent="0.25">
      <c r="A264" s="1" t="s">
        <v>593</v>
      </c>
      <c r="B264" s="1" t="s">
        <v>592</v>
      </c>
      <c r="C264" s="1"/>
      <c r="D264" s="8">
        <v>8</v>
      </c>
      <c r="E264" s="8">
        <v>5</v>
      </c>
      <c r="F264" s="8">
        <v>2</v>
      </c>
      <c r="G264" s="8">
        <v>15</v>
      </c>
      <c r="H264" s="3"/>
      <c r="I264" s="8">
        <v>1</v>
      </c>
      <c r="J264" s="8">
        <v>8</v>
      </c>
      <c r="K264" s="8">
        <v>1</v>
      </c>
      <c r="L264" s="8">
        <v>4</v>
      </c>
      <c r="M264" s="3"/>
      <c r="N264" s="3"/>
      <c r="O264" s="8">
        <v>12</v>
      </c>
      <c r="P264" s="3"/>
      <c r="Q264" s="4">
        <v>0.2581</v>
      </c>
      <c r="R264" s="4">
        <v>0.23810000000000001</v>
      </c>
      <c r="S264" s="4">
        <v>6.4500000000000002E-2</v>
      </c>
      <c r="T264" s="4">
        <v>0.36759999999999998</v>
      </c>
      <c r="U264" s="4">
        <v>0</v>
      </c>
      <c r="V264" s="4">
        <v>5.3800000000000001E-2</v>
      </c>
      <c r="W264" s="4">
        <v>0.47620000000000001</v>
      </c>
      <c r="X264" s="4">
        <v>3.2300000000000002E-2</v>
      </c>
      <c r="Y264" s="4">
        <v>0.15870000000000001</v>
      </c>
      <c r="Z264" s="4">
        <v>0</v>
      </c>
      <c r="AA264" s="4">
        <v>0</v>
      </c>
      <c r="AB264" s="4">
        <v>0.29780000000000001</v>
      </c>
      <c r="AC264" s="10">
        <v>0</v>
      </c>
      <c r="AD264" s="4">
        <v>0.1623</v>
      </c>
      <c r="AE264" s="4">
        <f t="shared" si="32"/>
        <v>0.16083333333333336</v>
      </c>
      <c r="AF264" s="1" t="s">
        <v>35</v>
      </c>
      <c r="AG264" s="19">
        <f t="array" ref="AG264">DIASQUIEBRE(Q264:AB264)</f>
        <v>0</v>
      </c>
      <c r="AH264" s="19">
        <f t="array" ref="AH264">DiasMesesGris(Q264:AB264)</f>
        <v>0</v>
      </c>
      <c r="AI264" s="19">
        <f t="shared" si="29"/>
        <v>0</v>
      </c>
      <c r="AJ264" s="19">
        <f t="shared" si="30"/>
        <v>360</v>
      </c>
      <c r="AK264" s="20">
        <f t="shared" si="26"/>
        <v>56</v>
      </c>
      <c r="AL264" s="21">
        <f t="shared" si="31"/>
        <v>0.15555555555555556</v>
      </c>
    </row>
    <row r="265" spans="1:38" x14ac:dyDescent="0.25">
      <c r="A265" s="1" t="s">
        <v>595</v>
      </c>
      <c r="B265" s="1" t="s">
        <v>594</v>
      </c>
      <c r="C265" s="1"/>
      <c r="D265" s="8">
        <v>10</v>
      </c>
      <c r="E265" s="8">
        <v>14</v>
      </c>
      <c r="F265" s="8">
        <v>8</v>
      </c>
      <c r="G265" s="8">
        <v>10</v>
      </c>
      <c r="H265" s="8">
        <v>4</v>
      </c>
      <c r="I265" s="8">
        <v>5</v>
      </c>
      <c r="J265" s="8">
        <v>13</v>
      </c>
      <c r="K265" s="3"/>
      <c r="L265" s="8">
        <v>4</v>
      </c>
      <c r="M265" s="8">
        <v>4</v>
      </c>
      <c r="N265" s="8">
        <v>13</v>
      </c>
      <c r="O265" s="8">
        <v>12</v>
      </c>
      <c r="P265" s="3"/>
      <c r="Q265" s="4">
        <v>0.3226</v>
      </c>
      <c r="R265" s="4">
        <v>0.66669999999999996</v>
      </c>
      <c r="S265" s="4">
        <v>0.2581</v>
      </c>
      <c r="T265" s="4">
        <v>0.24510000000000001</v>
      </c>
      <c r="U265" s="4">
        <v>7.5899999999999995E-2</v>
      </c>
      <c r="V265" s="4">
        <v>0.26879999999999998</v>
      </c>
      <c r="W265" s="4">
        <v>0.77380000000000004</v>
      </c>
      <c r="X265" s="4">
        <v>0</v>
      </c>
      <c r="Y265" s="4">
        <v>0.15870000000000001</v>
      </c>
      <c r="Z265" s="4">
        <v>0.129</v>
      </c>
      <c r="AA265" s="4">
        <v>0.48149999999999998</v>
      </c>
      <c r="AB265" s="4">
        <v>0.29780000000000001</v>
      </c>
      <c r="AC265" s="10">
        <v>0</v>
      </c>
      <c r="AD265" s="4">
        <v>0.30649999999999999</v>
      </c>
      <c r="AE265" s="4">
        <f t="shared" si="32"/>
        <v>0.30680000000000002</v>
      </c>
      <c r="AF265" s="1" t="s">
        <v>35</v>
      </c>
      <c r="AG265" s="19">
        <f t="array" ref="AG265">DIASQUIEBRE(Q265:AB265)</f>
        <v>0</v>
      </c>
      <c r="AH265" s="19">
        <f t="array" ref="AH265">DiasMesesGris(Q265:AB265)</f>
        <v>0</v>
      </c>
      <c r="AI265" s="19">
        <f t="shared" si="29"/>
        <v>0</v>
      </c>
      <c r="AJ265" s="19">
        <f t="shared" si="30"/>
        <v>360</v>
      </c>
      <c r="AK265" s="20">
        <f t="shared" si="26"/>
        <v>97</v>
      </c>
      <c r="AL265" s="21">
        <f t="shared" si="31"/>
        <v>0.26944444444444443</v>
      </c>
    </row>
    <row r="266" spans="1:38" x14ac:dyDescent="0.25">
      <c r="A266" s="1" t="s">
        <v>597</v>
      </c>
      <c r="B266" s="1" t="s">
        <v>596</v>
      </c>
      <c r="C266" s="1"/>
      <c r="D266" s="8">
        <v>4</v>
      </c>
      <c r="E266" s="8">
        <v>5</v>
      </c>
      <c r="F266" s="3"/>
      <c r="G266" s="3"/>
      <c r="H266" s="8">
        <v>4</v>
      </c>
      <c r="I266" s="8">
        <v>19</v>
      </c>
      <c r="J266" s="8">
        <v>12</v>
      </c>
      <c r="K266" s="8">
        <v>14</v>
      </c>
      <c r="L266" s="8">
        <v>16</v>
      </c>
      <c r="M266" s="8">
        <v>1</v>
      </c>
      <c r="N266" s="8">
        <v>18</v>
      </c>
      <c r="O266" s="8">
        <v>9</v>
      </c>
      <c r="P266" s="3"/>
      <c r="Q266" s="4">
        <v>0.129</v>
      </c>
      <c r="R266" s="9">
        <v>1.0204</v>
      </c>
      <c r="S266" s="5">
        <v>0</v>
      </c>
      <c r="T266" s="5">
        <v>0</v>
      </c>
      <c r="U266" s="9">
        <v>8.4000000000000005E-2</v>
      </c>
      <c r="V266" s="4">
        <v>1.0215000000000001</v>
      </c>
      <c r="W266" s="4">
        <v>0.71430000000000005</v>
      </c>
      <c r="X266" s="4">
        <v>0.4516</v>
      </c>
      <c r="Y266" s="4">
        <v>0.63490000000000002</v>
      </c>
      <c r="Z266" s="4">
        <v>3.2300000000000002E-2</v>
      </c>
      <c r="AA266" s="4">
        <v>0.66669999999999996</v>
      </c>
      <c r="AB266" s="4">
        <v>0.2233</v>
      </c>
      <c r="AC266" s="10">
        <v>0</v>
      </c>
      <c r="AD266" s="4">
        <v>0.48420000000000002</v>
      </c>
      <c r="AE266" s="4">
        <f t="shared" si="32"/>
        <v>0.45385000000000003</v>
      </c>
      <c r="AF266" s="1" t="s">
        <v>35</v>
      </c>
      <c r="AG266" s="19">
        <f t="array" ref="AG266">DIASQUIEBRE(Q266:AB266)</f>
        <v>26</v>
      </c>
      <c r="AH266" s="19">
        <f t="array" ref="AH266">DiasMesesGris(Q266:AB266)</f>
        <v>60</v>
      </c>
      <c r="AI266" s="19">
        <f t="shared" si="29"/>
        <v>86</v>
      </c>
      <c r="AJ266" s="19">
        <f t="shared" si="30"/>
        <v>274</v>
      </c>
      <c r="AK266" s="20">
        <f t="shared" si="26"/>
        <v>102</v>
      </c>
      <c r="AL266" s="21">
        <f t="shared" si="31"/>
        <v>0.37226277372262773</v>
      </c>
    </row>
    <row r="267" spans="1:38" x14ac:dyDescent="0.25">
      <c r="A267" s="1" t="s">
        <v>599</v>
      </c>
      <c r="B267" s="1" t="s">
        <v>598</v>
      </c>
      <c r="C267" s="1"/>
      <c r="D267" s="3"/>
      <c r="E267" s="8">
        <v>5</v>
      </c>
      <c r="F267" s="8">
        <v>2</v>
      </c>
      <c r="G267" s="8">
        <v>6</v>
      </c>
      <c r="H267" s="8">
        <v>6</v>
      </c>
      <c r="I267" s="3"/>
      <c r="J267" s="8">
        <v>8</v>
      </c>
      <c r="K267" s="3"/>
      <c r="L267" s="8">
        <v>2</v>
      </c>
      <c r="M267" s="8">
        <v>-5</v>
      </c>
      <c r="N267" s="8">
        <v>13</v>
      </c>
      <c r="O267" s="8">
        <v>2</v>
      </c>
      <c r="P267" s="3"/>
      <c r="Q267" s="4">
        <v>0</v>
      </c>
      <c r="R267" s="4">
        <v>0.23810000000000001</v>
      </c>
      <c r="S267" s="4">
        <v>6.4500000000000002E-2</v>
      </c>
      <c r="T267" s="4">
        <v>0.14710000000000001</v>
      </c>
      <c r="U267" s="4">
        <v>0.1139</v>
      </c>
      <c r="V267" s="4">
        <v>0</v>
      </c>
      <c r="W267" s="4">
        <v>0.47620000000000001</v>
      </c>
      <c r="X267" s="4">
        <v>0</v>
      </c>
      <c r="Y267" s="4">
        <v>7.9399999999999998E-2</v>
      </c>
      <c r="Z267" s="4">
        <v>-0.1613</v>
      </c>
      <c r="AA267" s="4">
        <v>0.48149999999999998</v>
      </c>
      <c r="AB267" s="4">
        <v>4.9599999999999998E-2</v>
      </c>
      <c r="AC267" s="10">
        <v>0</v>
      </c>
      <c r="AD267" s="4">
        <v>0.1241</v>
      </c>
      <c r="AE267" s="4">
        <f t="shared" si="32"/>
        <v>0.15423333333333331</v>
      </c>
      <c r="AF267" s="1" t="s">
        <v>35</v>
      </c>
      <c r="AG267" s="19">
        <f t="array" ref="AG267">DIASQUIEBRE(Q267:AB267)</f>
        <v>0</v>
      </c>
      <c r="AH267" s="19">
        <f t="array" ref="AH267">DiasMesesGris(Q267:AB267)</f>
        <v>0</v>
      </c>
      <c r="AI267" s="19">
        <f t="shared" si="29"/>
        <v>0</v>
      </c>
      <c r="AJ267" s="19">
        <f t="shared" si="30"/>
        <v>360</v>
      </c>
      <c r="AK267" s="20">
        <f t="shared" si="26"/>
        <v>39</v>
      </c>
      <c r="AL267" s="21">
        <f t="shared" si="31"/>
        <v>0.10833333333333334</v>
      </c>
    </row>
    <row r="268" spans="1:38" x14ac:dyDescent="0.25">
      <c r="A268" s="1" t="s">
        <v>601</v>
      </c>
      <c r="B268" s="1" t="s">
        <v>600</v>
      </c>
      <c r="C268" s="1"/>
      <c r="D268" s="3"/>
      <c r="E268" s="8">
        <v>7</v>
      </c>
      <c r="F268" s="8">
        <v>2</v>
      </c>
      <c r="G268" s="8">
        <v>5</v>
      </c>
      <c r="H268" s="8">
        <v>2</v>
      </c>
      <c r="I268" s="3"/>
      <c r="J268" s="8">
        <v>5</v>
      </c>
      <c r="K268" s="8">
        <v>1</v>
      </c>
      <c r="L268" s="8">
        <v>3</v>
      </c>
      <c r="M268" s="8">
        <v>-3</v>
      </c>
      <c r="N268" s="8">
        <v>8</v>
      </c>
      <c r="O268" s="8">
        <v>5</v>
      </c>
      <c r="P268" s="3"/>
      <c r="Q268" s="4">
        <v>0</v>
      </c>
      <c r="R268" s="4">
        <v>0.33329999999999999</v>
      </c>
      <c r="S268" s="4">
        <v>6.4500000000000002E-2</v>
      </c>
      <c r="T268" s="4">
        <v>0.1225</v>
      </c>
      <c r="U268" s="4">
        <v>3.7999999999999999E-2</v>
      </c>
      <c r="V268" s="4">
        <v>0</v>
      </c>
      <c r="W268" s="4">
        <v>0.29759999999999998</v>
      </c>
      <c r="X268" s="4">
        <v>3.2300000000000002E-2</v>
      </c>
      <c r="Y268" s="4">
        <v>0.11899999999999999</v>
      </c>
      <c r="Z268" s="4">
        <v>-9.6799999999999997E-2</v>
      </c>
      <c r="AA268" s="4">
        <v>0.29630000000000001</v>
      </c>
      <c r="AB268" s="4">
        <v>0.1241</v>
      </c>
      <c r="AC268" s="10">
        <v>0</v>
      </c>
      <c r="AD268" s="4">
        <v>0.1109</v>
      </c>
      <c r="AE268" s="4">
        <f t="shared" si="32"/>
        <v>0.12875</v>
      </c>
      <c r="AF268" s="1" t="s">
        <v>35</v>
      </c>
      <c r="AG268" s="19">
        <f t="array" ref="AG268">DIASQUIEBRE(Q268:AB268)</f>
        <v>0</v>
      </c>
      <c r="AH268" s="19">
        <f t="array" ref="AH268">DiasMesesGris(Q268:AB268)</f>
        <v>0</v>
      </c>
      <c r="AI268" s="19">
        <f t="shared" si="29"/>
        <v>0</v>
      </c>
      <c r="AJ268" s="19">
        <f t="shared" si="30"/>
        <v>360</v>
      </c>
      <c r="AK268" s="20">
        <f t="shared" si="26"/>
        <v>35</v>
      </c>
      <c r="AL268" s="21">
        <f t="shared" si="31"/>
        <v>9.7222222222222224E-2</v>
      </c>
    </row>
    <row r="269" spans="1:38" x14ac:dyDescent="0.25">
      <c r="A269" s="1" t="s">
        <v>603</v>
      </c>
      <c r="B269" s="1" t="s">
        <v>602</v>
      </c>
      <c r="C269" s="1"/>
      <c r="D269" s="3"/>
      <c r="E269" s="3"/>
      <c r="F269" s="8">
        <v>2</v>
      </c>
      <c r="G269" s="8">
        <v>1</v>
      </c>
      <c r="H269" s="8">
        <v>2</v>
      </c>
      <c r="I269" s="3"/>
      <c r="J269" s="8">
        <v>5</v>
      </c>
      <c r="K269" s="8">
        <v>1</v>
      </c>
      <c r="L269" s="8">
        <v>2</v>
      </c>
      <c r="M269" s="8">
        <v>-2</v>
      </c>
      <c r="N269" s="8">
        <v>5</v>
      </c>
      <c r="O269" s="8">
        <v>7</v>
      </c>
      <c r="P269" s="3"/>
      <c r="Q269" s="4">
        <v>0</v>
      </c>
      <c r="R269" s="4">
        <v>0</v>
      </c>
      <c r="S269" s="4">
        <v>6.4500000000000002E-2</v>
      </c>
      <c r="T269" s="4">
        <v>2.4500000000000001E-2</v>
      </c>
      <c r="U269" s="4">
        <v>3.7999999999999999E-2</v>
      </c>
      <c r="V269" s="4">
        <v>0</v>
      </c>
      <c r="W269" s="4">
        <v>0.29759999999999998</v>
      </c>
      <c r="X269" s="4">
        <v>3.2300000000000002E-2</v>
      </c>
      <c r="Y269" s="4">
        <v>7.9399999999999998E-2</v>
      </c>
      <c r="Z269" s="4">
        <v>-6.4500000000000002E-2</v>
      </c>
      <c r="AA269" s="4">
        <v>0.1852</v>
      </c>
      <c r="AB269" s="4">
        <v>0.17369999999999999</v>
      </c>
      <c r="AC269" s="10">
        <v>0</v>
      </c>
      <c r="AD269" s="4">
        <v>6.9199999999999998E-2</v>
      </c>
      <c r="AE269" s="4">
        <f t="shared" si="32"/>
        <v>0.11728333333333334</v>
      </c>
      <c r="AF269" s="1" t="s">
        <v>35</v>
      </c>
      <c r="AG269" s="19">
        <f t="array" ref="AG269">DIASQUIEBRE(Q269:AB269)</f>
        <v>0</v>
      </c>
      <c r="AH269" s="19">
        <f t="array" ref="AH269">DiasMesesGris(Q269:AB269)</f>
        <v>0</v>
      </c>
      <c r="AI269" s="19">
        <f t="shared" si="29"/>
        <v>0</v>
      </c>
      <c r="AJ269" s="19">
        <f t="shared" si="30"/>
        <v>360</v>
      </c>
      <c r="AK269" s="20">
        <f t="shared" si="26"/>
        <v>23</v>
      </c>
      <c r="AL269" s="21">
        <f t="shared" si="31"/>
        <v>6.3888888888888884E-2</v>
      </c>
    </row>
    <row r="270" spans="1:38" x14ac:dyDescent="0.25">
      <c r="A270" s="1" t="s">
        <v>605</v>
      </c>
      <c r="B270" s="1" t="s">
        <v>604</v>
      </c>
      <c r="C270" s="1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  <c r="AC270" s="6">
        <v>0</v>
      </c>
      <c r="AE270" s="4">
        <f t="shared" si="32"/>
        <v>0</v>
      </c>
      <c r="AF270" s="1" t="s">
        <v>35</v>
      </c>
      <c r="AG270" s="19">
        <f t="array" ref="AG270">DIASQUIEBRE(Q270:AB270)</f>
        <v>0</v>
      </c>
      <c r="AH270" s="19">
        <f t="array" ref="AH270">DiasMesesGris(Q270:AB270)</f>
        <v>360</v>
      </c>
      <c r="AI270" s="19">
        <f t="shared" si="29"/>
        <v>360</v>
      </c>
      <c r="AJ270" s="19">
        <f t="shared" si="30"/>
        <v>0</v>
      </c>
      <c r="AK270" s="20">
        <f t="shared" si="26"/>
        <v>0</v>
      </c>
      <c r="AL270" s="21">
        <f t="shared" si="31"/>
        <v>0</v>
      </c>
    </row>
    <row r="271" spans="1:38" x14ac:dyDescent="0.25">
      <c r="A271" s="1" t="s">
        <v>611</v>
      </c>
      <c r="B271" s="1" t="s">
        <v>610</v>
      </c>
      <c r="C271" s="1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6">
        <v>0</v>
      </c>
      <c r="AE271" s="4">
        <f t="shared" si="32"/>
        <v>0</v>
      </c>
      <c r="AF271" s="1" t="s">
        <v>35</v>
      </c>
      <c r="AG271" s="19">
        <f t="array" ref="AG271">DIASQUIEBRE(Q271:AB271)</f>
        <v>0</v>
      </c>
      <c r="AH271" s="19">
        <f t="array" ref="AH271">DiasMesesGris(Q271:AB271)</f>
        <v>360</v>
      </c>
      <c r="AI271" s="19">
        <f t="shared" si="29"/>
        <v>360</v>
      </c>
      <c r="AJ271" s="19">
        <f t="shared" si="30"/>
        <v>0</v>
      </c>
      <c r="AK271" s="20">
        <f t="shared" si="26"/>
        <v>0</v>
      </c>
      <c r="AL271" s="21">
        <f t="shared" si="31"/>
        <v>0</v>
      </c>
    </row>
    <row r="272" spans="1:38" x14ac:dyDescent="0.25">
      <c r="A272" s="1" t="s">
        <v>613</v>
      </c>
      <c r="B272" s="1" t="s">
        <v>612</v>
      </c>
      <c r="C272" s="1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6">
        <v>0</v>
      </c>
      <c r="AE272" s="4">
        <f t="shared" si="32"/>
        <v>0</v>
      </c>
      <c r="AF272" s="1" t="s">
        <v>35</v>
      </c>
      <c r="AG272" s="19">
        <f t="array" ref="AG272">DIASQUIEBRE(Q272:AB272)</f>
        <v>0</v>
      </c>
      <c r="AH272" s="19">
        <f t="array" ref="AH272">DiasMesesGris(Q272:AB272)</f>
        <v>360</v>
      </c>
      <c r="AI272" s="19">
        <f t="shared" si="29"/>
        <v>360</v>
      </c>
      <c r="AJ272" s="19">
        <f t="shared" si="30"/>
        <v>0</v>
      </c>
      <c r="AK272" s="20">
        <f t="shared" si="26"/>
        <v>0</v>
      </c>
      <c r="AL272" s="21">
        <f t="shared" si="31"/>
        <v>0</v>
      </c>
    </row>
    <row r="273" spans="1:38" x14ac:dyDescent="0.25">
      <c r="A273" s="1" t="s">
        <v>615</v>
      </c>
      <c r="B273" s="1" t="s">
        <v>614</v>
      </c>
      <c r="C273" s="1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  <c r="AA273" s="5">
        <v>0</v>
      </c>
      <c r="AB273" s="5">
        <v>0</v>
      </c>
      <c r="AC273" s="6">
        <v>0</v>
      </c>
      <c r="AE273" s="4">
        <f t="shared" si="32"/>
        <v>0</v>
      </c>
      <c r="AF273" s="1" t="s">
        <v>35</v>
      </c>
      <c r="AG273" s="19">
        <f t="array" ref="AG273">DIASQUIEBRE(Q273:AB273)</f>
        <v>0</v>
      </c>
      <c r="AH273" s="19">
        <f t="array" ref="AH273">DiasMesesGris(Q273:AB273)</f>
        <v>360</v>
      </c>
      <c r="AI273" s="19">
        <f t="shared" si="29"/>
        <v>360</v>
      </c>
      <c r="AJ273" s="19">
        <f t="shared" si="30"/>
        <v>0</v>
      </c>
      <c r="AK273" s="20">
        <f t="shared" si="26"/>
        <v>0</v>
      </c>
      <c r="AL273" s="21">
        <f t="shared" si="31"/>
        <v>0</v>
      </c>
    </row>
    <row r="274" spans="1:38" x14ac:dyDescent="0.25">
      <c r="A274" s="1" t="s">
        <v>617</v>
      </c>
      <c r="B274" s="1" t="s">
        <v>616</v>
      </c>
      <c r="C274" s="1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6">
        <v>0</v>
      </c>
      <c r="AE274" s="4">
        <f t="shared" si="32"/>
        <v>0</v>
      </c>
      <c r="AF274" s="1" t="s">
        <v>35</v>
      </c>
      <c r="AG274" s="19">
        <f t="array" ref="AG274">DIASQUIEBRE(Q274:AB274)</f>
        <v>0</v>
      </c>
      <c r="AH274" s="19">
        <f t="array" ref="AH274">DiasMesesGris(Q274:AB274)</f>
        <v>360</v>
      </c>
      <c r="AI274" s="19">
        <f t="shared" si="29"/>
        <v>360</v>
      </c>
      <c r="AJ274" s="19">
        <f t="shared" si="30"/>
        <v>0</v>
      </c>
      <c r="AK274" s="20">
        <f t="shared" si="26"/>
        <v>0</v>
      </c>
      <c r="AL274" s="21">
        <f t="shared" si="31"/>
        <v>0</v>
      </c>
    </row>
    <row r="275" spans="1:38" x14ac:dyDescent="0.25">
      <c r="A275" s="1" t="s">
        <v>619</v>
      </c>
      <c r="B275" s="1" t="s">
        <v>618</v>
      </c>
      <c r="C275" s="1"/>
      <c r="D275" s="3"/>
      <c r="E275" s="3"/>
      <c r="F275" s="3"/>
      <c r="G275" s="3"/>
      <c r="H275" s="3"/>
      <c r="I275" s="8">
        <v>2</v>
      </c>
      <c r="J275" s="8">
        <v>5</v>
      </c>
      <c r="K275" s="8">
        <v>8</v>
      </c>
      <c r="L275" s="8">
        <v>13</v>
      </c>
      <c r="M275" s="8">
        <v>4</v>
      </c>
      <c r="N275" s="8">
        <v>8</v>
      </c>
      <c r="O275" s="8">
        <v>10</v>
      </c>
      <c r="P275" s="3"/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9">
        <v>0.1449</v>
      </c>
      <c r="W275" s="4">
        <v>0.29759999999999998</v>
      </c>
      <c r="X275" s="4">
        <v>0.2581</v>
      </c>
      <c r="Y275" s="4">
        <v>0.51590000000000003</v>
      </c>
      <c r="Z275" s="4">
        <v>0.129</v>
      </c>
      <c r="AA275" s="4">
        <v>0.29630000000000001</v>
      </c>
      <c r="AB275" s="4">
        <v>0.24809999999999999</v>
      </c>
      <c r="AC275" s="10">
        <v>0</v>
      </c>
      <c r="AD275" s="4">
        <v>0.2908</v>
      </c>
      <c r="AE275" s="4">
        <f t="shared" si="32"/>
        <v>0.29083333333333333</v>
      </c>
      <c r="AF275" s="1" t="s">
        <v>35</v>
      </c>
      <c r="AG275" s="19">
        <f t="array" ref="AG275">DIASQUIEBRE(Q275:AB275)</f>
        <v>8</v>
      </c>
      <c r="AH275" s="19">
        <f t="array" ref="AH275">DiasMesesGris(Q275:AB275)</f>
        <v>150</v>
      </c>
      <c r="AI275" s="19">
        <f t="shared" si="29"/>
        <v>158</v>
      </c>
      <c r="AJ275" s="19">
        <f t="shared" si="30"/>
        <v>202</v>
      </c>
      <c r="AK275" s="20">
        <f t="shared" si="26"/>
        <v>50</v>
      </c>
      <c r="AL275" s="21">
        <f t="shared" si="31"/>
        <v>0.24752475247524752</v>
      </c>
    </row>
    <row r="276" spans="1:38" x14ac:dyDescent="0.25">
      <c r="A276" s="1" t="s">
        <v>621</v>
      </c>
      <c r="B276" s="1" t="s">
        <v>620</v>
      </c>
      <c r="C276" s="1"/>
      <c r="D276" s="3"/>
      <c r="E276" s="3"/>
      <c r="F276" s="3"/>
      <c r="G276" s="3"/>
      <c r="H276" s="3"/>
      <c r="I276" s="8">
        <v>18</v>
      </c>
      <c r="J276" s="8">
        <v>20</v>
      </c>
      <c r="K276" s="8">
        <v>5</v>
      </c>
      <c r="L276" s="8">
        <v>13</v>
      </c>
      <c r="M276" s="8">
        <v>3</v>
      </c>
      <c r="N276" s="8">
        <v>3</v>
      </c>
      <c r="O276" s="8">
        <v>12</v>
      </c>
      <c r="P276" s="3"/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9">
        <v>1.3043</v>
      </c>
      <c r="W276" s="4">
        <v>1.1904999999999999</v>
      </c>
      <c r="X276" s="4">
        <v>0.1613</v>
      </c>
      <c r="Y276" s="4">
        <v>0.51590000000000003</v>
      </c>
      <c r="Z276" s="4">
        <v>9.6799999999999997E-2</v>
      </c>
      <c r="AA276" s="4">
        <v>0.1111</v>
      </c>
      <c r="AB276" s="4">
        <v>0.29780000000000001</v>
      </c>
      <c r="AC276" s="10">
        <v>0</v>
      </c>
      <c r="AD276" s="4">
        <v>0.39560000000000001</v>
      </c>
      <c r="AE276" s="4">
        <v>0.25</v>
      </c>
      <c r="AF276" s="1" t="s">
        <v>35</v>
      </c>
      <c r="AG276" s="19">
        <f t="array" ref="AG276">DIASQUIEBRE(Q276:AB276)</f>
        <v>8</v>
      </c>
      <c r="AH276" s="19">
        <f t="array" ref="AH276">DiasMesesGris(Q276:AB276)</f>
        <v>150</v>
      </c>
      <c r="AI276" s="19">
        <f t="shared" si="29"/>
        <v>158</v>
      </c>
      <c r="AJ276" s="19">
        <f t="shared" si="30"/>
        <v>202</v>
      </c>
      <c r="AK276" s="20">
        <f t="shared" si="26"/>
        <v>74</v>
      </c>
      <c r="AL276" s="21">
        <f t="shared" si="31"/>
        <v>0.36633663366336633</v>
      </c>
    </row>
    <row r="277" spans="1:38" x14ac:dyDescent="0.25">
      <c r="A277" s="1" t="s">
        <v>623</v>
      </c>
      <c r="B277" s="1" t="s">
        <v>622</v>
      </c>
      <c r="C277" s="1"/>
      <c r="D277" s="3"/>
      <c r="E277" s="3"/>
      <c r="F277" s="3"/>
      <c r="G277" s="3"/>
      <c r="H277" s="3"/>
      <c r="I277" s="8">
        <v>13</v>
      </c>
      <c r="J277" s="8">
        <v>25</v>
      </c>
      <c r="K277" s="8">
        <v>12</v>
      </c>
      <c r="L277" s="8">
        <v>15</v>
      </c>
      <c r="M277" s="8">
        <v>24</v>
      </c>
      <c r="N277" s="8">
        <v>7</v>
      </c>
      <c r="O277" s="8">
        <v>18</v>
      </c>
      <c r="P277" s="8">
        <v>1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9">
        <v>0.94199999999999995</v>
      </c>
      <c r="W277" s="4">
        <v>1.4881</v>
      </c>
      <c r="X277" s="4">
        <v>0.3871</v>
      </c>
      <c r="Y277" s="4">
        <v>0.59519999999999995</v>
      </c>
      <c r="Z277" s="4">
        <v>0.7742</v>
      </c>
      <c r="AA277" s="4">
        <v>0.25929999999999997</v>
      </c>
      <c r="AB277" s="4">
        <v>0.44669999999999999</v>
      </c>
      <c r="AC277" s="10">
        <v>3.2300000000000002E-2</v>
      </c>
      <c r="AD277" s="4">
        <v>0.65839999999999999</v>
      </c>
      <c r="AE277" s="4">
        <v>0.5</v>
      </c>
      <c r="AF277" s="1" t="s">
        <v>35</v>
      </c>
      <c r="AG277" s="19">
        <f t="array" ref="AG277">DIASQUIEBRE(Q277:AB277)</f>
        <v>8</v>
      </c>
      <c r="AH277" s="19">
        <f t="array" ref="AH277">DiasMesesGris(Q277:AB277)</f>
        <v>150</v>
      </c>
      <c r="AI277" s="19">
        <f t="shared" si="29"/>
        <v>158</v>
      </c>
      <c r="AJ277" s="19">
        <f t="shared" si="30"/>
        <v>202</v>
      </c>
      <c r="AK277" s="20">
        <f t="shared" si="26"/>
        <v>114</v>
      </c>
      <c r="AL277" s="21">
        <f t="shared" si="31"/>
        <v>0.5643564356435643</v>
      </c>
    </row>
    <row r="278" spans="1:38" x14ac:dyDescent="0.25">
      <c r="A278" s="1" t="s">
        <v>625</v>
      </c>
      <c r="B278" s="1" t="s">
        <v>624</v>
      </c>
      <c r="C278" s="1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8">
        <v>21</v>
      </c>
      <c r="O278" s="8">
        <v>13</v>
      </c>
      <c r="P278" s="8">
        <v>6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9">
        <v>0</v>
      </c>
      <c r="Z278" s="4">
        <v>0</v>
      </c>
      <c r="AA278" s="4">
        <v>0.77780000000000005</v>
      </c>
      <c r="AB278" s="4">
        <v>0.3226</v>
      </c>
      <c r="AC278" s="10">
        <v>0.19350000000000001</v>
      </c>
      <c r="AD278" s="4">
        <v>0.36680000000000001</v>
      </c>
      <c r="AE278" s="4">
        <f t="shared" ref="AE278:AE291" si="33">AVERAGE(W278:AB278)</f>
        <v>0.18340000000000001</v>
      </c>
      <c r="AF278" s="1" t="s">
        <v>35</v>
      </c>
      <c r="AG278" s="19">
        <f t="array" ref="AG278">DIASQUIEBRE(Q278:AB278)</f>
        <v>29</v>
      </c>
      <c r="AH278" s="19">
        <f t="array" ref="AH278">DiasMesesGris(Q278:AB278)</f>
        <v>240</v>
      </c>
      <c r="AI278" s="19">
        <f t="shared" si="29"/>
        <v>269</v>
      </c>
      <c r="AJ278" s="19">
        <f t="shared" si="30"/>
        <v>91</v>
      </c>
      <c r="AK278" s="20">
        <f t="shared" ref="AK278:AK341" si="34">SUM(D278:O278)</f>
        <v>34</v>
      </c>
      <c r="AL278" s="21">
        <f t="shared" si="31"/>
        <v>0.37362637362637363</v>
      </c>
    </row>
    <row r="279" spans="1:38" x14ac:dyDescent="0.25">
      <c r="A279" s="1" t="s">
        <v>627</v>
      </c>
      <c r="B279" s="1" t="s">
        <v>626</v>
      </c>
      <c r="C279" s="1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C279" s="6">
        <v>0</v>
      </c>
      <c r="AE279" s="4">
        <f t="shared" si="33"/>
        <v>0</v>
      </c>
      <c r="AF279" s="1" t="s">
        <v>35</v>
      </c>
      <c r="AG279" s="19">
        <f t="array" ref="AG279">DIASQUIEBRE(Q279:AB279)</f>
        <v>0</v>
      </c>
      <c r="AH279" s="19">
        <f t="array" ref="AH279">DiasMesesGris(Q279:AB279)</f>
        <v>360</v>
      </c>
      <c r="AI279" s="19">
        <f t="shared" si="29"/>
        <v>360</v>
      </c>
      <c r="AJ279" s="19">
        <f t="shared" si="30"/>
        <v>0</v>
      </c>
      <c r="AK279" s="20">
        <f t="shared" si="34"/>
        <v>0</v>
      </c>
      <c r="AL279" s="21">
        <f t="shared" si="31"/>
        <v>0</v>
      </c>
    </row>
    <row r="280" spans="1:38" x14ac:dyDescent="0.25">
      <c r="A280" s="1" t="s">
        <v>629</v>
      </c>
      <c r="B280" s="1" t="s">
        <v>628</v>
      </c>
      <c r="C280" s="1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6">
        <v>0</v>
      </c>
      <c r="AE280" s="4">
        <f t="shared" si="33"/>
        <v>0</v>
      </c>
      <c r="AF280" s="1" t="s">
        <v>35</v>
      </c>
      <c r="AG280" s="19">
        <f t="array" ref="AG280">DIASQUIEBRE(Q280:AB280)</f>
        <v>0</v>
      </c>
      <c r="AH280" s="19">
        <f t="array" ref="AH280">DiasMesesGris(Q280:AB280)</f>
        <v>360</v>
      </c>
      <c r="AI280" s="19">
        <f t="shared" si="29"/>
        <v>360</v>
      </c>
      <c r="AJ280" s="19">
        <f t="shared" si="30"/>
        <v>0</v>
      </c>
      <c r="AK280" s="20">
        <f t="shared" si="34"/>
        <v>0</v>
      </c>
      <c r="AL280" s="21">
        <f t="shared" si="31"/>
        <v>0</v>
      </c>
    </row>
    <row r="281" spans="1:38" x14ac:dyDescent="0.25">
      <c r="A281" s="1" t="s">
        <v>631</v>
      </c>
      <c r="B281" s="1" t="s">
        <v>630</v>
      </c>
      <c r="C281" s="1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6">
        <v>0</v>
      </c>
      <c r="AE281" s="4">
        <f t="shared" si="33"/>
        <v>0</v>
      </c>
      <c r="AF281" s="1" t="s">
        <v>35</v>
      </c>
      <c r="AG281" s="19">
        <f t="array" ref="AG281">DIASQUIEBRE(Q281:AB281)</f>
        <v>0</v>
      </c>
      <c r="AH281" s="19">
        <f t="array" ref="AH281">DiasMesesGris(Q281:AB281)</f>
        <v>360</v>
      </c>
      <c r="AI281" s="19">
        <f t="shared" si="29"/>
        <v>360</v>
      </c>
      <c r="AJ281" s="19">
        <f t="shared" si="30"/>
        <v>0</v>
      </c>
      <c r="AK281" s="20">
        <f t="shared" si="34"/>
        <v>0</v>
      </c>
      <c r="AL281" s="21">
        <f t="shared" si="31"/>
        <v>0</v>
      </c>
    </row>
    <row r="282" spans="1:38" x14ac:dyDescent="0.25">
      <c r="A282" s="1" t="s">
        <v>633</v>
      </c>
      <c r="B282" s="1" t="s">
        <v>632</v>
      </c>
      <c r="C282" s="1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0</v>
      </c>
      <c r="X282" s="5">
        <v>0</v>
      </c>
      <c r="Y282" s="5">
        <v>0</v>
      </c>
      <c r="Z282" s="5">
        <v>0</v>
      </c>
      <c r="AA282" s="5">
        <v>0</v>
      </c>
      <c r="AB282" s="5">
        <v>0</v>
      </c>
      <c r="AC282" s="6">
        <v>0</v>
      </c>
      <c r="AE282" s="4">
        <f t="shared" si="33"/>
        <v>0</v>
      </c>
      <c r="AF282" s="1" t="s">
        <v>35</v>
      </c>
      <c r="AG282" s="19">
        <f t="array" ref="AG282">DIASQUIEBRE(Q282:AB282)</f>
        <v>0</v>
      </c>
      <c r="AH282" s="19">
        <f t="array" ref="AH282">DiasMesesGris(Q282:AB282)</f>
        <v>360</v>
      </c>
      <c r="AI282" s="19">
        <f t="shared" si="29"/>
        <v>360</v>
      </c>
      <c r="AJ282" s="19">
        <f t="shared" si="30"/>
        <v>0</v>
      </c>
      <c r="AK282" s="20">
        <f t="shared" si="34"/>
        <v>0</v>
      </c>
      <c r="AL282" s="21">
        <f t="shared" si="31"/>
        <v>0</v>
      </c>
    </row>
    <row r="283" spans="1:38" x14ac:dyDescent="0.25">
      <c r="A283" s="1" t="s">
        <v>635</v>
      </c>
      <c r="B283" s="1" t="s">
        <v>634</v>
      </c>
      <c r="C283" s="1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6">
        <v>0</v>
      </c>
      <c r="AE283" s="4">
        <f t="shared" si="33"/>
        <v>0</v>
      </c>
      <c r="AF283" s="1" t="s">
        <v>35</v>
      </c>
      <c r="AG283" s="19">
        <f t="array" ref="AG283">DIASQUIEBRE(Q283:AB283)</f>
        <v>0</v>
      </c>
      <c r="AH283" s="19">
        <f t="array" ref="AH283">DiasMesesGris(Q283:AB283)</f>
        <v>360</v>
      </c>
      <c r="AI283" s="19">
        <f t="shared" si="29"/>
        <v>360</v>
      </c>
      <c r="AJ283" s="19">
        <f t="shared" si="30"/>
        <v>0</v>
      </c>
      <c r="AK283" s="20">
        <f t="shared" si="34"/>
        <v>0</v>
      </c>
      <c r="AL283" s="21">
        <f t="shared" si="31"/>
        <v>0</v>
      </c>
    </row>
    <row r="284" spans="1:38" x14ac:dyDescent="0.25">
      <c r="A284" s="1" t="s">
        <v>637</v>
      </c>
      <c r="B284" s="1" t="s">
        <v>636</v>
      </c>
      <c r="C284" s="1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6">
        <v>0</v>
      </c>
      <c r="AE284" s="4">
        <f t="shared" si="33"/>
        <v>0</v>
      </c>
      <c r="AF284" s="1" t="s">
        <v>35</v>
      </c>
      <c r="AG284" s="19">
        <f t="array" ref="AG284">DIASQUIEBRE(Q284:AB284)</f>
        <v>0</v>
      </c>
      <c r="AH284" s="19">
        <f t="array" ref="AH284">DiasMesesGris(Q284:AB284)</f>
        <v>360</v>
      </c>
      <c r="AI284" s="19">
        <f t="shared" si="29"/>
        <v>360</v>
      </c>
      <c r="AJ284" s="19">
        <f t="shared" si="30"/>
        <v>0</v>
      </c>
      <c r="AK284" s="20">
        <f t="shared" si="34"/>
        <v>0</v>
      </c>
      <c r="AL284" s="21">
        <f t="shared" si="31"/>
        <v>0</v>
      </c>
    </row>
    <row r="285" spans="1:38" x14ac:dyDescent="0.25">
      <c r="A285" s="1" t="s">
        <v>639</v>
      </c>
      <c r="B285" s="1" t="s">
        <v>638</v>
      </c>
      <c r="C285" s="1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5">
        <v>0</v>
      </c>
      <c r="R285" s="5">
        <v>0</v>
      </c>
      <c r="S285" s="5">
        <v>0</v>
      </c>
      <c r="T285" s="5">
        <v>0</v>
      </c>
      <c r="U285" s="5">
        <v>0</v>
      </c>
      <c r="V285" s="5">
        <v>0</v>
      </c>
      <c r="W285" s="5">
        <v>0</v>
      </c>
      <c r="X285" s="5">
        <v>0</v>
      </c>
      <c r="Y285" s="5">
        <v>0</v>
      </c>
      <c r="Z285" s="5">
        <v>0</v>
      </c>
      <c r="AA285" s="5">
        <v>0</v>
      </c>
      <c r="AB285" s="5">
        <v>0</v>
      </c>
      <c r="AC285" s="6">
        <v>0</v>
      </c>
      <c r="AE285" s="4">
        <f t="shared" si="33"/>
        <v>0</v>
      </c>
      <c r="AF285" s="1" t="s">
        <v>35</v>
      </c>
      <c r="AG285" s="19">
        <f t="array" ref="AG285">DIASQUIEBRE(Q285:AB285)</f>
        <v>0</v>
      </c>
      <c r="AH285" s="19">
        <f t="array" ref="AH285">DiasMesesGris(Q285:AB285)</f>
        <v>360</v>
      </c>
      <c r="AI285" s="19">
        <f t="shared" si="29"/>
        <v>360</v>
      </c>
      <c r="AJ285" s="19">
        <f t="shared" si="30"/>
        <v>0</v>
      </c>
      <c r="AK285" s="20">
        <f t="shared" si="34"/>
        <v>0</v>
      </c>
      <c r="AL285" s="21">
        <f t="shared" si="31"/>
        <v>0</v>
      </c>
    </row>
    <row r="286" spans="1:38" x14ac:dyDescent="0.25">
      <c r="A286" s="11" t="s">
        <v>641</v>
      </c>
      <c r="B286" s="1" t="s">
        <v>640</v>
      </c>
      <c r="C286" s="1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0</v>
      </c>
      <c r="Z286" s="5">
        <v>0</v>
      </c>
      <c r="AA286" s="5">
        <v>0</v>
      </c>
      <c r="AB286" s="5">
        <v>0</v>
      </c>
      <c r="AC286" s="6">
        <v>0</v>
      </c>
      <c r="AE286" s="4">
        <f t="shared" si="33"/>
        <v>0</v>
      </c>
      <c r="AF286" s="1" t="s">
        <v>35</v>
      </c>
      <c r="AG286" s="19">
        <f t="array" ref="AG286">DIASQUIEBRE(Q286:AB286)</f>
        <v>0</v>
      </c>
      <c r="AH286" s="19">
        <f t="array" ref="AH286">DiasMesesGris(Q286:AB286)</f>
        <v>360</v>
      </c>
      <c r="AI286" s="19">
        <f t="shared" si="29"/>
        <v>360</v>
      </c>
      <c r="AJ286" s="19">
        <f t="shared" si="30"/>
        <v>0</v>
      </c>
      <c r="AK286" s="20">
        <f t="shared" si="34"/>
        <v>0</v>
      </c>
      <c r="AL286" s="21">
        <f t="shared" si="31"/>
        <v>0</v>
      </c>
    </row>
    <row r="287" spans="1:38" x14ac:dyDescent="0.25">
      <c r="A287" s="11" t="s">
        <v>643</v>
      </c>
      <c r="B287" s="1" t="s">
        <v>642</v>
      </c>
      <c r="C287" s="1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6">
        <v>0</v>
      </c>
      <c r="AE287" s="4">
        <f t="shared" si="33"/>
        <v>0</v>
      </c>
      <c r="AF287" s="1" t="s">
        <v>35</v>
      </c>
      <c r="AG287" s="19">
        <f t="array" ref="AG287">DIASQUIEBRE(Q287:AB287)</f>
        <v>0</v>
      </c>
      <c r="AH287" s="19">
        <f t="array" ref="AH287">DiasMesesGris(Q287:AB287)</f>
        <v>360</v>
      </c>
      <c r="AI287" s="19">
        <f t="shared" si="29"/>
        <v>360</v>
      </c>
      <c r="AJ287" s="19">
        <f t="shared" si="30"/>
        <v>0</v>
      </c>
      <c r="AK287" s="20">
        <f t="shared" si="34"/>
        <v>0</v>
      </c>
      <c r="AL287" s="21">
        <f t="shared" si="31"/>
        <v>0</v>
      </c>
    </row>
    <row r="288" spans="1:38" x14ac:dyDescent="0.25">
      <c r="A288" s="11" t="s">
        <v>645</v>
      </c>
      <c r="B288" s="1" t="s">
        <v>644</v>
      </c>
      <c r="C288" s="1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5">
        <v>0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W288" s="5">
        <v>0</v>
      </c>
      <c r="X288" s="5">
        <v>0</v>
      </c>
      <c r="Y288" s="5">
        <v>0</v>
      </c>
      <c r="Z288" s="5">
        <v>0</v>
      </c>
      <c r="AA288" s="5">
        <v>0</v>
      </c>
      <c r="AB288" s="5">
        <v>0</v>
      </c>
      <c r="AC288" s="6">
        <v>0</v>
      </c>
      <c r="AE288" s="4">
        <f t="shared" si="33"/>
        <v>0</v>
      </c>
      <c r="AF288" s="1" t="s">
        <v>35</v>
      </c>
      <c r="AG288" s="19">
        <f t="array" ref="AG288">DIASQUIEBRE(Q288:AB288)</f>
        <v>0</v>
      </c>
      <c r="AH288" s="19">
        <f t="array" ref="AH288">DiasMesesGris(Q288:AB288)</f>
        <v>360</v>
      </c>
      <c r="AI288" s="19">
        <f t="shared" si="29"/>
        <v>360</v>
      </c>
      <c r="AJ288" s="19">
        <f t="shared" si="30"/>
        <v>0</v>
      </c>
      <c r="AK288" s="20">
        <f t="shared" si="34"/>
        <v>0</v>
      </c>
      <c r="AL288" s="21">
        <f t="shared" si="31"/>
        <v>0</v>
      </c>
    </row>
    <row r="289" spans="1:38" x14ac:dyDescent="0.25">
      <c r="A289" s="1" t="s">
        <v>647</v>
      </c>
      <c r="B289" s="1" t="s">
        <v>646</v>
      </c>
      <c r="C289" s="1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6">
        <v>0</v>
      </c>
      <c r="AE289" s="4">
        <f t="shared" si="33"/>
        <v>0</v>
      </c>
      <c r="AF289" s="1" t="s">
        <v>35</v>
      </c>
      <c r="AG289" s="19">
        <f t="array" ref="AG289">DIASQUIEBRE(Q289:AB289)</f>
        <v>0</v>
      </c>
      <c r="AH289" s="19">
        <f t="array" ref="AH289">DiasMesesGris(Q289:AB289)</f>
        <v>360</v>
      </c>
      <c r="AI289" s="19">
        <f t="shared" si="29"/>
        <v>360</v>
      </c>
      <c r="AJ289" s="19">
        <f t="shared" si="30"/>
        <v>0</v>
      </c>
      <c r="AK289" s="20">
        <f t="shared" si="34"/>
        <v>0</v>
      </c>
      <c r="AL289" s="21">
        <f t="shared" si="31"/>
        <v>0</v>
      </c>
    </row>
    <row r="290" spans="1:38" x14ac:dyDescent="0.25">
      <c r="A290" s="1" t="s">
        <v>649</v>
      </c>
      <c r="B290" s="1" t="s">
        <v>648</v>
      </c>
      <c r="C290" s="1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6">
        <v>0</v>
      </c>
      <c r="AE290" s="4">
        <f t="shared" si="33"/>
        <v>0</v>
      </c>
      <c r="AF290" s="1" t="s">
        <v>35</v>
      </c>
      <c r="AG290" s="19">
        <f t="array" ref="AG290">DIASQUIEBRE(Q290:AB290)</f>
        <v>0</v>
      </c>
      <c r="AH290" s="19">
        <f t="array" ref="AH290">DiasMesesGris(Q290:AB290)</f>
        <v>360</v>
      </c>
      <c r="AI290" s="19">
        <f t="shared" si="29"/>
        <v>360</v>
      </c>
      <c r="AJ290" s="19">
        <f t="shared" si="30"/>
        <v>0</v>
      </c>
      <c r="AK290" s="20">
        <f t="shared" si="34"/>
        <v>0</v>
      </c>
      <c r="AL290" s="21">
        <f t="shared" si="31"/>
        <v>0</v>
      </c>
    </row>
    <row r="291" spans="1:38" x14ac:dyDescent="0.25">
      <c r="A291" s="1" t="s">
        <v>657</v>
      </c>
      <c r="B291" s="1" t="s">
        <v>656</v>
      </c>
      <c r="C291" s="1"/>
      <c r="D291" s="8">
        <v>2</v>
      </c>
      <c r="E291" s="8">
        <v>14</v>
      </c>
      <c r="F291" s="8">
        <v>19</v>
      </c>
      <c r="G291" s="8">
        <v>24</v>
      </c>
      <c r="H291" s="8">
        <v>4</v>
      </c>
      <c r="I291" s="8">
        <v>1</v>
      </c>
      <c r="J291" s="3"/>
      <c r="K291" s="3"/>
      <c r="L291" s="3"/>
      <c r="M291" s="3"/>
      <c r="N291" s="3"/>
      <c r="O291" s="3"/>
      <c r="P291" s="3"/>
      <c r="Q291" s="4">
        <v>6.4500000000000002E-2</v>
      </c>
      <c r="R291" s="4">
        <v>0.66669999999999996</v>
      </c>
      <c r="S291" s="4">
        <v>0.6129</v>
      </c>
      <c r="T291" s="4">
        <v>0.58819999999999995</v>
      </c>
      <c r="U291" s="9">
        <v>0.21390000000000001</v>
      </c>
      <c r="V291" s="9">
        <v>1.6667000000000001</v>
      </c>
      <c r="W291" s="5">
        <v>0</v>
      </c>
      <c r="X291" s="5">
        <v>0</v>
      </c>
      <c r="Y291" s="5">
        <v>0</v>
      </c>
      <c r="Z291" s="5">
        <v>0</v>
      </c>
      <c r="AA291" s="5">
        <v>0</v>
      </c>
      <c r="AB291" s="5">
        <v>0</v>
      </c>
      <c r="AC291" s="6">
        <v>0</v>
      </c>
      <c r="AD291" s="4">
        <v>0.48309999999999997</v>
      </c>
      <c r="AE291" s="4">
        <f t="shared" si="33"/>
        <v>0</v>
      </c>
      <c r="AF291" s="1" t="s">
        <v>32</v>
      </c>
      <c r="AG291" s="19">
        <f t="array" ref="AG291">DIASQUIEBRE(Q291:AB291)</f>
        <v>50</v>
      </c>
      <c r="AH291" s="19">
        <f t="array" ref="AH291">DiasMesesGris(Q291:AB291)</f>
        <v>180</v>
      </c>
      <c r="AI291" s="19">
        <f t="shared" si="29"/>
        <v>230</v>
      </c>
      <c r="AJ291" s="19">
        <f t="shared" si="30"/>
        <v>130</v>
      </c>
      <c r="AK291" s="20">
        <f t="shared" si="34"/>
        <v>64</v>
      </c>
      <c r="AL291" s="21">
        <f t="shared" si="31"/>
        <v>0.49230769230769234</v>
      </c>
    </row>
    <row r="292" spans="1:38" x14ac:dyDescent="0.25">
      <c r="A292" s="1" t="s">
        <v>659</v>
      </c>
      <c r="B292" s="1" t="s">
        <v>658</v>
      </c>
      <c r="C292" s="1"/>
      <c r="D292" s="8">
        <v>2</v>
      </c>
      <c r="E292" s="3"/>
      <c r="F292" s="8">
        <v>17</v>
      </c>
      <c r="G292" s="8">
        <v>5</v>
      </c>
      <c r="H292" s="8">
        <v>2</v>
      </c>
      <c r="I292" s="8">
        <v>8</v>
      </c>
      <c r="J292" s="8">
        <v>8</v>
      </c>
      <c r="K292" s="8">
        <v>3</v>
      </c>
      <c r="L292" s="8">
        <v>8</v>
      </c>
      <c r="M292" s="8">
        <v>1</v>
      </c>
      <c r="N292" s="8">
        <v>15</v>
      </c>
      <c r="O292" s="8">
        <v>1</v>
      </c>
      <c r="P292" s="3"/>
      <c r="Q292" s="4">
        <v>6.4500000000000002E-2</v>
      </c>
      <c r="R292" s="4">
        <v>0</v>
      </c>
      <c r="S292" s="4">
        <v>0.5484</v>
      </c>
      <c r="T292" s="9">
        <v>0.2828</v>
      </c>
      <c r="U292" s="9">
        <v>4.2000000000000003E-2</v>
      </c>
      <c r="V292" s="4">
        <v>0.43009999999999998</v>
      </c>
      <c r="W292" s="4">
        <v>0.47620000000000001</v>
      </c>
      <c r="X292" s="4">
        <v>9.6799999999999997E-2</v>
      </c>
      <c r="Y292" s="4">
        <v>0.3175</v>
      </c>
      <c r="Z292" s="4">
        <v>3.2300000000000002E-2</v>
      </c>
      <c r="AA292" s="9">
        <v>1.8519000000000001</v>
      </c>
      <c r="AB292" s="5">
        <v>0</v>
      </c>
      <c r="AC292" s="6">
        <v>0</v>
      </c>
      <c r="AD292" s="4">
        <v>0.2457</v>
      </c>
      <c r="AE292" s="4">
        <v>0.24</v>
      </c>
      <c r="AF292" s="1" t="s">
        <v>35</v>
      </c>
      <c r="AG292" s="19">
        <f t="array" ref="AG292">DIASQUIEBRE(Q292:AB292)</f>
        <v>41</v>
      </c>
      <c r="AH292" s="19">
        <f t="array" ref="AH292">DiasMesesGris(Q292:AB292)</f>
        <v>30</v>
      </c>
      <c r="AI292" s="19">
        <f t="shared" si="29"/>
        <v>71</v>
      </c>
      <c r="AJ292" s="19">
        <f t="shared" si="30"/>
        <v>289</v>
      </c>
      <c r="AK292" s="20">
        <f t="shared" si="34"/>
        <v>70</v>
      </c>
      <c r="AL292" s="21">
        <f t="shared" si="31"/>
        <v>0.24221453287197231</v>
      </c>
    </row>
    <row r="293" spans="1:38" x14ac:dyDescent="0.25">
      <c r="A293" s="1" t="s">
        <v>607</v>
      </c>
      <c r="B293" s="1" t="s">
        <v>606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  <c r="AC293" s="6">
        <v>0</v>
      </c>
      <c r="AE293" s="4">
        <f>AVERAGE(W293:AB293)</f>
        <v>0</v>
      </c>
      <c r="AF293" s="1" t="s">
        <v>35</v>
      </c>
      <c r="AG293" s="19">
        <f t="array" ref="AG293">DIASQUIEBRE(Q293:AB293)</f>
        <v>0</v>
      </c>
      <c r="AH293" s="19">
        <f t="array" ref="AH293">DiasMesesGris(Q293:AB293)</f>
        <v>360</v>
      </c>
      <c r="AI293" s="19">
        <f t="shared" si="29"/>
        <v>360</v>
      </c>
      <c r="AJ293" s="19">
        <f t="shared" si="30"/>
        <v>0</v>
      </c>
      <c r="AK293" s="20">
        <f t="shared" si="34"/>
        <v>0</v>
      </c>
      <c r="AL293" s="21">
        <f t="shared" si="31"/>
        <v>0</v>
      </c>
    </row>
    <row r="294" spans="1:38" x14ac:dyDescent="0.25">
      <c r="A294" s="1" t="s">
        <v>609</v>
      </c>
      <c r="B294" s="1" t="s">
        <v>608</v>
      </c>
      <c r="C294" s="1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5">
        <v>0</v>
      </c>
      <c r="R294" s="5">
        <v>0</v>
      </c>
      <c r="S294" s="5">
        <v>0</v>
      </c>
      <c r="T294" s="5">
        <v>0</v>
      </c>
      <c r="U294" s="5">
        <v>0</v>
      </c>
      <c r="V294" s="5">
        <v>0</v>
      </c>
      <c r="W294" s="5">
        <v>0</v>
      </c>
      <c r="X294" s="5">
        <v>0</v>
      </c>
      <c r="Y294" s="5">
        <v>0</v>
      </c>
      <c r="Z294" s="5">
        <v>0</v>
      </c>
      <c r="AA294" s="5">
        <v>0</v>
      </c>
      <c r="AB294" s="5">
        <v>0</v>
      </c>
      <c r="AC294" s="6">
        <v>0</v>
      </c>
      <c r="AE294" s="4">
        <f>AVERAGE(W294:AB294)</f>
        <v>0</v>
      </c>
      <c r="AF294" s="1" t="s">
        <v>35</v>
      </c>
      <c r="AG294" s="19">
        <f t="array" ref="AG294">DIASQUIEBRE(Q294:AB294)</f>
        <v>0</v>
      </c>
      <c r="AH294" s="19">
        <f t="array" ref="AH294">DiasMesesGris(Q294:AB294)</f>
        <v>360</v>
      </c>
      <c r="AI294" s="19">
        <f t="shared" si="29"/>
        <v>360</v>
      </c>
      <c r="AJ294" s="19">
        <f t="shared" si="30"/>
        <v>0</v>
      </c>
      <c r="AK294" s="20">
        <f t="shared" si="34"/>
        <v>0</v>
      </c>
      <c r="AL294" s="21">
        <f t="shared" si="31"/>
        <v>0</v>
      </c>
    </row>
    <row r="295" spans="1:38" x14ac:dyDescent="0.25">
      <c r="A295" s="1" t="s">
        <v>661</v>
      </c>
      <c r="B295" s="1" t="s">
        <v>660</v>
      </c>
      <c r="C295" s="1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  <c r="AC295" s="6">
        <v>0</v>
      </c>
      <c r="AE295" s="4">
        <f>AVERAGE(W295:AB295)</f>
        <v>0</v>
      </c>
      <c r="AF295" s="1" t="s">
        <v>35</v>
      </c>
      <c r="AG295" s="19">
        <f t="array" ref="AG295">DIASQUIEBRE(Q295:AB295)</f>
        <v>0</v>
      </c>
      <c r="AH295" s="19">
        <f t="array" ref="AH295">DiasMesesGris(Q295:AB295)</f>
        <v>360</v>
      </c>
      <c r="AI295" s="19">
        <f t="shared" si="29"/>
        <v>360</v>
      </c>
      <c r="AJ295" s="19">
        <f t="shared" si="30"/>
        <v>0</v>
      </c>
      <c r="AK295" s="20">
        <f t="shared" si="34"/>
        <v>0</v>
      </c>
      <c r="AL295" s="21">
        <f t="shared" si="31"/>
        <v>0</v>
      </c>
    </row>
    <row r="296" spans="1:38" x14ac:dyDescent="0.25">
      <c r="AE296" s="4" t="e">
        <f>AVERAGE(W296:AB296)</f>
        <v>#DIV/0!</v>
      </c>
      <c r="AG296" s="19">
        <f t="array" ref="AG296">DIASQUIEBRE(Q296:AB296)</f>
        <v>0</v>
      </c>
      <c r="AH296" s="19">
        <f t="array" ref="AH296">DiasMesesGris(Q296:AB296)</f>
        <v>0</v>
      </c>
      <c r="AI296" s="19">
        <f t="shared" si="29"/>
        <v>0</v>
      </c>
      <c r="AJ296" s="19">
        <f t="shared" si="30"/>
        <v>360</v>
      </c>
      <c r="AK296" s="20">
        <f t="shared" si="34"/>
        <v>0</v>
      </c>
      <c r="AL296" s="21">
        <f t="shared" si="31"/>
        <v>0</v>
      </c>
    </row>
    <row r="297" spans="1:38" x14ac:dyDescent="0.25">
      <c r="AG297" s="19">
        <f t="array" ref="AG297">DIASQUIEBRE(Q297:AB297)</f>
        <v>0</v>
      </c>
      <c r="AH297" s="19">
        <f t="array" ref="AH297">DiasMesesGris(Q297:AB297)</f>
        <v>0</v>
      </c>
      <c r="AI297" s="19">
        <f t="shared" si="29"/>
        <v>0</v>
      </c>
      <c r="AJ297" s="19">
        <f t="shared" si="30"/>
        <v>360</v>
      </c>
      <c r="AK297" s="20">
        <f t="shared" si="34"/>
        <v>0</v>
      </c>
      <c r="AL297" s="21">
        <f t="shared" si="31"/>
        <v>0</v>
      </c>
    </row>
    <row r="298" spans="1:38" x14ac:dyDescent="0.25">
      <c r="AG298" s="19">
        <f t="array" ref="AG298">DIASQUIEBRE(Q298:AB298)</f>
        <v>0</v>
      </c>
      <c r="AH298" s="19">
        <f t="array" ref="AH298">DiasMesesGris(Q298:AB298)</f>
        <v>0</v>
      </c>
      <c r="AI298" s="19">
        <f t="shared" si="29"/>
        <v>0</v>
      </c>
      <c r="AJ298" s="19">
        <f t="shared" si="30"/>
        <v>360</v>
      </c>
      <c r="AK298" s="20">
        <f t="shared" si="34"/>
        <v>0</v>
      </c>
      <c r="AL298" s="21">
        <f t="shared" si="31"/>
        <v>0</v>
      </c>
    </row>
    <row r="299" spans="1:38" x14ac:dyDescent="0.25">
      <c r="AG299" s="19">
        <f t="array" ref="AG299">DIASQUIEBRE(Q299:AB299)</f>
        <v>0</v>
      </c>
      <c r="AH299" s="19">
        <f t="array" ref="AH299">DiasMesesGris(Q299:AB299)</f>
        <v>0</v>
      </c>
      <c r="AI299" s="19">
        <f t="shared" si="29"/>
        <v>0</v>
      </c>
      <c r="AJ299" s="19">
        <f t="shared" si="30"/>
        <v>360</v>
      </c>
      <c r="AK299" s="20">
        <f t="shared" si="34"/>
        <v>0</v>
      </c>
      <c r="AL299" s="21">
        <f t="shared" si="31"/>
        <v>0</v>
      </c>
    </row>
    <row r="300" spans="1:38" x14ac:dyDescent="0.25">
      <c r="AG300" s="19">
        <f t="array" ref="AG300">DIASQUIEBRE(Q300:AB300)</f>
        <v>0</v>
      </c>
      <c r="AH300" s="19">
        <f t="array" ref="AH300">DiasMesesGris(Q300:AB300)</f>
        <v>0</v>
      </c>
      <c r="AI300" s="19">
        <f t="shared" si="29"/>
        <v>0</v>
      </c>
      <c r="AJ300" s="19">
        <f t="shared" si="30"/>
        <v>360</v>
      </c>
      <c r="AK300" s="20">
        <f t="shared" si="34"/>
        <v>0</v>
      </c>
      <c r="AL300" s="21">
        <f t="shared" si="31"/>
        <v>0</v>
      </c>
    </row>
    <row r="301" spans="1:38" x14ac:dyDescent="0.25">
      <c r="AG301" s="19">
        <f t="array" ref="AG301">DIASQUIEBRE(Q301:AB301)</f>
        <v>0</v>
      </c>
      <c r="AH301" s="19">
        <f t="array" ref="AH301">DiasMesesGris(Q301:AB301)</f>
        <v>0</v>
      </c>
      <c r="AI301" s="19">
        <f t="shared" si="29"/>
        <v>0</v>
      </c>
      <c r="AJ301" s="19">
        <f t="shared" si="30"/>
        <v>360</v>
      </c>
      <c r="AK301" s="20">
        <f t="shared" si="34"/>
        <v>0</v>
      </c>
      <c r="AL301" s="21">
        <f t="shared" si="31"/>
        <v>0</v>
      </c>
    </row>
    <row r="302" spans="1:38" x14ac:dyDescent="0.25">
      <c r="AG302" s="19">
        <f t="array" ref="AG302">DIASQUIEBRE(Q302:AB302)</f>
        <v>0</v>
      </c>
      <c r="AH302" s="19">
        <f t="array" ref="AH302">DiasMesesGris(Q302:AB302)</f>
        <v>0</v>
      </c>
      <c r="AI302" s="19">
        <f t="shared" si="29"/>
        <v>0</v>
      </c>
      <c r="AJ302" s="19">
        <f t="shared" si="30"/>
        <v>360</v>
      </c>
      <c r="AK302" s="20">
        <f t="shared" si="34"/>
        <v>0</v>
      </c>
      <c r="AL302" s="21">
        <f t="shared" si="31"/>
        <v>0</v>
      </c>
    </row>
    <row r="303" spans="1:38" x14ac:dyDescent="0.25">
      <c r="AG303" s="19">
        <f t="array" ref="AG303">DIASQUIEBRE(Q303:AB303)</f>
        <v>0</v>
      </c>
      <c r="AH303" s="19">
        <f t="array" ref="AH303">DiasMesesGris(Q303:AB303)</f>
        <v>0</v>
      </c>
      <c r="AI303" s="19">
        <f t="shared" si="29"/>
        <v>0</v>
      </c>
      <c r="AJ303" s="19">
        <f t="shared" si="30"/>
        <v>360</v>
      </c>
      <c r="AK303" s="20">
        <f t="shared" si="34"/>
        <v>0</v>
      </c>
      <c r="AL303" s="21">
        <f t="shared" si="31"/>
        <v>0</v>
      </c>
    </row>
    <row r="304" spans="1:38" x14ac:dyDescent="0.25">
      <c r="AG304" s="19">
        <f t="array" ref="AG304">DIASQUIEBRE(Q304:AB304)</f>
        <v>0</v>
      </c>
      <c r="AH304" s="19">
        <f t="array" ref="AH304">DiasMesesGris(Q304:AB304)</f>
        <v>0</v>
      </c>
      <c r="AI304" s="19">
        <f t="shared" si="29"/>
        <v>0</v>
      </c>
      <c r="AJ304" s="19">
        <f t="shared" si="30"/>
        <v>360</v>
      </c>
      <c r="AK304" s="20">
        <f t="shared" si="34"/>
        <v>0</v>
      </c>
      <c r="AL304" s="21">
        <f t="shared" si="31"/>
        <v>0</v>
      </c>
    </row>
    <row r="305" spans="33:38" x14ac:dyDescent="0.25">
      <c r="AG305" s="19">
        <f t="array" ref="AG305">DIASQUIEBRE(Q305:AB305)</f>
        <v>0</v>
      </c>
      <c r="AH305" s="19">
        <f t="array" ref="AH305">DiasMesesGris(Q305:AB305)</f>
        <v>0</v>
      </c>
      <c r="AI305" s="19">
        <f t="shared" si="29"/>
        <v>0</v>
      </c>
      <c r="AJ305" s="19">
        <f t="shared" si="30"/>
        <v>360</v>
      </c>
      <c r="AK305" s="20">
        <f t="shared" si="34"/>
        <v>0</v>
      </c>
      <c r="AL305" s="21">
        <f t="shared" si="31"/>
        <v>0</v>
      </c>
    </row>
    <row r="306" spans="33:38" x14ac:dyDescent="0.25">
      <c r="AG306" s="19">
        <f t="array" ref="AG306">DIASQUIEBRE(Q306:AB306)</f>
        <v>0</v>
      </c>
      <c r="AH306" s="19">
        <f t="array" ref="AH306">DiasMesesGris(Q306:AB306)</f>
        <v>0</v>
      </c>
      <c r="AI306" s="19">
        <f t="shared" si="29"/>
        <v>0</v>
      </c>
      <c r="AJ306" s="19">
        <f t="shared" si="30"/>
        <v>360</v>
      </c>
      <c r="AK306" s="20">
        <f t="shared" si="34"/>
        <v>0</v>
      </c>
      <c r="AL306" s="21">
        <f t="shared" si="31"/>
        <v>0</v>
      </c>
    </row>
    <row r="307" spans="33:38" x14ac:dyDescent="0.25">
      <c r="AG307" s="19">
        <f t="array" ref="AG307">DIASQUIEBRE(Q307:AB307)</f>
        <v>0</v>
      </c>
      <c r="AH307" s="19">
        <f t="array" ref="AH307">DiasMesesGris(Q307:AB307)</f>
        <v>0</v>
      </c>
      <c r="AI307" s="19">
        <f t="shared" si="29"/>
        <v>0</v>
      </c>
      <c r="AJ307" s="19">
        <f t="shared" si="30"/>
        <v>360</v>
      </c>
      <c r="AK307" s="20">
        <f t="shared" si="34"/>
        <v>0</v>
      </c>
      <c r="AL307" s="21">
        <f t="shared" si="31"/>
        <v>0</v>
      </c>
    </row>
    <row r="308" spans="33:38" x14ac:dyDescent="0.25">
      <c r="AG308" s="19">
        <f t="array" ref="AG308">DIASQUIEBRE(Q308:AB308)</f>
        <v>0</v>
      </c>
      <c r="AH308" s="19">
        <f t="array" ref="AH308">DiasMesesGris(Q308:AB308)</f>
        <v>0</v>
      </c>
      <c r="AI308" s="19">
        <f t="shared" si="29"/>
        <v>0</v>
      </c>
      <c r="AJ308" s="19">
        <f t="shared" si="30"/>
        <v>360</v>
      </c>
      <c r="AK308" s="20">
        <f t="shared" si="34"/>
        <v>0</v>
      </c>
      <c r="AL308" s="21">
        <f t="shared" si="31"/>
        <v>0</v>
      </c>
    </row>
    <row r="309" spans="33:38" x14ac:dyDescent="0.25">
      <c r="AG309" s="19">
        <f t="array" ref="AG309">DIASQUIEBRE(Q309:AB309)</f>
        <v>0</v>
      </c>
      <c r="AH309" s="19">
        <f t="array" ref="AH309">DiasMesesGris(Q309:AB309)</f>
        <v>0</v>
      </c>
      <c r="AI309" s="19">
        <f t="shared" si="29"/>
        <v>0</v>
      </c>
      <c r="AJ309" s="19">
        <f t="shared" si="30"/>
        <v>360</v>
      </c>
      <c r="AK309" s="20">
        <f t="shared" si="34"/>
        <v>0</v>
      </c>
      <c r="AL309" s="21">
        <f t="shared" si="31"/>
        <v>0</v>
      </c>
    </row>
    <row r="310" spans="33:38" x14ac:dyDescent="0.25">
      <c r="AG310" s="19">
        <f t="array" ref="AG310">DIASQUIEBRE(Q310:AB310)</f>
        <v>0</v>
      </c>
      <c r="AH310" s="19">
        <f t="array" ref="AH310">DiasMesesGris(Q310:AB310)</f>
        <v>0</v>
      </c>
      <c r="AI310" s="19">
        <f t="shared" si="29"/>
        <v>0</v>
      </c>
      <c r="AJ310" s="19">
        <f t="shared" si="30"/>
        <v>360</v>
      </c>
      <c r="AK310" s="20">
        <f t="shared" si="34"/>
        <v>0</v>
      </c>
      <c r="AL310" s="21">
        <f t="shared" si="31"/>
        <v>0</v>
      </c>
    </row>
    <row r="311" spans="33:38" x14ac:dyDescent="0.25">
      <c r="AG311" s="19">
        <f t="array" ref="AG311">DIASQUIEBRE(Q311:AB311)</f>
        <v>0</v>
      </c>
      <c r="AH311" s="19">
        <f t="array" ref="AH311">DiasMesesGris(Q311:AB311)</f>
        <v>0</v>
      </c>
      <c r="AI311" s="19">
        <f t="shared" si="29"/>
        <v>0</v>
      </c>
      <c r="AJ311" s="19">
        <f t="shared" si="30"/>
        <v>360</v>
      </c>
      <c r="AK311" s="20">
        <f t="shared" si="34"/>
        <v>0</v>
      </c>
      <c r="AL311" s="21">
        <f t="shared" si="31"/>
        <v>0</v>
      </c>
    </row>
    <row r="312" spans="33:38" x14ac:dyDescent="0.25">
      <c r="AG312" s="19">
        <f t="array" ref="AG312">DIASQUIEBRE(Q312:AB312)</f>
        <v>0</v>
      </c>
      <c r="AH312" s="19">
        <f t="array" ref="AH312">DiasMesesGris(Q312:AB312)</f>
        <v>0</v>
      </c>
      <c r="AI312" s="19">
        <f t="shared" si="29"/>
        <v>0</v>
      </c>
      <c r="AJ312" s="19">
        <f t="shared" si="30"/>
        <v>360</v>
      </c>
      <c r="AK312" s="20">
        <f t="shared" si="34"/>
        <v>0</v>
      </c>
      <c r="AL312" s="21">
        <f t="shared" si="31"/>
        <v>0</v>
      </c>
    </row>
    <row r="313" spans="33:38" x14ac:dyDescent="0.25">
      <c r="AG313" s="19">
        <f t="array" ref="AG313">DIASQUIEBRE(Q313:AB313)</f>
        <v>0</v>
      </c>
      <c r="AH313" s="19">
        <f t="array" ref="AH313">DiasMesesGris(Q313:AB313)</f>
        <v>0</v>
      </c>
      <c r="AI313" s="19">
        <f t="shared" si="29"/>
        <v>0</v>
      </c>
      <c r="AJ313" s="19">
        <f t="shared" si="30"/>
        <v>360</v>
      </c>
      <c r="AK313" s="20">
        <f t="shared" si="34"/>
        <v>0</v>
      </c>
      <c r="AL313" s="21">
        <f t="shared" si="31"/>
        <v>0</v>
      </c>
    </row>
    <row r="314" spans="33:38" x14ac:dyDescent="0.25">
      <c r="AG314" s="19">
        <f t="array" ref="AG314">DIASQUIEBRE(Q314:AB314)</f>
        <v>0</v>
      </c>
      <c r="AH314" s="19">
        <f t="array" ref="AH314">DiasMesesGris(Q314:AB314)</f>
        <v>0</v>
      </c>
      <c r="AI314" s="19">
        <f t="shared" si="29"/>
        <v>0</v>
      </c>
      <c r="AJ314" s="19">
        <f t="shared" si="30"/>
        <v>360</v>
      </c>
      <c r="AK314" s="20">
        <f t="shared" si="34"/>
        <v>0</v>
      </c>
      <c r="AL314" s="21">
        <f t="shared" si="31"/>
        <v>0</v>
      </c>
    </row>
    <row r="315" spans="33:38" x14ac:dyDescent="0.25">
      <c r="AG315" s="19">
        <f t="array" ref="AG315">DIASQUIEBRE(Q315:AB315)</f>
        <v>0</v>
      </c>
      <c r="AH315" s="19">
        <f t="array" ref="AH315">DiasMesesGris(Q315:AB315)</f>
        <v>0</v>
      </c>
      <c r="AI315" s="19">
        <f t="shared" si="29"/>
        <v>0</v>
      </c>
      <c r="AJ315" s="19">
        <f t="shared" si="30"/>
        <v>360</v>
      </c>
      <c r="AK315" s="20">
        <f t="shared" si="34"/>
        <v>0</v>
      </c>
      <c r="AL315" s="21">
        <f t="shared" si="31"/>
        <v>0</v>
      </c>
    </row>
    <row r="316" spans="33:38" x14ac:dyDescent="0.25">
      <c r="AG316" s="19">
        <f t="array" ref="AG316">DIASQUIEBRE(Q316:AB316)</f>
        <v>0</v>
      </c>
      <c r="AH316" s="19">
        <f t="array" ref="AH316">DiasMesesGris(Q316:AB316)</f>
        <v>0</v>
      </c>
      <c r="AI316" s="19">
        <f t="shared" si="29"/>
        <v>0</v>
      </c>
      <c r="AJ316" s="19">
        <f t="shared" si="30"/>
        <v>360</v>
      </c>
      <c r="AK316" s="20">
        <f t="shared" si="34"/>
        <v>0</v>
      </c>
      <c r="AL316" s="21">
        <f t="shared" si="31"/>
        <v>0</v>
      </c>
    </row>
    <row r="317" spans="33:38" x14ac:dyDescent="0.25">
      <c r="AG317" s="19">
        <f t="array" ref="AG317">DIASQUIEBRE(Q317:AB317)</f>
        <v>0</v>
      </c>
      <c r="AH317" s="19">
        <f t="array" ref="AH317">DiasMesesGris(Q317:AB317)</f>
        <v>0</v>
      </c>
      <c r="AI317" s="19">
        <f t="shared" si="29"/>
        <v>0</v>
      </c>
      <c r="AJ317" s="19">
        <f t="shared" si="30"/>
        <v>360</v>
      </c>
      <c r="AK317" s="20">
        <f t="shared" si="34"/>
        <v>0</v>
      </c>
      <c r="AL317" s="21">
        <f t="shared" si="31"/>
        <v>0</v>
      </c>
    </row>
    <row r="318" spans="33:38" x14ac:dyDescent="0.25">
      <c r="AG318" s="19">
        <f t="array" ref="AG318">DIASQUIEBRE(Q318:AB318)</f>
        <v>0</v>
      </c>
      <c r="AH318" s="19">
        <f t="array" ref="AH318">DiasMesesGris(Q318:AB318)</f>
        <v>0</v>
      </c>
      <c r="AI318" s="19">
        <f t="shared" si="29"/>
        <v>0</v>
      </c>
      <c r="AJ318" s="19">
        <f t="shared" si="30"/>
        <v>360</v>
      </c>
      <c r="AK318" s="20">
        <f t="shared" si="34"/>
        <v>0</v>
      </c>
      <c r="AL318" s="21">
        <f t="shared" si="31"/>
        <v>0</v>
      </c>
    </row>
    <row r="319" spans="33:38" x14ac:dyDescent="0.25">
      <c r="AG319" s="19">
        <f t="array" ref="AG319">DIASQUIEBRE(Q319:AB319)</f>
        <v>0</v>
      </c>
      <c r="AH319" s="19">
        <f t="array" ref="AH319">DiasMesesGris(Q319:AB319)</f>
        <v>0</v>
      </c>
      <c r="AI319" s="19">
        <f t="shared" si="29"/>
        <v>0</v>
      </c>
      <c r="AJ319" s="19">
        <f t="shared" si="30"/>
        <v>360</v>
      </c>
      <c r="AK319" s="20">
        <f t="shared" si="34"/>
        <v>0</v>
      </c>
      <c r="AL319" s="21">
        <f t="shared" si="31"/>
        <v>0</v>
      </c>
    </row>
    <row r="320" spans="33:38" x14ac:dyDescent="0.25">
      <c r="AG320" s="19">
        <f t="array" ref="AG320">DIASQUIEBRE(Q320:AB320)</f>
        <v>0</v>
      </c>
      <c r="AH320" s="19">
        <f t="array" ref="AH320">DiasMesesGris(Q320:AB320)</f>
        <v>0</v>
      </c>
      <c r="AI320" s="19">
        <f t="shared" si="29"/>
        <v>0</v>
      </c>
      <c r="AJ320" s="19">
        <f t="shared" si="30"/>
        <v>360</v>
      </c>
      <c r="AK320" s="20">
        <f t="shared" si="34"/>
        <v>0</v>
      </c>
      <c r="AL320" s="21">
        <f t="shared" si="31"/>
        <v>0</v>
      </c>
    </row>
    <row r="321" spans="33:38" x14ac:dyDescent="0.25">
      <c r="AG321" s="19">
        <f t="array" ref="AG321">DIASQUIEBRE(Q321:AB321)</f>
        <v>0</v>
      </c>
      <c r="AH321" s="19">
        <f t="array" ref="AH321">DiasMesesGris(Q321:AB321)</f>
        <v>0</v>
      </c>
      <c r="AI321" s="19">
        <f t="shared" si="29"/>
        <v>0</v>
      </c>
      <c r="AJ321" s="19">
        <f t="shared" si="30"/>
        <v>360</v>
      </c>
      <c r="AK321" s="20">
        <f t="shared" si="34"/>
        <v>0</v>
      </c>
      <c r="AL321" s="21">
        <f t="shared" si="31"/>
        <v>0</v>
      </c>
    </row>
    <row r="322" spans="33:38" x14ac:dyDescent="0.25">
      <c r="AG322" s="19">
        <f t="array" ref="AG322">DIASQUIEBRE(Q322:AB322)</f>
        <v>0</v>
      </c>
      <c r="AH322" s="19">
        <f t="array" ref="AH322">DiasMesesGris(Q322:AB322)</f>
        <v>0</v>
      </c>
      <c r="AI322" s="19">
        <f t="shared" ref="AI322:AI385" si="35">AG322+AH322</f>
        <v>0</v>
      </c>
      <c r="AJ322" s="19">
        <f t="shared" ref="AJ322:AJ385" si="36">360-AI322</f>
        <v>360</v>
      </c>
      <c r="AK322" s="20">
        <f t="shared" si="34"/>
        <v>0</v>
      </c>
      <c r="AL322" s="21">
        <f t="shared" ref="AL322:AL385" si="37">IFERROR(AK322/AJ322,0)</f>
        <v>0</v>
      </c>
    </row>
    <row r="323" spans="33:38" x14ac:dyDescent="0.25">
      <c r="AG323" s="19">
        <f t="array" ref="AG323">DIASQUIEBRE(Q323:AB323)</f>
        <v>0</v>
      </c>
      <c r="AH323" s="19">
        <f t="array" ref="AH323">DiasMesesGris(Q323:AB323)</f>
        <v>0</v>
      </c>
      <c r="AI323" s="19">
        <f t="shared" si="35"/>
        <v>0</v>
      </c>
      <c r="AJ323" s="19">
        <f t="shared" si="36"/>
        <v>360</v>
      </c>
      <c r="AK323" s="20">
        <f t="shared" si="34"/>
        <v>0</v>
      </c>
      <c r="AL323" s="21">
        <f t="shared" si="37"/>
        <v>0</v>
      </c>
    </row>
    <row r="324" spans="33:38" x14ac:dyDescent="0.25">
      <c r="AG324" s="19">
        <f t="array" ref="AG324">DIASQUIEBRE(Q324:AB324)</f>
        <v>0</v>
      </c>
      <c r="AH324" s="19">
        <f t="array" ref="AH324">DiasMesesGris(Q324:AB324)</f>
        <v>0</v>
      </c>
      <c r="AI324" s="19">
        <f t="shared" si="35"/>
        <v>0</v>
      </c>
      <c r="AJ324" s="19">
        <f t="shared" si="36"/>
        <v>360</v>
      </c>
      <c r="AK324" s="20">
        <f t="shared" si="34"/>
        <v>0</v>
      </c>
      <c r="AL324" s="21">
        <f t="shared" si="37"/>
        <v>0</v>
      </c>
    </row>
    <row r="325" spans="33:38" x14ac:dyDescent="0.25">
      <c r="AG325" s="19">
        <f t="array" ref="AG325">DIASQUIEBRE(Q325:AB325)</f>
        <v>0</v>
      </c>
      <c r="AH325" s="19">
        <f t="array" ref="AH325">DiasMesesGris(Q325:AB325)</f>
        <v>0</v>
      </c>
      <c r="AI325" s="19">
        <f t="shared" si="35"/>
        <v>0</v>
      </c>
      <c r="AJ325" s="19">
        <f t="shared" si="36"/>
        <v>360</v>
      </c>
      <c r="AK325" s="20">
        <f t="shared" si="34"/>
        <v>0</v>
      </c>
      <c r="AL325" s="21">
        <f t="shared" si="37"/>
        <v>0</v>
      </c>
    </row>
    <row r="326" spans="33:38" x14ac:dyDescent="0.25">
      <c r="AG326" s="19">
        <f t="array" ref="AG326">DIASQUIEBRE(Q326:AB326)</f>
        <v>0</v>
      </c>
      <c r="AH326" s="19">
        <f t="array" ref="AH326">DiasMesesGris(Q326:AB326)</f>
        <v>0</v>
      </c>
      <c r="AI326" s="19">
        <f t="shared" si="35"/>
        <v>0</v>
      </c>
      <c r="AJ326" s="19">
        <f t="shared" si="36"/>
        <v>360</v>
      </c>
      <c r="AK326" s="20">
        <f t="shared" si="34"/>
        <v>0</v>
      </c>
      <c r="AL326" s="21">
        <f t="shared" si="37"/>
        <v>0</v>
      </c>
    </row>
    <row r="327" spans="33:38" x14ac:dyDescent="0.25">
      <c r="AG327" s="19">
        <f t="array" ref="AG327">DIASQUIEBRE(Q327:AB327)</f>
        <v>0</v>
      </c>
      <c r="AH327" s="19">
        <f t="array" ref="AH327">DiasMesesGris(Q327:AB327)</f>
        <v>0</v>
      </c>
      <c r="AI327" s="19">
        <f t="shared" si="35"/>
        <v>0</v>
      </c>
      <c r="AJ327" s="19">
        <f t="shared" si="36"/>
        <v>360</v>
      </c>
      <c r="AK327" s="20">
        <f t="shared" si="34"/>
        <v>0</v>
      </c>
      <c r="AL327" s="21">
        <f t="shared" si="37"/>
        <v>0</v>
      </c>
    </row>
    <row r="328" spans="33:38" x14ac:dyDescent="0.25">
      <c r="AG328" s="19">
        <f t="array" ref="AG328">DIASQUIEBRE(Q328:AB328)</f>
        <v>0</v>
      </c>
      <c r="AH328" s="19">
        <f t="array" ref="AH328">DiasMesesGris(Q328:AB328)</f>
        <v>0</v>
      </c>
      <c r="AI328" s="19">
        <f t="shared" si="35"/>
        <v>0</v>
      </c>
      <c r="AJ328" s="19">
        <f t="shared" si="36"/>
        <v>360</v>
      </c>
      <c r="AK328" s="20">
        <f t="shared" si="34"/>
        <v>0</v>
      </c>
      <c r="AL328" s="21">
        <f t="shared" si="37"/>
        <v>0</v>
      </c>
    </row>
    <row r="329" spans="33:38" x14ac:dyDescent="0.25">
      <c r="AG329" s="19">
        <f t="array" ref="AG329">DIASQUIEBRE(Q329:AB329)</f>
        <v>0</v>
      </c>
      <c r="AH329" s="19">
        <f t="array" ref="AH329">DiasMesesGris(Q329:AB329)</f>
        <v>0</v>
      </c>
      <c r="AI329" s="19">
        <f t="shared" si="35"/>
        <v>0</v>
      </c>
      <c r="AJ329" s="19">
        <f t="shared" si="36"/>
        <v>360</v>
      </c>
      <c r="AK329" s="20">
        <f t="shared" si="34"/>
        <v>0</v>
      </c>
      <c r="AL329" s="21">
        <f t="shared" si="37"/>
        <v>0</v>
      </c>
    </row>
    <row r="330" spans="33:38" x14ac:dyDescent="0.25">
      <c r="AG330" s="19">
        <f t="array" ref="AG330">DIASQUIEBRE(Q330:AB330)</f>
        <v>0</v>
      </c>
      <c r="AH330" s="19">
        <f t="array" ref="AH330">DiasMesesGris(Q330:AB330)</f>
        <v>0</v>
      </c>
      <c r="AI330" s="19">
        <f t="shared" si="35"/>
        <v>0</v>
      </c>
      <c r="AJ330" s="19">
        <f t="shared" si="36"/>
        <v>360</v>
      </c>
      <c r="AK330" s="20">
        <f t="shared" si="34"/>
        <v>0</v>
      </c>
      <c r="AL330" s="21">
        <f t="shared" si="37"/>
        <v>0</v>
      </c>
    </row>
    <row r="331" spans="33:38" x14ac:dyDescent="0.25">
      <c r="AG331" s="19">
        <f t="array" ref="AG331">DIASQUIEBRE(Q331:AB331)</f>
        <v>0</v>
      </c>
      <c r="AH331" s="19">
        <f t="array" ref="AH331">DiasMesesGris(Q331:AB331)</f>
        <v>0</v>
      </c>
      <c r="AI331" s="19">
        <f t="shared" si="35"/>
        <v>0</v>
      </c>
      <c r="AJ331" s="19">
        <f t="shared" si="36"/>
        <v>360</v>
      </c>
      <c r="AK331" s="20">
        <f t="shared" si="34"/>
        <v>0</v>
      </c>
      <c r="AL331" s="21">
        <f t="shared" si="37"/>
        <v>0</v>
      </c>
    </row>
    <row r="332" spans="33:38" x14ac:dyDescent="0.25">
      <c r="AG332" s="19">
        <f t="array" ref="AG332">DIASQUIEBRE(Q332:AB332)</f>
        <v>0</v>
      </c>
      <c r="AH332" s="19">
        <f t="array" ref="AH332">DiasMesesGris(Q332:AB332)</f>
        <v>0</v>
      </c>
      <c r="AI332" s="19">
        <f t="shared" si="35"/>
        <v>0</v>
      </c>
      <c r="AJ332" s="19">
        <f t="shared" si="36"/>
        <v>360</v>
      </c>
      <c r="AK332" s="20">
        <f t="shared" si="34"/>
        <v>0</v>
      </c>
      <c r="AL332" s="21">
        <f t="shared" si="37"/>
        <v>0</v>
      </c>
    </row>
    <row r="333" spans="33:38" x14ac:dyDescent="0.25">
      <c r="AG333" s="19">
        <f t="array" ref="AG333">DIASQUIEBRE(Q333:AB333)</f>
        <v>0</v>
      </c>
      <c r="AH333" s="19">
        <f t="array" ref="AH333">DiasMesesGris(Q333:AB333)</f>
        <v>0</v>
      </c>
      <c r="AI333" s="19">
        <f t="shared" si="35"/>
        <v>0</v>
      </c>
      <c r="AJ333" s="19">
        <f t="shared" si="36"/>
        <v>360</v>
      </c>
      <c r="AK333" s="20">
        <f t="shared" si="34"/>
        <v>0</v>
      </c>
      <c r="AL333" s="21">
        <f t="shared" si="37"/>
        <v>0</v>
      </c>
    </row>
    <row r="334" spans="33:38" x14ac:dyDescent="0.25">
      <c r="AG334" s="19">
        <f t="array" ref="AG334">DIASQUIEBRE(Q334:AB334)</f>
        <v>0</v>
      </c>
      <c r="AH334" s="19">
        <f t="array" ref="AH334">DiasMesesGris(Q334:AB334)</f>
        <v>0</v>
      </c>
      <c r="AI334" s="19">
        <f t="shared" si="35"/>
        <v>0</v>
      </c>
      <c r="AJ334" s="19">
        <f t="shared" si="36"/>
        <v>360</v>
      </c>
      <c r="AK334" s="20">
        <f t="shared" si="34"/>
        <v>0</v>
      </c>
      <c r="AL334" s="21">
        <f t="shared" si="37"/>
        <v>0</v>
      </c>
    </row>
    <row r="335" spans="33:38" x14ac:dyDescent="0.25">
      <c r="AG335" s="19">
        <f t="array" ref="AG335">DIASQUIEBRE(Q335:AB335)</f>
        <v>0</v>
      </c>
      <c r="AH335" s="19">
        <f t="array" ref="AH335">DiasMesesGris(Q335:AB335)</f>
        <v>0</v>
      </c>
      <c r="AI335" s="19">
        <f t="shared" si="35"/>
        <v>0</v>
      </c>
      <c r="AJ335" s="19">
        <f t="shared" si="36"/>
        <v>360</v>
      </c>
      <c r="AK335" s="20">
        <f t="shared" si="34"/>
        <v>0</v>
      </c>
      <c r="AL335" s="21">
        <f t="shared" si="37"/>
        <v>0</v>
      </c>
    </row>
    <row r="336" spans="33:38" x14ac:dyDescent="0.25">
      <c r="AG336" s="19">
        <f t="array" ref="AG336">DIASQUIEBRE(Q336:AB336)</f>
        <v>0</v>
      </c>
      <c r="AH336" s="19">
        <f t="array" ref="AH336">DiasMesesGris(Q336:AB336)</f>
        <v>0</v>
      </c>
      <c r="AI336" s="19">
        <f t="shared" si="35"/>
        <v>0</v>
      </c>
      <c r="AJ336" s="19">
        <f t="shared" si="36"/>
        <v>360</v>
      </c>
      <c r="AK336" s="20">
        <f t="shared" si="34"/>
        <v>0</v>
      </c>
      <c r="AL336" s="21">
        <f t="shared" si="37"/>
        <v>0</v>
      </c>
    </row>
    <row r="337" spans="33:38" x14ac:dyDescent="0.25">
      <c r="AG337" s="19">
        <f t="array" ref="AG337">DIASQUIEBRE(Q337:AB337)</f>
        <v>0</v>
      </c>
      <c r="AH337" s="19">
        <f t="array" ref="AH337">DiasMesesGris(Q337:AB337)</f>
        <v>0</v>
      </c>
      <c r="AI337" s="19">
        <f t="shared" si="35"/>
        <v>0</v>
      </c>
      <c r="AJ337" s="19">
        <f t="shared" si="36"/>
        <v>360</v>
      </c>
      <c r="AK337" s="20">
        <f t="shared" si="34"/>
        <v>0</v>
      </c>
      <c r="AL337" s="21">
        <f t="shared" si="37"/>
        <v>0</v>
      </c>
    </row>
    <row r="338" spans="33:38" x14ac:dyDescent="0.25">
      <c r="AG338" s="19">
        <f t="array" ref="AG338">DIASQUIEBRE(Q338:AB338)</f>
        <v>0</v>
      </c>
      <c r="AH338" s="19">
        <f t="array" ref="AH338">DiasMesesGris(Q338:AB338)</f>
        <v>0</v>
      </c>
      <c r="AI338" s="19">
        <f t="shared" si="35"/>
        <v>0</v>
      </c>
      <c r="AJ338" s="19">
        <f t="shared" si="36"/>
        <v>360</v>
      </c>
      <c r="AK338" s="20">
        <f t="shared" si="34"/>
        <v>0</v>
      </c>
      <c r="AL338" s="21">
        <f t="shared" si="37"/>
        <v>0</v>
      </c>
    </row>
    <row r="339" spans="33:38" x14ac:dyDescent="0.25">
      <c r="AG339" s="19">
        <f t="array" ref="AG339">DIASQUIEBRE(Q339:AB339)</f>
        <v>0</v>
      </c>
      <c r="AH339" s="19">
        <f t="array" ref="AH339">DiasMesesGris(Q339:AB339)</f>
        <v>0</v>
      </c>
      <c r="AI339" s="19">
        <f t="shared" si="35"/>
        <v>0</v>
      </c>
      <c r="AJ339" s="19">
        <f t="shared" si="36"/>
        <v>360</v>
      </c>
      <c r="AK339" s="20">
        <f t="shared" si="34"/>
        <v>0</v>
      </c>
      <c r="AL339" s="21">
        <f t="shared" si="37"/>
        <v>0</v>
      </c>
    </row>
    <row r="340" spans="33:38" x14ac:dyDescent="0.25">
      <c r="AG340" s="19">
        <f t="array" ref="AG340">DIASQUIEBRE(Q340:AB340)</f>
        <v>0</v>
      </c>
      <c r="AH340" s="19">
        <f t="array" ref="AH340">DiasMesesGris(Q340:AB340)</f>
        <v>0</v>
      </c>
      <c r="AI340" s="19">
        <f t="shared" si="35"/>
        <v>0</v>
      </c>
      <c r="AJ340" s="19">
        <f t="shared" si="36"/>
        <v>360</v>
      </c>
      <c r="AK340" s="20">
        <f t="shared" si="34"/>
        <v>0</v>
      </c>
      <c r="AL340" s="21">
        <f t="shared" si="37"/>
        <v>0</v>
      </c>
    </row>
    <row r="341" spans="33:38" x14ac:dyDescent="0.25">
      <c r="AG341" s="19">
        <f t="array" ref="AG341">DIASQUIEBRE(Q341:AB341)</f>
        <v>0</v>
      </c>
      <c r="AH341" s="19">
        <f t="array" ref="AH341">DiasMesesGris(Q341:AB341)</f>
        <v>0</v>
      </c>
      <c r="AI341" s="19">
        <f t="shared" si="35"/>
        <v>0</v>
      </c>
      <c r="AJ341" s="19">
        <f t="shared" si="36"/>
        <v>360</v>
      </c>
      <c r="AK341" s="20">
        <f t="shared" si="34"/>
        <v>0</v>
      </c>
      <c r="AL341" s="21">
        <f t="shared" si="37"/>
        <v>0</v>
      </c>
    </row>
    <row r="342" spans="33:38" x14ac:dyDescent="0.25">
      <c r="AG342" s="19">
        <f t="array" ref="AG342">DIASQUIEBRE(Q342:AB342)</f>
        <v>0</v>
      </c>
      <c r="AH342" s="19">
        <f t="array" ref="AH342">DiasMesesGris(Q342:AB342)</f>
        <v>0</v>
      </c>
      <c r="AI342" s="19">
        <f t="shared" si="35"/>
        <v>0</v>
      </c>
      <c r="AJ342" s="19">
        <f t="shared" si="36"/>
        <v>360</v>
      </c>
      <c r="AK342" s="20">
        <f t="shared" ref="AK342:AK405" si="38">SUM(D342:O342)</f>
        <v>0</v>
      </c>
      <c r="AL342" s="21">
        <f t="shared" si="37"/>
        <v>0</v>
      </c>
    </row>
    <row r="343" spans="33:38" x14ac:dyDescent="0.25">
      <c r="AG343" s="19">
        <f t="array" ref="AG343">DIASQUIEBRE(Q343:AB343)</f>
        <v>0</v>
      </c>
      <c r="AH343" s="19">
        <f t="array" ref="AH343">DiasMesesGris(Q343:AB343)</f>
        <v>0</v>
      </c>
      <c r="AI343" s="19">
        <f t="shared" si="35"/>
        <v>0</v>
      </c>
      <c r="AJ343" s="19">
        <f t="shared" si="36"/>
        <v>360</v>
      </c>
      <c r="AK343" s="20">
        <f t="shared" si="38"/>
        <v>0</v>
      </c>
      <c r="AL343" s="21">
        <f t="shared" si="37"/>
        <v>0</v>
      </c>
    </row>
    <row r="344" spans="33:38" x14ac:dyDescent="0.25">
      <c r="AG344" s="19">
        <f t="array" ref="AG344">DIASQUIEBRE(Q344:AB344)</f>
        <v>0</v>
      </c>
      <c r="AH344" s="19">
        <f t="array" ref="AH344">DiasMesesGris(Q344:AB344)</f>
        <v>0</v>
      </c>
      <c r="AI344" s="19">
        <f t="shared" si="35"/>
        <v>0</v>
      </c>
      <c r="AJ344" s="19">
        <f t="shared" si="36"/>
        <v>360</v>
      </c>
      <c r="AK344" s="20">
        <f t="shared" si="38"/>
        <v>0</v>
      </c>
      <c r="AL344" s="21">
        <f t="shared" si="37"/>
        <v>0</v>
      </c>
    </row>
    <row r="345" spans="33:38" x14ac:dyDescent="0.25">
      <c r="AG345" s="19">
        <f t="array" ref="AG345">DIASQUIEBRE(Q345:AB345)</f>
        <v>0</v>
      </c>
      <c r="AH345" s="19">
        <f t="array" ref="AH345">DiasMesesGris(Q345:AB345)</f>
        <v>0</v>
      </c>
      <c r="AI345" s="19">
        <f t="shared" si="35"/>
        <v>0</v>
      </c>
      <c r="AJ345" s="19">
        <f t="shared" si="36"/>
        <v>360</v>
      </c>
      <c r="AK345" s="20">
        <f t="shared" si="38"/>
        <v>0</v>
      </c>
      <c r="AL345" s="21">
        <f t="shared" si="37"/>
        <v>0</v>
      </c>
    </row>
    <row r="346" spans="33:38" x14ac:dyDescent="0.25">
      <c r="AG346" s="19">
        <f t="array" ref="AG346">DIASQUIEBRE(Q346:AB346)</f>
        <v>0</v>
      </c>
      <c r="AH346" s="19">
        <f t="array" ref="AH346">DiasMesesGris(Q346:AB346)</f>
        <v>0</v>
      </c>
      <c r="AI346" s="19">
        <f t="shared" si="35"/>
        <v>0</v>
      </c>
      <c r="AJ346" s="19">
        <f t="shared" si="36"/>
        <v>360</v>
      </c>
      <c r="AK346" s="20">
        <f t="shared" si="38"/>
        <v>0</v>
      </c>
      <c r="AL346" s="21">
        <f t="shared" si="37"/>
        <v>0</v>
      </c>
    </row>
    <row r="347" spans="33:38" x14ac:dyDescent="0.25">
      <c r="AG347" s="19">
        <f t="array" ref="AG347">DIASQUIEBRE(Q347:AB347)</f>
        <v>0</v>
      </c>
      <c r="AH347" s="19">
        <f t="array" ref="AH347">DiasMesesGris(Q347:AB347)</f>
        <v>0</v>
      </c>
      <c r="AI347" s="19">
        <f t="shared" si="35"/>
        <v>0</v>
      </c>
      <c r="AJ347" s="19">
        <f t="shared" si="36"/>
        <v>360</v>
      </c>
      <c r="AK347" s="20">
        <f t="shared" si="38"/>
        <v>0</v>
      </c>
      <c r="AL347" s="21">
        <f t="shared" si="37"/>
        <v>0</v>
      </c>
    </row>
    <row r="348" spans="33:38" x14ac:dyDescent="0.25">
      <c r="AG348" s="19">
        <f t="array" ref="AG348">DIASQUIEBRE(Q348:AB348)</f>
        <v>0</v>
      </c>
      <c r="AH348" s="19">
        <f t="array" ref="AH348">DiasMesesGris(Q348:AB348)</f>
        <v>0</v>
      </c>
      <c r="AI348" s="19">
        <f t="shared" si="35"/>
        <v>0</v>
      </c>
      <c r="AJ348" s="19">
        <f t="shared" si="36"/>
        <v>360</v>
      </c>
      <c r="AK348" s="20">
        <f t="shared" si="38"/>
        <v>0</v>
      </c>
      <c r="AL348" s="21">
        <f t="shared" si="37"/>
        <v>0</v>
      </c>
    </row>
    <row r="349" spans="33:38" x14ac:dyDescent="0.25">
      <c r="AG349" s="19">
        <f t="array" ref="AG349">DIASQUIEBRE(Q349:AB349)</f>
        <v>0</v>
      </c>
      <c r="AH349" s="19">
        <f t="array" ref="AH349">DiasMesesGris(Q349:AB349)</f>
        <v>0</v>
      </c>
      <c r="AI349" s="19">
        <f t="shared" si="35"/>
        <v>0</v>
      </c>
      <c r="AJ349" s="19">
        <f t="shared" si="36"/>
        <v>360</v>
      </c>
      <c r="AK349" s="20">
        <f t="shared" si="38"/>
        <v>0</v>
      </c>
      <c r="AL349" s="21">
        <f t="shared" si="37"/>
        <v>0</v>
      </c>
    </row>
    <row r="350" spans="33:38" x14ac:dyDescent="0.25">
      <c r="AG350" s="19">
        <f t="array" ref="AG350">DIASQUIEBRE(Q350:AB350)</f>
        <v>0</v>
      </c>
      <c r="AH350" s="19">
        <f t="array" ref="AH350">DiasMesesGris(Q350:AB350)</f>
        <v>0</v>
      </c>
      <c r="AI350" s="19">
        <f t="shared" si="35"/>
        <v>0</v>
      </c>
      <c r="AJ350" s="19">
        <f t="shared" si="36"/>
        <v>360</v>
      </c>
      <c r="AK350" s="20">
        <f t="shared" si="38"/>
        <v>0</v>
      </c>
      <c r="AL350" s="21">
        <f t="shared" si="37"/>
        <v>0</v>
      </c>
    </row>
    <row r="351" spans="33:38" x14ac:dyDescent="0.25">
      <c r="AG351" s="19">
        <f t="array" ref="AG351">DIASQUIEBRE(Q351:AB351)</f>
        <v>0</v>
      </c>
      <c r="AH351" s="19">
        <f t="array" ref="AH351">DiasMesesGris(Q351:AB351)</f>
        <v>0</v>
      </c>
      <c r="AI351" s="19">
        <f t="shared" si="35"/>
        <v>0</v>
      </c>
      <c r="AJ351" s="19">
        <f t="shared" si="36"/>
        <v>360</v>
      </c>
      <c r="AK351" s="20">
        <f t="shared" si="38"/>
        <v>0</v>
      </c>
      <c r="AL351" s="21">
        <f t="shared" si="37"/>
        <v>0</v>
      </c>
    </row>
    <row r="352" spans="33:38" x14ac:dyDescent="0.25">
      <c r="AG352" s="19">
        <f t="array" ref="AG352">DIASQUIEBRE(Q352:AB352)</f>
        <v>0</v>
      </c>
      <c r="AH352" s="19">
        <f t="array" ref="AH352">DiasMesesGris(Q352:AB352)</f>
        <v>0</v>
      </c>
      <c r="AI352" s="19">
        <f t="shared" si="35"/>
        <v>0</v>
      </c>
      <c r="AJ352" s="19">
        <f t="shared" si="36"/>
        <v>360</v>
      </c>
      <c r="AK352" s="20">
        <f t="shared" si="38"/>
        <v>0</v>
      </c>
      <c r="AL352" s="21">
        <f t="shared" si="37"/>
        <v>0</v>
      </c>
    </row>
    <row r="353" spans="33:38" x14ac:dyDescent="0.25">
      <c r="AG353" s="19">
        <f t="array" ref="AG353">DIASQUIEBRE(Q353:AB353)</f>
        <v>0</v>
      </c>
      <c r="AH353" s="19">
        <f t="array" ref="AH353">DiasMesesGris(Q353:AB353)</f>
        <v>0</v>
      </c>
      <c r="AI353" s="19">
        <f t="shared" si="35"/>
        <v>0</v>
      </c>
      <c r="AJ353" s="19">
        <f t="shared" si="36"/>
        <v>360</v>
      </c>
      <c r="AK353" s="20">
        <f t="shared" si="38"/>
        <v>0</v>
      </c>
      <c r="AL353" s="21">
        <f t="shared" si="37"/>
        <v>0</v>
      </c>
    </row>
    <row r="354" spans="33:38" x14ac:dyDescent="0.25">
      <c r="AG354" s="19">
        <f t="array" ref="AG354">DIASQUIEBRE(Q354:AB354)</f>
        <v>0</v>
      </c>
      <c r="AH354" s="19">
        <f t="array" ref="AH354">DiasMesesGris(Q354:AB354)</f>
        <v>0</v>
      </c>
      <c r="AI354" s="19">
        <f t="shared" si="35"/>
        <v>0</v>
      </c>
      <c r="AJ354" s="19">
        <f t="shared" si="36"/>
        <v>360</v>
      </c>
      <c r="AK354" s="20">
        <f t="shared" si="38"/>
        <v>0</v>
      </c>
      <c r="AL354" s="21">
        <f t="shared" si="37"/>
        <v>0</v>
      </c>
    </row>
    <row r="355" spans="33:38" x14ac:dyDescent="0.25">
      <c r="AG355" s="19">
        <f t="array" ref="AG355">DIASQUIEBRE(Q355:AB355)</f>
        <v>0</v>
      </c>
      <c r="AH355" s="19">
        <f t="array" ref="AH355">DiasMesesGris(Q355:AB355)</f>
        <v>0</v>
      </c>
      <c r="AI355" s="19">
        <f t="shared" si="35"/>
        <v>0</v>
      </c>
      <c r="AJ355" s="19">
        <f t="shared" si="36"/>
        <v>360</v>
      </c>
      <c r="AK355" s="20">
        <f t="shared" si="38"/>
        <v>0</v>
      </c>
      <c r="AL355" s="21">
        <f t="shared" si="37"/>
        <v>0</v>
      </c>
    </row>
    <row r="356" spans="33:38" x14ac:dyDescent="0.25">
      <c r="AG356" s="19">
        <f t="array" ref="AG356">DIASQUIEBRE(Q356:AB356)</f>
        <v>0</v>
      </c>
      <c r="AH356" s="19">
        <f t="array" ref="AH356">DiasMesesGris(Q356:AB356)</f>
        <v>0</v>
      </c>
      <c r="AI356" s="19">
        <f t="shared" si="35"/>
        <v>0</v>
      </c>
      <c r="AJ356" s="19">
        <f t="shared" si="36"/>
        <v>360</v>
      </c>
      <c r="AK356" s="20">
        <f t="shared" si="38"/>
        <v>0</v>
      </c>
      <c r="AL356" s="21">
        <f t="shared" si="37"/>
        <v>0</v>
      </c>
    </row>
    <row r="357" spans="33:38" x14ac:dyDescent="0.25">
      <c r="AG357" s="19">
        <f t="array" ref="AG357">DIASQUIEBRE(Q357:AB357)</f>
        <v>0</v>
      </c>
      <c r="AH357" s="19">
        <f t="array" ref="AH357">DiasMesesGris(Q357:AB357)</f>
        <v>0</v>
      </c>
      <c r="AI357" s="19">
        <f t="shared" si="35"/>
        <v>0</v>
      </c>
      <c r="AJ357" s="19">
        <f t="shared" si="36"/>
        <v>360</v>
      </c>
      <c r="AK357" s="20">
        <f t="shared" si="38"/>
        <v>0</v>
      </c>
      <c r="AL357" s="21">
        <f t="shared" si="37"/>
        <v>0</v>
      </c>
    </row>
    <row r="358" spans="33:38" x14ac:dyDescent="0.25">
      <c r="AG358" s="19">
        <f t="array" ref="AG358">DIASQUIEBRE(Q358:AB358)</f>
        <v>0</v>
      </c>
      <c r="AH358" s="19">
        <f t="array" ref="AH358">DiasMesesGris(Q358:AB358)</f>
        <v>0</v>
      </c>
      <c r="AI358" s="19">
        <f t="shared" si="35"/>
        <v>0</v>
      </c>
      <c r="AJ358" s="19">
        <f t="shared" si="36"/>
        <v>360</v>
      </c>
      <c r="AK358" s="20">
        <f t="shared" si="38"/>
        <v>0</v>
      </c>
      <c r="AL358" s="21">
        <f t="shared" si="37"/>
        <v>0</v>
      </c>
    </row>
    <row r="359" spans="33:38" x14ac:dyDescent="0.25">
      <c r="AG359" s="19">
        <f t="array" ref="AG359">DIASQUIEBRE(Q359:AB359)</f>
        <v>0</v>
      </c>
      <c r="AH359" s="19">
        <f t="array" ref="AH359">DiasMesesGris(Q359:AB359)</f>
        <v>0</v>
      </c>
      <c r="AI359" s="19">
        <f t="shared" si="35"/>
        <v>0</v>
      </c>
      <c r="AJ359" s="19">
        <f t="shared" si="36"/>
        <v>360</v>
      </c>
      <c r="AK359" s="20">
        <f t="shared" si="38"/>
        <v>0</v>
      </c>
      <c r="AL359" s="21">
        <f t="shared" si="37"/>
        <v>0</v>
      </c>
    </row>
    <row r="360" spans="33:38" x14ac:dyDescent="0.25">
      <c r="AG360" s="19">
        <f t="array" ref="AG360">DIASQUIEBRE(Q360:AB360)</f>
        <v>0</v>
      </c>
      <c r="AH360" s="19">
        <f t="array" ref="AH360">DiasMesesGris(Q360:AB360)</f>
        <v>0</v>
      </c>
      <c r="AI360" s="19">
        <f t="shared" si="35"/>
        <v>0</v>
      </c>
      <c r="AJ360" s="19">
        <f t="shared" si="36"/>
        <v>360</v>
      </c>
      <c r="AK360" s="20">
        <f t="shared" si="38"/>
        <v>0</v>
      </c>
      <c r="AL360" s="21">
        <f t="shared" si="37"/>
        <v>0</v>
      </c>
    </row>
    <row r="361" spans="33:38" x14ac:dyDescent="0.25">
      <c r="AG361" s="19">
        <f t="array" ref="AG361">DIASQUIEBRE(Q361:AB361)</f>
        <v>0</v>
      </c>
      <c r="AH361" s="19">
        <f t="array" ref="AH361">DiasMesesGris(Q361:AB361)</f>
        <v>0</v>
      </c>
      <c r="AI361" s="19">
        <f t="shared" si="35"/>
        <v>0</v>
      </c>
      <c r="AJ361" s="19">
        <f t="shared" si="36"/>
        <v>360</v>
      </c>
      <c r="AK361" s="20">
        <f t="shared" si="38"/>
        <v>0</v>
      </c>
      <c r="AL361" s="21">
        <f t="shared" si="37"/>
        <v>0</v>
      </c>
    </row>
    <row r="362" spans="33:38" x14ac:dyDescent="0.25">
      <c r="AG362" s="19">
        <f t="array" ref="AG362">DIASQUIEBRE(Q362:AB362)</f>
        <v>0</v>
      </c>
      <c r="AH362" s="19">
        <f t="array" ref="AH362">DiasMesesGris(Q362:AB362)</f>
        <v>0</v>
      </c>
      <c r="AI362" s="19">
        <f t="shared" si="35"/>
        <v>0</v>
      </c>
      <c r="AJ362" s="19">
        <f t="shared" si="36"/>
        <v>360</v>
      </c>
      <c r="AK362" s="20">
        <f t="shared" si="38"/>
        <v>0</v>
      </c>
      <c r="AL362" s="21">
        <f t="shared" si="37"/>
        <v>0</v>
      </c>
    </row>
    <row r="363" spans="33:38" x14ac:dyDescent="0.25">
      <c r="AG363" s="19">
        <f t="array" ref="AG363">DIASQUIEBRE(Q363:AB363)</f>
        <v>0</v>
      </c>
      <c r="AH363" s="19">
        <f t="array" ref="AH363">DiasMesesGris(Q363:AB363)</f>
        <v>0</v>
      </c>
      <c r="AI363" s="19">
        <f t="shared" si="35"/>
        <v>0</v>
      </c>
      <c r="AJ363" s="19">
        <f t="shared" si="36"/>
        <v>360</v>
      </c>
      <c r="AK363" s="20">
        <f t="shared" si="38"/>
        <v>0</v>
      </c>
      <c r="AL363" s="21">
        <f t="shared" si="37"/>
        <v>0</v>
      </c>
    </row>
    <row r="364" spans="33:38" x14ac:dyDescent="0.25">
      <c r="AG364" s="19">
        <f t="array" ref="AG364">DIASQUIEBRE(Q364:AB364)</f>
        <v>0</v>
      </c>
      <c r="AH364" s="19">
        <f t="array" ref="AH364">DiasMesesGris(Q364:AB364)</f>
        <v>0</v>
      </c>
      <c r="AI364" s="19">
        <f t="shared" si="35"/>
        <v>0</v>
      </c>
      <c r="AJ364" s="19">
        <f t="shared" si="36"/>
        <v>360</v>
      </c>
      <c r="AK364" s="20">
        <f t="shared" si="38"/>
        <v>0</v>
      </c>
      <c r="AL364" s="21">
        <f t="shared" si="37"/>
        <v>0</v>
      </c>
    </row>
    <row r="365" spans="33:38" x14ac:dyDescent="0.25">
      <c r="AG365" s="19">
        <f t="array" ref="AG365">DIASQUIEBRE(Q365:AB365)</f>
        <v>0</v>
      </c>
      <c r="AH365" s="19">
        <f t="array" ref="AH365">DiasMesesGris(Q365:AB365)</f>
        <v>0</v>
      </c>
      <c r="AI365" s="19">
        <f t="shared" si="35"/>
        <v>0</v>
      </c>
      <c r="AJ365" s="19">
        <f t="shared" si="36"/>
        <v>360</v>
      </c>
      <c r="AK365" s="20">
        <f t="shared" si="38"/>
        <v>0</v>
      </c>
      <c r="AL365" s="21">
        <f t="shared" si="37"/>
        <v>0</v>
      </c>
    </row>
    <row r="366" spans="33:38" x14ac:dyDescent="0.25">
      <c r="AG366" s="19">
        <f t="array" ref="AG366">DIASQUIEBRE(Q366:AB366)</f>
        <v>0</v>
      </c>
      <c r="AH366" s="19">
        <f t="array" ref="AH366">DiasMesesGris(Q366:AB366)</f>
        <v>0</v>
      </c>
      <c r="AI366" s="19">
        <f t="shared" si="35"/>
        <v>0</v>
      </c>
      <c r="AJ366" s="19">
        <f t="shared" si="36"/>
        <v>360</v>
      </c>
      <c r="AK366" s="20">
        <f t="shared" si="38"/>
        <v>0</v>
      </c>
      <c r="AL366" s="21">
        <f t="shared" si="37"/>
        <v>0</v>
      </c>
    </row>
    <row r="367" spans="33:38" x14ac:dyDescent="0.25">
      <c r="AG367" s="19">
        <f t="array" ref="AG367">DIASQUIEBRE(Q367:AB367)</f>
        <v>0</v>
      </c>
      <c r="AH367" s="19">
        <f t="array" ref="AH367">DiasMesesGris(Q367:AB367)</f>
        <v>0</v>
      </c>
      <c r="AI367" s="19">
        <f t="shared" si="35"/>
        <v>0</v>
      </c>
      <c r="AJ367" s="19">
        <f t="shared" si="36"/>
        <v>360</v>
      </c>
      <c r="AK367" s="20">
        <f t="shared" si="38"/>
        <v>0</v>
      </c>
      <c r="AL367" s="21">
        <f t="shared" si="37"/>
        <v>0</v>
      </c>
    </row>
    <row r="368" spans="33:38" x14ac:dyDescent="0.25">
      <c r="AG368" s="19">
        <f t="array" ref="AG368">DIASQUIEBRE(Q368:AB368)</f>
        <v>0</v>
      </c>
      <c r="AH368" s="19">
        <f t="array" ref="AH368">DiasMesesGris(Q368:AB368)</f>
        <v>0</v>
      </c>
      <c r="AI368" s="19">
        <f t="shared" si="35"/>
        <v>0</v>
      </c>
      <c r="AJ368" s="19">
        <f t="shared" si="36"/>
        <v>360</v>
      </c>
      <c r="AK368" s="20">
        <f t="shared" si="38"/>
        <v>0</v>
      </c>
      <c r="AL368" s="21">
        <f t="shared" si="37"/>
        <v>0</v>
      </c>
    </row>
    <row r="369" spans="33:38" x14ac:dyDescent="0.25">
      <c r="AG369" s="19">
        <f t="array" ref="AG369">DIASQUIEBRE(Q369:AB369)</f>
        <v>0</v>
      </c>
      <c r="AH369" s="19">
        <f t="array" ref="AH369">DiasMesesGris(Q369:AB369)</f>
        <v>0</v>
      </c>
      <c r="AI369" s="19">
        <f t="shared" si="35"/>
        <v>0</v>
      </c>
      <c r="AJ369" s="19">
        <f t="shared" si="36"/>
        <v>360</v>
      </c>
      <c r="AK369" s="20">
        <f t="shared" si="38"/>
        <v>0</v>
      </c>
      <c r="AL369" s="21">
        <f t="shared" si="37"/>
        <v>0</v>
      </c>
    </row>
    <row r="370" spans="33:38" x14ac:dyDescent="0.25">
      <c r="AG370" s="19">
        <f t="array" ref="AG370">DIASQUIEBRE(Q370:AB370)</f>
        <v>0</v>
      </c>
      <c r="AH370" s="19">
        <f t="array" ref="AH370">DiasMesesGris(Q370:AB370)</f>
        <v>0</v>
      </c>
      <c r="AI370" s="19">
        <f t="shared" si="35"/>
        <v>0</v>
      </c>
      <c r="AJ370" s="19">
        <f t="shared" si="36"/>
        <v>360</v>
      </c>
      <c r="AK370" s="20">
        <f t="shared" si="38"/>
        <v>0</v>
      </c>
      <c r="AL370" s="21">
        <f t="shared" si="37"/>
        <v>0</v>
      </c>
    </row>
    <row r="371" spans="33:38" x14ac:dyDescent="0.25">
      <c r="AG371" s="19">
        <f t="array" ref="AG371">DIASQUIEBRE(Q371:AB371)</f>
        <v>0</v>
      </c>
      <c r="AH371" s="19">
        <f t="array" ref="AH371">DiasMesesGris(Q371:AB371)</f>
        <v>0</v>
      </c>
      <c r="AI371" s="19">
        <f t="shared" si="35"/>
        <v>0</v>
      </c>
      <c r="AJ371" s="19">
        <f t="shared" si="36"/>
        <v>360</v>
      </c>
      <c r="AK371" s="20">
        <f t="shared" si="38"/>
        <v>0</v>
      </c>
      <c r="AL371" s="21">
        <f t="shared" si="37"/>
        <v>0</v>
      </c>
    </row>
    <row r="372" spans="33:38" x14ac:dyDescent="0.25">
      <c r="AG372" s="19">
        <f t="array" ref="AG372">DIASQUIEBRE(Q372:AB372)</f>
        <v>0</v>
      </c>
      <c r="AH372" s="19">
        <f t="array" ref="AH372">DiasMesesGris(Q372:AB372)</f>
        <v>0</v>
      </c>
      <c r="AI372" s="19">
        <f t="shared" si="35"/>
        <v>0</v>
      </c>
      <c r="AJ372" s="19">
        <f t="shared" si="36"/>
        <v>360</v>
      </c>
      <c r="AK372" s="20">
        <f t="shared" si="38"/>
        <v>0</v>
      </c>
      <c r="AL372" s="21">
        <f t="shared" si="37"/>
        <v>0</v>
      </c>
    </row>
    <row r="373" spans="33:38" x14ac:dyDescent="0.25">
      <c r="AG373" s="19">
        <f t="array" ref="AG373">DIASQUIEBRE(Q373:AB373)</f>
        <v>0</v>
      </c>
      <c r="AH373" s="19">
        <f t="array" ref="AH373">DiasMesesGris(Q373:AB373)</f>
        <v>0</v>
      </c>
      <c r="AI373" s="19">
        <f t="shared" si="35"/>
        <v>0</v>
      </c>
      <c r="AJ373" s="19">
        <f t="shared" si="36"/>
        <v>360</v>
      </c>
      <c r="AK373" s="20">
        <f t="shared" si="38"/>
        <v>0</v>
      </c>
      <c r="AL373" s="21">
        <f t="shared" si="37"/>
        <v>0</v>
      </c>
    </row>
    <row r="374" spans="33:38" x14ac:dyDescent="0.25">
      <c r="AG374" s="19">
        <f t="array" ref="AG374">DIASQUIEBRE(Q374:AB374)</f>
        <v>0</v>
      </c>
      <c r="AH374" s="19">
        <f t="array" ref="AH374">DiasMesesGris(Q374:AB374)</f>
        <v>0</v>
      </c>
      <c r="AI374" s="19">
        <f t="shared" si="35"/>
        <v>0</v>
      </c>
      <c r="AJ374" s="19">
        <f t="shared" si="36"/>
        <v>360</v>
      </c>
      <c r="AK374" s="20">
        <f t="shared" si="38"/>
        <v>0</v>
      </c>
      <c r="AL374" s="21">
        <f t="shared" si="37"/>
        <v>0</v>
      </c>
    </row>
    <row r="375" spans="33:38" x14ac:dyDescent="0.25">
      <c r="AG375" s="19">
        <f t="array" ref="AG375">DIASQUIEBRE(Q375:AB375)</f>
        <v>0</v>
      </c>
      <c r="AH375" s="19">
        <f t="array" ref="AH375">DiasMesesGris(Q375:AB375)</f>
        <v>0</v>
      </c>
      <c r="AI375" s="19">
        <f t="shared" si="35"/>
        <v>0</v>
      </c>
      <c r="AJ375" s="19">
        <f t="shared" si="36"/>
        <v>360</v>
      </c>
      <c r="AK375" s="20">
        <f t="shared" si="38"/>
        <v>0</v>
      </c>
      <c r="AL375" s="21">
        <f t="shared" si="37"/>
        <v>0</v>
      </c>
    </row>
    <row r="376" spans="33:38" x14ac:dyDescent="0.25">
      <c r="AG376" s="19">
        <f t="array" ref="AG376">DIASQUIEBRE(Q376:AB376)</f>
        <v>0</v>
      </c>
      <c r="AH376" s="19">
        <f t="array" ref="AH376">DiasMesesGris(Q376:AB376)</f>
        <v>0</v>
      </c>
      <c r="AI376" s="19">
        <f t="shared" si="35"/>
        <v>0</v>
      </c>
      <c r="AJ376" s="19">
        <f t="shared" si="36"/>
        <v>360</v>
      </c>
      <c r="AK376" s="20">
        <f t="shared" si="38"/>
        <v>0</v>
      </c>
      <c r="AL376" s="21">
        <f t="shared" si="37"/>
        <v>0</v>
      </c>
    </row>
    <row r="377" spans="33:38" x14ac:dyDescent="0.25">
      <c r="AG377" s="19">
        <f t="array" ref="AG377">DIASQUIEBRE(Q377:AB377)</f>
        <v>0</v>
      </c>
      <c r="AH377" s="19">
        <f t="array" ref="AH377">DiasMesesGris(Q377:AB377)</f>
        <v>0</v>
      </c>
      <c r="AI377" s="19">
        <f t="shared" si="35"/>
        <v>0</v>
      </c>
      <c r="AJ377" s="19">
        <f t="shared" si="36"/>
        <v>360</v>
      </c>
      <c r="AK377" s="20">
        <f t="shared" si="38"/>
        <v>0</v>
      </c>
      <c r="AL377" s="21">
        <f t="shared" si="37"/>
        <v>0</v>
      </c>
    </row>
    <row r="378" spans="33:38" x14ac:dyDescent="0.25">
      <c r="AG378" s="19">
        <f t="array" ref="AG378">DIASQUIEBRE(Q378:AB378)</f>
        <v>0</v>
      </c>
      <c r="AH378" s="19">
        <f t="array" ref="AH378">DiasMesesGris(Q378:AB378)</f>
        <v>0</v>
      </c>
      <c r="AI378" s="19">
        <f t="shared" si="35"/>
        <v>0</v>
      </c>
      <c r="AJ378" s="19">
        <f t="shared" si="36"/>
        <v>360</v>
      </c>
      <c r="AK378" s="20">
        <f t="shared" si="38"/>
        <v>0</v>
      </c>
      <c r="AL378" s="21">
        <f t="shared" si="37"/>
        <v>0</v>
      </c>
    </row>
    <row r="379" spans="33:38" x14ac:dyDescent="0.25">
      <c r="AG379" s="19">
        <f t="array" ref="AG379">DIASQUIEBRE(Q379:AB379)</f>
        <v>0</v>
      </c>
      <c r="AH379" s="19">
        <f t="array" ref="AH379">DiasMesesGris(Q379:AB379)</f>
        <v>0</v>
      </c>
      <c r="AI379" s="19">
        <f t="shared" si="35"/>
        <v>0</v>
      </c>
      <c r="AJ379" s="19">
        <f t="shared" si="36"/>
        <v>360</v>
      </c>
      <c r="AK379" s="20">
        <f t="shared" si="38"/>
        <v>0</v>
      </c>
      <c r="AL379" s="21">
        <f t="shared" si="37"/>
        <v>0</v>
      </c>
    </row>
    <row r="380" spans="33:38" x14ac:dyDescent="0.25">
      <c r="AG380" s="19">
        <f t="array" ref="AG380">DIASQUIEBRE(Q380:AB380)</f>
        <v>0</v>
      </c>
      <c r="AH380" s="19">
        <f t="array" ref="AH380">DiasMesesGris(Q380:AB380)</f>
        <v>0</v>
      </c>
      <c r="AI380" s="19">
        <f t="shared" si="35"/>
        <v>0</v>
      </c>
      <c r="AJ380" s="19">
        <f t="shared" si="36"/>
        <v>360</v>
      </c>
      <c r="AK380" s="20">
        <f t="shared" si="38"/>
        <v>0</v>
      </c>
      <c r="AL380" s="21">
        <f t="shared" si="37"/>
        <v>0</v>
      </c>
    </row>
    <row r="381" spans="33:38" x14ac:dyDescent="0.25">
      <c r="AG381" s="19">
        <f t="array" ref="AG381">DIASQUIEBRE(Q381:AB381)</f>
        <v>0</v>
      </c>
      <c r="AH381" s="19">
        <f t="array" ref="AH381">DiasMesesGris(Q381:AB381)</f>
        <v>0</v>
      </c>
      <c r="AI381" s="19">
        <f t="shared" si="35"/>
        <v>0</v>
      </c>
      <c r="AJ381" s="19">
        <f t="shared" si="36"/>
        <v>360</v>
      </c>
      <c r="AK381" s="20">
        <f t="shared" si="38"/>
        <v>0</v>
      </c>
      <c r="AL381" s="21">
        <f t="shared" si="37"/>
        <v>0</v>
      </c>
    </row>
    <row r="382" spans="33:38" x14ac:dyDescent="0.25">
      <c r="AG382" s="19">
        <f t="array" ref="AG382">DIASQUIEBRE(Q382:AB382)</f>
        <v>0</v>
      </c>
      <c r="AH382" s="19">
        <f t="array" ref="AH382">DiasMesesGris(Q382:AB382)</f>
        <v>0</v>
      </c>
      <c r="AI382" s="19">
        <f t="shared" si="35"/>
        <v>0</v>
      </c>
      <c r="AJ382" s="19">
        <f t="shared" si="36"/>
        <v>360</v>
      </c>
      <c r="AK382" s="20">
        <f t="shared" si="38"/>
        <v>0</v>
      </c>
      <c r="AL382" s="21">
        <f t="shared" si="37"/>
        <v>0</v>
      </c>
    </row>
    <row r="383" spans="33:38" x14ac:dyDescent="0.25">
      <c r="AG383" s="19">
        <f t="array" ref="AG383">DIASQUIEBRE(Q383:AB383)</f>
        <v>0</v>
      </c>
      <c r="AH383" s="19">
        <f t="array" ref="AH383">DiasMesesGris(Q383:AB383)</f>
        <v>0</v>
      </c>
      <c r="AI383" s="19">
        <f t="shared" si="35"/>
        <v>0</v>
      </c>
      <c r="AJ383" s="19">
        <f t="shared" si="36"/>
        <v>360</v>
      </c>
      <c r="AK383" s="20">
        <f t="shared" si="38"/>
        <v>0</v>
      </c>
      <c r="AL383" s="21">
        <f t="shared" si="37"/>
        <v>0</v>
      </c>
    </row>
    <row r="384" spans="33:38" x14ac:dyDescent="0.25">
      <c r="AG384" s="19">
        <f t="array" ref="AG384">DIASQUIEBRE(Q384:AB384)</f>
        <v>0</v>
      </c>
      <c r="AH384" s="19">
        <f t="array" ref="AH384">DiasMesesGris(Q384:AB384)</f>
        <v>0</v>
      </c>
      <c r="AI384" s="19">
        <f t="shared" si="35"/>
        <v>0</v>
      </c>
      <c r="AJ384" s="19">
        <f t="shared" si="36"/>
        <v>360</v>
      </c>
      <c r="AK384" s="20">
        <f t="shared" si="38"/>
        <v>0</v>
      </c>
      <c r="AL384" s="21">
        <f t="shared" si="37"/>
        <v>0</v>
      </c>
    </row>
    <row r="385" spans="33:38" x14ac:dyDescent="0.25">
      <c r="AG385" s="19">
        <f t="array" ref="AG385">DIASQUIEBRE(Q385:AB385)</f>
        <v>0</v>
      </c>
      <c r="AH385" s="19">
        <f t="array" ref="AH385">DiasMesesGris(Q385:AB385)</f>
        <v>0</v>
      </c>
      <c r="AI385" s="19">
        <f t="shared" si="35"/>
        <v>0</v>
      </c>
      <c r="AJ385" s="19">
        <f t="shared" si="36"/>
        <v>360</v>
      </c>
      <c r="AK385" s="20">
        <f t="shared" si="38"/>
        <v>0</v>
      </c>
      <c r="AL385" s="21">
        <f t="shared" si="37"/>
        <v>0</v>
      </c>
    </row>
    <row r="386" spans="33:38" x14ac:dyDescent="0.25">
      <c r="AG386" s="19">
        <f t="array" ref="AG386">DIASQUIEBRE(Q386:AB386)</f>
        <v>0</v>
      </c>
      <c r="AH386" s="19">
        <f t="array" ref="AH386">DiasMesesGris(Q386:AB386)</f>
        <v>0</v>
      </c>
      <c r="AI386" s="19">
        <f t="shared" ref="AI386:AI449" si="39">AG386+AH386</f>
        <v>0</v>
      </c>
      <c r="AJ386" s="19">
        <f t="shared" ref="AJ386:AJ449" si="40">360-AI386</f>
        <v>360</v>
      </c>
      <c r="AK386" s="20">
        <f t="shared" si="38"/>
        <v>0</v>
      </c>
      <c r="AL386" s="21">
        <f t="shared" ref="AL386:AL449" si="41">IFERROR(AK386/AJ386,0)</f>
        <v>0</v>
      </c>
    </row>
    <row r="387" spans="33:38" x14ac:dyDescent="0.25">
      <c r="AG387" s="19">
        <f t="array" ref="AG387">DIASQUIEBRE(Q387:AB387)</f>
        <v>0</v>
      </c>
      <c r="AH387" s="19">
        <f t="array" ref="AH387">DiasMesesGris(Q387:AB387)</f>
        <v>0</v>
      </c>
      <c r="AI387" s="19">
        <f t="shared" si="39"/>
        <v>0</v>
      </c>
      <c r="AJ387" s="19">
        <f t="shared" si="40"/>
        <v>360</v>
      </c>
      <c r="AK387" s="20">
        <f t="shared" si="38"/>
        <v>0</v>
      </c>
      <c r="AL387" s="21">
        <f t="shared" si="41"/>
        <v>0</v>
      </c>
    </row>
    <row r="388" spans="33:38" x14ac:dyDescent="0.25">
      <c r="AG388" s="19">
        <f t="array" ref="AG388">DIASQUIEBRE(Q388:AB388)</f>
        <v>0</v>
      </c>
      <c r="AH388" s="19">
        <f t="array" ref="AH388">DiasMesesGris(Q388:AB388)</f>
        <v>0</v>
      </c>
      <c r="AI388" s="19">
        <f t="shared" si="39"/>
        <v>0</v>
      </c>
      <c r="AJ388" s="19">
        <f t="shared" si="40"/>
        <v>360</v>
      </c>
      <c r="AK388" s="20">
        <f t="shared" si="38"/>
        <v>0</v>
      </c>
      <c r="AL388" s="21">
        <f t="shared" si="41"/>
        <v>0</v>
      </c>
    </row>
    <row r="389" spans="33:38" x14ac:dyDescent="0.25">
      <c r="AG389" s="19">
        <f t="array" ref="AG389">DIASQUIEBRE(Q389:AB389)</f>
        <v>0</v>
      </c>
      <c r="AH389" s="19">
        <f t="array" ref="AH389">DiasMesesGris(Q389:AB389)</f>
        <v>0</v>
      </c>
      <c r="AI389" s="19">
        <f t="shared" si="39"/>
        <v>0</v>
      </c>
      <c r="AJ389" s="19">
        <f t="shared" si="40"/>
        <v>360</v>
      </c>
      <c r="AK389" s="20">
        <f t="shared" si="38"/>
        <v>0</v>
      </c>
      <c r="AL389" s="21">
        <f t="shared" si="41"/>
        <v>0</v>
      </c>
    </row>
    <row r="390" spans="33:38" x14ac:dyDescent="0.25">
      <c r="AG390" s="19">
        <f t="array" ref="AG390">DIASQUIEBRE(Q390:AB390)</f>
        <v>0</v>
      </c>
      <c r="AH390" s="19">
        <f t="array" ref="AH390">DiasMesesGris(Q390:AB390)</f>
        <v>0</v>
      </c>
      <c r="AI390" s="19">
        <f t="shared" si="39"/>
        <v>0</v>
      </c>
      <c r="AJ390" s="19">
        <f t="shared" si="40"/>
        <v>360</v>
      </c>
      <c r="AK390" s="20">
        <f t="shared" si="38"/>
        <v>0</v>
      </c>
      <c r="AL390" s="21">
        <f t="shared" si="41"/>
        <v>0</v>
      </c>
    </row>
    <row r="391" spans="33:38" x14ac:dyDescent="0.25">
      <c r="AG391" s="19">
        <f t="array" ref="AG391">DIASQUIEBRE(Q391:AB391)</f>
        <v>0</v>
      </c>
      <c r="AH391" s="19">
        <f t="array" ref="AH391">DiasMesesGris(Q391:AB391)</f>
        <v>0</v>
      </c>
      <c r="AI391" s="19">
        <f t="shared" si="39"/>
        <v>0</v>
      </c>
      <c r="AJ391" s="19">
        <f t="shared" si="40"/>
        <v>360</v>
      </c>
      <c r="AK391" s="20">
        <f t="shared" si="38"/>
        <v>0</v>
      </c>
      <c r="AL391" s="21">
        <f t="shared" si="41"/>
        <v>0</v>
      </c>
    </row>
    <row r="392" spans="33:38" x14ac:dyDescent="0.25">
      <c r="AG392" s="19">
        <f t="array" ref="AG392">DIASQUIEBRE(Q392:AB392)</f>
        <v>0</v>
      </c>
      <c r="AH392" s="19">
        <f t="array" ref="AH392">DiasMesesGris(Q392:AB392)</f>
        <v>0</v>
      </c>
      <c r="AI392" s="19">
        <f t="shared" si="39"/>
        <v>0</v>
      </c>
      <c r="AJ392" s="19">
        <f t="shared" si="40"/>
        <v>360</v>
      </c>
      <c r="AK392" s="20">
        <f t="shared" si="38"/>
        <v>0</v>
      </c>
      <c r="AL392" s="21">
        <f t="shared" si="41"/>
        <v>0</v>
      </c>
    </row>
    <row r="393" spans="33:38" x14ac:dyDescent="0.25">
      <c r="AG393" s="19">
        <f t="array" ref="AG393">DIASQUIEBRE(Q393:AB393)</f>
        <v>0</v>
      </c>
      <c r="AH393" s="19">
        <f t="array" ref="AH393">DiasMesesGris(Q393:AB393)</f>
        <v>0</v>
      </c>
      <c r="AI393" s="19">
        <f t="shared" si="39"/>
        <v>0</v>
      </c>
      <c r="AJ393" s="19">
        <f t="shared" si="40"/>
        <v>360</v>
      </c>
      <c r="AK393" s="20">
        <f t="shared" si="38"/>
        <v>0</v>
      </c>
      <c r="AL393" s="21">
        <f t="shared" si="41"/>
        <v>0</v>
      </c>
    </row>
    <row r="394" spans="33:38" x14ac:dyDescent="0.25">
      <c r="AG394" s="19">
        <f t="array" ref="AG394">DIASQUIEBRE(Q394:AB394)</f>
        <v>0</v>
      </c>
      <c r="AH394" s="19">
        <f t="array" ref="AH394">DiasMesesGris(Q394:AB394)</f>
        <v>0</v>
      </c>
      <c r="AI394" s="19">
        <f t="shared" si="39"/>
        <v>0</v>
      </c>
      <c r="AJ394" s="19">
        <f t="shared" si="40"/>
        <v>360</v>
      </c>
      <c r="AK394" s="20">
        <f t="shared" si="38"/>
        <v>0</v>
      </c>
      <c r="AL394" s="21">
        <f t="shared" si="41"/>
        <v>0</v>
      </c>
    </row>
    <row r="395" spans="33:38" x14ac:dyDescent="0.25">
      <c r="AG395" s="19">
        <f t="array" ref="AG395">DIASQUIEBRE(Q395:AB395)</f>
        <v>0</v>
      </c>
      <c r="AH395" s="19">
        <f t="array" ref="AH395">DiasMesesGris(Q395:AB395)</f>
        <v>0</v>
      </c>
      <c r="AI395" s="19">
        <f t="shared" si="39"/>
        <v>0</v>
      </c>
      <c r="AJ395" s="19">
        <f t="shared" si="40"/>
        <v>360</v>
      </c>
      <c r="AK395" s="20">
        <f t="shared" si="38"/>
        <v>0</v>
      </c>
      <c r="AL395" s="21">
        <f t="shared" si="41"/>
        <v>0</v>
      </c>
    </row>
    <row r="396" spans="33:38" x14ac:dyDescent="0.25">
      <c r="AG396" s="19">
        <f t="array" ref="AG396">DIASQUIEBRE(Q396:AB396)</f>
        <v>0</v>
      </c>
      <c r="AH396" s="19">
        <f t="array" ref="AH396">DiasMesesGris(Q396:AB396)</f>
        <v>0</v>
      </c>
      <c r="AI396" s="19">
        <f t="shared" si="39"/>
        <v>0</v>
      </c>
      <c r="AJ396" s="19">
        <f t="shared" si="40"/>
        <v>360</v>
      </c>
      <c r="AK396" s="20">
        <f t="shared" si="38"/>
        <v>0</v>
      </c>
      <c r="AL396" s="21">
        <f t="shared" si="41"/>
        <v>0</v>
      </c>
    </row>
    <row r="397" spans="33:38" x14ac:dyDescent="0.25">
      <c r="AG397" s="19">
        <f t="array" ref="AG397">DIASQUIEBRE(Q397:AB397)</f>
        <v>0</v>
      </c>
      <c r="AH397" s="19">
        <f t="array" ref="AH397">DiasMesesGris(Q397:AB397)</f>
        <v>0</v>
      </c>
      <c r="AI397" s="19">
        <f t="shared" si="39"/>
        <v>0</v>
      </c>
      <c r="AJ397" s="19">
        <f t="shared" si="40"/>
        <v>360</v>
      </c>
      <c r="AK397" s="20">
        <f t="shared" si="38"/>
        <v>0</v>
      </c>
      <c r="AL397" s="21">
        <f t="shared" si="41"/>
        <v>0</v>
      </c>
    </row>
    <row r="398" spans="33:38" x14ac:dyDescent="0.25">
      <c r="AG398" s="19">
        <f t="array" ref="AG398">DIASQUIEBRE(Q398:AB398)</f>
        <v>0</v>
      </c>
      <c r="AH398" s="19">
        <f t="array" ref="AH398">DiasMesesGris(Q398:AB398)</f>
        <v>0</v>
      </c>
      <c r="AI398" s="19">
        <f t="shared" si="39"/>
        <v>0</v>
      </c>
      <c r="AJ398" s="19">
        <f t="shared" si="40"/>
        <v>360</v>
      </c>
      <c r="AK398" s="20">
        <f t="shared" si="38"/>
        <v>0</v>
      </c>
      <c r="AL398" s="21">
        <f t="shared" si="41"/>
        <v>0</v>
      </c>
    </row>
    <row r="399" spans="33:38" x14ac:dyDescent="0.25">
      <c r="AG399" s="19">
        <f t="array" ref="AG399">DIASQUIEBRE(Q399:AB399)</f>
        <v>0</v>
      </c>
      <c r="AH399" s="19">
        <f t="array" ref="AH399">DiasMesesGris(Q399:AB399)</f>
        <v>0</v>
      </c>
      <c r="AI399" s="19">
        <f t="shared" si="39"/>
        <v>0</v>
      </c>
      <c r="AJ399" s="19">
        <f t="shared" si="40"/>
        <v>360</v>
      </c>
      <c r="AK399" s="20">
        <f t="shared" si="38"/>
        <v>0</v>
      </c>
      <c r="AL399" s="21">
        <f t="shared" si="41"/>
        <v>0</v>
      </c>
    </row>
    <row r="400" spans="33:38" x14ac:dyDescent="0.25">
      <c r="AG400" s="19">
        <f t="array" ref="AG400">DIASQUIEBRE(Q400:AB400)</f>
        <v>0</v>
      </c>
      <c r="AH400" s="19">
        <f t="array" ref="AH400">DiasMesesGris(Q400:AB400)</f>
        <v>0</v>
      </c>
      <c r="AI400" s="19">
        <f t="shared" si="39"/>
        <v>0</v>
      </c>
      <c r="AJ400" s="19">
        <f t="shared" si="40"/>
        <v>360</v>
      </c>
      <c r="AK400" s="20">
        <f t="shared" si="38"/>
        <v>0</v>
      </c>
      <c r="AL400" s="21">
        <f t="shared" si="41"/>
        <v>0</v>
      </c>
    </row>
    <row r="401" spans="33:38" x14ac:dyDescent="0.25">
      <c r="AG401" s="19">
        <f t="array" ref="AG401">DIASQUIEBRE(Q401:AB401)</f>
        <v>0</v>
      </c>
      <c r="AH401" s="19">
        <f t="array" ref="AH401">DiasMesesGris(Q401:AB401)</f>
        <v>0</v>
      </c>
      <c r="AI401" s="19">
        <f t="shared" si="39"/>
        <v>0</v>
      </c>
      <c r="AJ401" s="19">
        <f t="shared" si="40"/>
        <v>360</v>
      </c>
      <c r="AK401" s="20">
        <f t="shared" si="38"/>
        <v>0</v>
      </c>
      <c r="AL401" s="21">
        <f t="shared" si="41"/>
        <v>0</v>
      </c>
    </row>
    <row r="402" spans="33:38" x14ac:dyDescent="0.25">
      <c r="AG402" s="19">
        <f t="array" ref="AG402">DIASQUIEBRE(Q402:AB402)</f>
        <v>0</v>
      </c>
      <c r="AH402" s="19">
        <f t="array" ref="AH402">DiasMesesGris(Q402:AB402)</f>
        <v>0</v>
      </c>
      <c r="AI402" s="19">
        <f t="shared" si="39"/>
        <v>0</v>
      </c>
      <c r="AJ402" s="19">
        <f t="shared" si="40"/>
        <v>360</v>
      </c>
      <c r="AK402" s="20">
        <f t="shared" si="38"/>
        <v>0</v>
      </c>
      <c r="AL402" s="21">
        <f t="shared" si="41"/>
        <v>0</v>
      </c>
    </row>
    <row r="403" spans="33:38" x14ac:dyDescent="0.25">
      <c r="AG403" s="19">
        <f t="array" ref="AG403">DIASQUIEBRE(Q403:AB403)</f>
        <v>0</v>
      </c>
      <c r="AH403" s="19">
        <f t="array" ref="AH403">DiasMesesGris(Q403:AB403)</f>
        <v>0</v>
      </c>
      <c r="AI403" s="19">
        <f t="shared" si="39"/>
        <v>0</v>
      </c>
      <c r="AJ403" s="19">
        <f t="shared" si="40"/>
        <v>360</v>
      </c>
      <c r="AK403" s="20">
        <f t="shared" si="38"/>
        <v>0</v>
      </c>
      <c r="AL403" s="21">
        <f t="shared" si="41"/>
        <v>0</v>
      </c>
    </row>
    <row r="404" spans="33:38" x14ac:dyDescent="0.25">
      <c r="AG404" s="19">
        <f t="array" ref="AG404">DIASQUIEBRE(Q404:AB404)</f>
        <v>0</v>
      </c>
      <c r="AH404" s="19">
        <f t="array" ref="AH404">DiasMesesGris(Q404:AB404)</f>
        <v>0</v>
      </c>
      <c r="AI404" s="19">
        <f t="shared" si="39"/>
        <v>0</v>
      </c>
      <c r="AJ404" s="19">
        <f t="shared" si="40"/>
        <v>360</v>
      </c>
      <c r="AK404" s="20">
        <f t="shared" si="38"/>
        <v>0</v>
      </c>
      <c r="AL404" s="21">
        <f t="shared" si="41"/>
        <v>0</v>
      </c>
    </row>
    <row r="405" spans="33:38" x14ac:dyDescent="0.25">
      <c r="AG405" s="19">
        <f t="array" ref="AG405">DIASQUIEBRE(Q405:AB405)</f>
        <v>0</v>
      </c>
      <c r="AH405" s="19">
        <f t="array" ref="AH405">DiasMesesGris(Q405:AB405)</f>
        <v>0</v>
      </c>
      <c r="AI405" s="19">
        <f t="shared" si="39"/>
        <v>0</v>
      </c>
      <c r="AJ405" s="19">
        <f t="shared" si="40"/>
        <v>360</v>
      </c>
      <c r="AK405" s="20">
        <f t="shared" si="38"/>
        <v>0</v>
      </c>
      <c r="AL405" s="21">
        <f t="shared" si="41"/>
        <v>0</v>
      </c>
    </row>
    <row r="406" spans="33:38" x14ac:dyDescent="0.25">
      <c r="AG406" s="19">
        <f t="array" ref="AG406">DIASQUIEBRE(Q406:AB406)</f>
        <v>0</v>
      </c>
      <c r="AH406" s="19">
        <f t="array" ref="AH406">DiasMesesGris(Q406:AB406)</f>
        <v>0</v>
      </c>
      <c r="AI406" s="19">
        <f t="shared" si="39"/>
        <v>0</v>
      </c>
      <c r="AJ406" s="19">
        <f t="shared" si="40"/>
        <v>360</v>
      </c>
      <c r="AK406" s="20">
        <f t="shared" ref="AK406:AK469" si="42">SUM(D406:O406)</f>
        <v>0</v>
      </c>
      <c r="AL406" s="21">
        <f t="shared" si="41"/>
        <v>0</v>
      </c>
    </row>
    <row r="407" spans="33:38" x14ac:dyDescent="0.25">
      <c r="AG407" s="19">
        <f t="array" ref="AG407">DIASQUIEBRE(Q407:AB407)</f>
        <v>0</v>
      </c>
      <c r="AH407" s="19">
        <f t="array" ref="AH407">DiasMesesGris(Q407:AB407)</f>
        <v>0</v>
      </c>
      <c r="AI407" s="19">
        <f t="shared" si="39"/>
        <v>0</v>
      </c>
      <c r="AJ407" s="19">
        <f t="shared" si="40"/>
        <v>360</v>
      </c>
      <c r="AK407" s="20">
        <f t="shared" si="42"/>
        <v>0</v>
      </c>
      <c r="AL407" s="21">
        <f t="shared" si="41"/>
        <v>0</v>
      </c>
    </row>
    <row r="408" spans="33:38" x14ac:dyDescent="0.25">
      <c r="AG408" s="19">
        <f t="array" ref="AG408">DIASQUIEBRE(Q408:AB408)</f>
        <v>0</v>
      </c>
      <c r="AH408" s="19">
        <f t="array" ref="AH408">DiasMesesGris(Q408:AB408)</f>
        <v>0</v>
      </c>
      <c r="AI408" s="19">
        <f t="shared" si="39"/>
        <v>0</v>
      </c>
      <c r="AJ408" s="19">
        <f t="shared" si="40"/>
        <v>360</v>
      </c>
      <c r="AK408" s="20">
        <f t="shared" si="42"/>
        <v>0</v>
      </c>
      <c r="AL408" s="21">
        <f t="shared" si="41"/>
        <v>0</v>
      </c>
    </row>
    <row r="409" spans="33:38" x14ac:dyDescent="0.25">
      <c r="AG409" s="19">
        <f t="array" ref="AG409">DIASQUIEBRE(Q409:AB409)</f>
        <v>0</v>
      </c>
      <c r="AH409" s="19">
        <f t="array" ref="AH409">DiasMesesGris(Q409:AB409)</f>
        <v>0</v>
      </c>
      <c r="AI409" s="19">
        <f t="shared" si="39"/>
        <v>0</v>
      </c>
      <c r="AJ409" s="19">
        <f t="shared" si="40"/>
        <v>360</v>
      </c>
      <c r="AK409" s="20">
        <f t="shared" si="42"/>
        <v>0</v>
      </c>
      <c r="AL409" s="21">
        <f t="shared" si="41"/>
        <v>0</v>
      </c>
    </row>
    <row r="410" spans="33:38" x14ac:dyDescent="0.25">
      <c r="AG410" s="19">
        <f t="array" ref="AG410">DIASQUIEBRE(Q410:AB410)</f>
        <v>0</v>
      </c>
      <c r="AH410" s="19">
        <f t="array" ref="AH410">DiasMesesGris(Q410:AB410)</f>
        <v>0</v>
      </c>
      <c r="AI410" s="19">
        <f t="shared" si="39"/>
        <v>0</v>
      </c>
      <c r="AJ410" s="19">
        <f t="shared" si="40"/>
        <v>360</v>
      </c>
      <c r="AK410" s="20">
        <f t="shared" si="42"/>
        <v>0</v>
      </c>
      <c r="AL410" s="21">
        <f t="shared" si="41"/>
        <v>0</v>
      </c>
    </row>
    <row r="411" spans="33:38" x14ac:dyDescent="0.25">
      <c r="AG411" s="19">
        <f t="array" ref="AG411">DIASQUIEBRE(Q411:AB411)</f>
        <v>0</v>
      </c>
      <c r="AH411" s="19">
        <f t="array" ref="AH411">DiasMesesGris(Q411:AB411)</f>
        <v>0</v>
      </c>
      <c r="AI411" s="19">
        <f t="shared" si="39"/>
        <v>0</v>
      </c>
      <c r="AJ411" s="19">
        <f t="shared" si="40"/>
        <v>360</v>
      </c>
      <c r="AK411" s="20">
        <f t="shared" si="42"/>
        <v>0</v>
      </c>
      <c r="AL411" s="21">
        <f t="shared" si="41"/>
        <v>0</v>
      </c>
    </row>
    <row r="412" spans="33:38" x14ac:dyDescent="0.25">
      <c r="AG412" s="19">
        <f t="array" ref="AG412">DIASQUIEBRE(Q412:AB412)</f>
        <v>0</v>
      </c>
      <c r="AH412" s="19">
        <f t="array" ref="AH412">DiasMesesGris(Q412:AB412)</f>
        <v>0</v>
      </c>
      <c r="AI412" s="19">
        <f t="shared" si="39"/>
        <v>0</v>
      </c>
      <c r="AJ412" s="19">
        <f t="shared" si="40"/>
        <v>360</v>
      </c>
      <c r="AK412" s="20">
        <f t="shared" si="42"/>
        <v>0</v>
      </c>
      <c r="AL412" s="21">
        <f t="shared" si="41"/>
        <v>0</v>
      </c>
    </row>
    <row r="413" spans="33:38" x14ac:dyDescent="0.25">
      <c r="AG413" s="19">
        <f t="array" ref="AG413">DIASQUIEBRE(Q413:AB413)</f>
        <v>0</v>
      </c>
      <c r="AH413" s="19">
        <f t="array" ref="AH413">DiasMesesGris(Q413:AB413)</f>
        <v>0</v>
      </c>
      <c r="AI413" s="19">
        <f t="shared" si="39"/>
        <v>0</v>
      </c>
      <c r="AJ413" s="19">
        <f t="shared" si="40"/>
        <v>360</v>
      </c>
      <c r="AK413" s="20">
        <f t="shared" si="42"/>
        <v>0</v>
      </c>
      <c r="AL413" s="21">
        <f t="shared" si="41"/>
        <v>0</v>
      </c>
    </row>
    <row r="414" spans="33:38" x14ac:dyDescent="0.25">
      <c r="AG414" s="19">
        <f t="array" ref="AG414">DIASQUIEBRE(Q414:AB414)</f>
        <v>0</v>
      </c>
      <c r="AH414" s="19">
        <f t="array" ref="AH414">DiasMesesGris(Q414:AB414)</f>
        <v>0</v>
      </c>
      <c r="AI414" s="19">
        <f t="shared" si="39"/>
        <v>0</v>
      </c>
      <c r="AJ414" s="19">
        <f t="shared" si="40"/>
        <v>360</v>
      </c>
      <c r="AK414" s="20">
        <f t="shared" si="42"/>
        <v>0</v>
      </c>
      <c r="AL414" s="21">
        <f t="shared" si="41"/>
        <v>0</v>
      </c>
    </row>
    <row r="415" spans="33:38" x14ac:dyDescent="0.25">
      <c r="AG415" s="19">
        <f t="array" ref="AG415">DIASQUIEBRE(Q415:AB415)</f>
        <v>0</v>
      </c>
      <c r="AH415" s="19">
        <f t="array" ref="AH415">DiasMesesGris(Q415:AB415)</f>
        <v>0</v>
      </c>
      <c r="AI415" s="19">
        <f t="shared" si="39"/>
        <v>0</v>
      </c>
      <c r="AJ415" s="19">
        <f t="shared" si="40"/>
        <v>360</v>
      </c>
      <c r="AK415" s="20">
        <f t="shared" si="42"/>
        <v>0</v>
      </c>
      <c r="AL415" s="21">
        <f t="shared" si="41"/>
        <v>0</v>
      </c>
    </row>
    <row r="416" spans="33:38" x14ac:dyDescent="0.25">
      <c r="AG416" s="19">
        <f t="array" ref="AG416">DIASQUIEBRE(Q416:AB416)</f>
        <v>0</v>
      </c>
      <c r="AH416" s="19">
        <f t="array" ref="AH416">DiasMesesGris(Q416:AB416)</f>
        <v>0</v>
      </c>
      <c r="AI416" s="19">
        <f t="shared" si="39"/>
        <v>0</v>
      </c>
      <c r="AJ416" s="19">
        <f t="shared" si="40"/>
        <v>360</v>
      </c>
      <c r="AK416" s="20">
        <f t="shared" si="42"/>
        <v>0</v>
      </c>
      <c r="AL416" s="21">
        <f t="shared" si="41"/>
        <v>0</v>
      </c>
    </row>
    <row r="417" spans="33:38" x14ac:dyDescent="0.25">
      <c r="AG417" s="19">
        <f t="array" ref="AG417">DIASQUIEBRE(Q417:AB417)</f>
        <v>0</v>
      </c>
      <c r="AH417" s="19">
        <f t="array" ref="AH417">DiasMesesGris(Q417:AB417)</f>
        <v>0</v>
      </c>
      <c r="AI417" s="19">
        <f t="shared" si="39"/>
        <v>0</v>
      </c>
      <c r="AJ417" s="19">
        <f t="shared" si="40"/>
        <v>360</v>
      </c>
      <c r="AK417" s="20">
        <f t="shared" si="42"/>
        <v>0</v>
      </c>
      <c r="AL417" s="21">
        <f t="shared" si="41"/>
        <v>0</v>
      </c>
    </row>
    <row r="418" spans="33:38" x14ac:dyDescent="0.25">
      <c r="AG418" s="19">
        <f t="array" ref="AG418">DIASQUIEBRE(Q418:AB418)</f>
        <v>0</v>
      </c>
      <c r="AH418" s="19">
        <f t="array" ref="AH418">DiasMesesGris(Q418:AB418)</f>
        <v>0</v>
      </c>
      <c r="AI418" s="19">
        <f t="shared" si="39"/>
        <v>0</v>
      </c>
      <c r="AJ418" s="19">
        <f t="shared" si="40"/>
        <v>360</v>
      </c>
      <c r="AK418" s="20">
        <f t="shared" si="42"/>
        <v>0</v>
      </c>
      <c r="AL418" s="21">
        <f t="shared" si="41"/>
        <v>0</v>
      </c>
    </row>
    <row r="419" spans="33:38" x14ac:dyDescent="0.25">
      <c r="AG419" s="19">
        <f t="array" ref="AG419">DIASQUIEBRE(Q419:AB419)</f>
        <v>0</v>
      </c>
      <c r="AH419" s="19">
        <f t="array" ref="AH419">DiasMesesGris(Q419:AB419)</f>
        <v>0</v>
      </c>
      <c r="AI419" s="19">
        <f t="shared" si="39"/>
        <v>0</v>
      </c>
      <c r="AJ419" s="19">
        <f t="shared" si="40"/>
        <v>360</v>
      </c>
      <c r="AK419" s="20">
        <f t="shared" si="42"/>
        <v>0</v>
      </c>
      <c r="AL419" s="21">
        <f t="shared" si="41"/>
        <v>0</v>
      </c>
    </row>
    <row r="420" spans="33:38" x14ac:dyDescent="0.25">
      <c r="AG420" s="19">
        <f t="array" ref="AG420">DIASQUIEBRE(Q420:AB420)</f>
        <v>0</v>
      </c>
      <c r="AH420" s="19">
        <f t="array" ref="AH420">DiasMesesGris(Q420:AB420)</f>
        <v>0</v>
      </c>
      <c r="AI420" s="19">
        <f t="shared" si="39"/>
        <v>0</v>
      </c>
      <c r="AJ420" s="19">
        <f t="shared" si="40"/>
        <v>360</v>
      </c>
      <c r="AK420" s="20">
        <f t="shared" si="42"/>
        <v>0</v>
      </c>
      <c r="AL420" s="21">
        <f t="shared" si="41"/>
        <v>0</v>
      </c>
    </row>
    <row r="421" spans="33:38" x14ac:dyDescent="0.25">
      <c r="AG421" s="19">
        <f t="array" ref="AG421">DIASQUIEBRE(Q421:AB421)</f>
        <v>0</v>
      </c>
      <c r="AH421" s="19">
        <f t="array" ref="AH421">DiasMesesGris(Q421:AB421)</f>
        <v>0</v>
      </c>
      <c r="AI421" s="19">
        <f t="shared" si="39"/>
        <v>0</v>
      </c>
      <c r="AJ421" s="19">
        <f t="shared" si="40"/>
        <v>360</v>
      </c>
      <c r="AK421" s="20">
        <f t="shared" si="42"/>
        <v>0</v>
      </c>
      <c r="AL421" s="21">
        <f t="shared" si="41"/>
        <v>0</v>
      </c>
    </row>
    <row r="422" spans="33:38" x14ac:dyDescent="0.25">
      <c r="AG422" s="19">
        <f t="array" ref="AG422">DIASQUIEBRE(Q422:AB422)</f>
        <v>0</v>
      </c>
      <c r="AH422" s="19">
        <f t="array" ref="AH422">DiasMesesGris(Q422:AB422)</f>
        <v>0</v>
      </c>
      <c r="AI422" s="19">
        <f t="shared" si="39"/>
        <v>0</v>
      </c>
      <c r="AJ422" s="19">
        <f t="shared" si="40"/>
        <v>360</v>
      </c>
      <c r="AK422" s="20">
        <f t="shared" si="42"/>
        <v>0</v>
      </c>
      <c r="AL422" s="21">
        <f t="shared" si="41"/>
        <v>0</v>
      </c>
    </row>
    <row r="423" spans="33:38" x14ac:dyDescent="0.25">
      <c r="AG423" s="19">
        <f t="array" ref="AG423">DIASQUIEBRE(Q423:AB423)</f>
        <v>0</v>
      </c>
      <c r="AH423" s="19">
        <f t="array" ref="AH423">DiasMesesGris(Q423:AB423)</f>
        <v>0</v>
      </c>
      <c r="AI423" s="19">
        <f t="shared" si="39"/>
        <v>0</v>
      </c>
      <c r="AJ423" s="19">
        <f t="shared" si="40"/>
        <v>360</v>
      </c>
      <c r="AK423" s="20">
        <f t="shared" si="42"/>
        <v>0</v>
      </c>
      <c r="AL423" s="21">
        <f t="shared" si="41"/>
        <v>0</v>
      </c>
    </row>
    <row r="424" spans="33:38" x14ac:dyDescent="0.25">
      <c r="AG424" s="19">
        <f t="array" ref="AG424">DIASQUIEBRE(Q424:AB424)</f>
        <v>0</v>
      </c>
      <c r="AH424" s="19">
        <f t="array" ref="AH424">DiasMesesGris(Q424:AB424)</f>
        <v>0</v>
      </c>
      <c r="AI424" s="19">
        <f t="shared" si="39"/>
        <v>0</v>
      </c>
      <c r="AJ424" s="19">
        <f t="shared" si="40"/>
        <v>360</v>
      </c>
      <c r="AK424" s="20">
        <f t="shared" si="42"/>
        <v>0</v>
      </c>
      <c r="AL424" s="21">
        <f t="shared" si="41"/>
        <v>0</v>
      </c>
    </row>
    <row r="425" spans="33:38" x14ac:dyDescent="0.25">
      <c r="AG425" s="19">
        <f t="array" ref="AG425">DIASQUIEBRE(Q425:AB425)</f>
        <v>0</v>
      </c>
      <c r="AH425" s="19">
        <f t="array" ref="AH425">DiasMesesGris(Q425:AB425)</f>
        <v>0</v>
      </c>
      <c r="AI425" s="19">
        <f t="shared" si="39"/>
        <v>0</v>
      </c>
      <c r="AJ425" s="19">
        <f t="shared" si="40"/>
        <v>360</v>
      </c>
      <c r="AK425" s="20">
        <f t="shared" si="42"/>
        <v>0</v>
      </c>
      <c r="AL425" s="21">
        <f t="shared" si="41"/>
        <v>0</v>
      </c>
    </row>
    <row r="426" spans="33:38" x14ac:dyDescent="0.25">
      <c r="AG426" s="19">
        <f t="array" ref="AG426">DIASQUIEBRE(Q426:AB426)</f>
        <v>0</v>
      </c>
      <c r="AH426" s="19">
        <f t="array" ref="AH426">DiasMesesGris(Q426:AB426)</f>
        <v>0</v>
      </c>
      <c r="AI426" s="19">
        <f t="shared" si="39"/>
        <v>0</v>
      </c>
      <c r="AJ426" s="19">
        <f t="shared" si="40"/>
        <v>360</v>
      </c>
      <c r="AK426" s="20">
        <f t="shared" si="42"/>
        <v>0</v>
      </c>
      <c r="AL426" s="21">
        <f t="shared" si="41"/>
        <v>0</v>
      </c>
    </row>
    <row r="427" spans="33:38" x14ac:dyDescent="0.25">
      <c r="AG427" s="19">
        <f t="array" ref="AG427">DIASQUIEBRE(Q427:AB427)</f>
        <v>0</v>
      </c>
      <c r="AH427" s="19">
        <f t="array" ref="AH427">DiasMesesGris(Q427:AB427)</f>
        <v>0</v>
      </c>
      <c r="AI427" s="19">
        <f t="shared" si="39"/>
        <v>0</v>
      </c>
      <c r="AJ427" s="19">
        <f t="shared" si="40"/>
        <v>360</v>
      </c>
      <c r="AK427" s="20">
        <f t="shared" si="42"/>
        <v>0</v>
      </c>
      <c r="AL427" s="21">
        <f t="shared" si="41"/>
        <v>0</v>
      </c>
    </row>
    <row r="428" spans="33:38" x14ac:dyDescent="0.25">
      <c r="AG428" s="19">
        <f t="array" ref="AG428">DIASQUIEBRE(Q428:AB428)</f>
        <v>0</v>
      </c>
      <c r="AH428" s="19">
        <f t="array" ref="AH428">DiasMesesGris(Q428:AB428)</f>
        <v>0</v>
      </c>
      <c r="AI428" s="19">
        <f t="shared" si="39"/>
        <v>0</v>
      </c>
      <c r="AJ428" s="19">
        <f t="shared" si="40"/>
        <v>360</v>
      </c>
      <c r="AK428" s="20">
        <f t="shared" si="42"/>
        <v>0</v>
      </c>
      <c r="AL428" s="21">
        <f t="shared" si="41"/>
        <v>0</v>
      </c>
    </row>
    <row r="429" spans="33:38" x14ac:dyDescent="0.25">
      <c r="AG429" s="19">
        <f t="array" ref="AG429">DIASQUIEBRE(Q429:AB429)</f>
        <v>0</v>
      </c>
      <c r="AH429" s="19">
        <f t="array" ref="AH429">DiasMesesGris(Q429:AB429)</f>
        <v>0</v>
      </c>
      <c r="AI429" s="19">
        <f t="shared" si="39"/>
        <v>0</v>
      </c>
      <c r="AJ429" s="19">
        <f t="shared" si="40"/>
        <v>360</v>
      </c>
      <c r="AK429" s="20">
        <f t="shared" si="42"/>
        <v>0</v>
      </c>
      <c r="AL429" s="21">
        <f t="shared" si="41"/>
        <v>0</v>
      </c>
    </row>
    <row r="430" spans="33:38" x14ac:dyDescent="0.25">
      <c r="AG430" s="19">
        <f t="array" ref="AG430">DIASQUIEBRE(Q430:AB430)</f>
        <v>0</v>
      </c>
      <c r="AH430" s="19">
        <f t="array" ref="AH430">DiasMesesGris(Q430:AB430)</f>
        <v>0</v>
      </c>
      <c r="AI430" s="19">
        <f t="shared" si="39"/>
        <v>0</v>
      </c>
      <c r="AJ430" s="19">
        <f t="shared" si="40"/>
        <v>360</v>
      </c>
      <c r="AK430" s="20">
        <f t="shared" si="42"/>
        <v>0</v>
      </c>
      <c r="AL430" s="21">
        <f t="shared" si="41"/>
        <v>0</v>
      </c>
    </row>
    <row r="431" spans="33:38" x14ac:dyDescent="0.25">
      <c r="AG431" s="19">
        <f t="array" ref="AG431">DIASQUIEBRE(Q431:AB431)</f>
        <v>0</v>
      </c>
      <c r="AH431" s="19">
        <f t="array" ref="AH431">DiasMesesGris(Q431:AB431)</f>
        <v>0</v>
      </c>
      <c r="AI431" s="19">
        <f t="shared" si="39"/>
        <v>0</v>
      </c>
      <c r="AJ431" s="19">
        <f t="shared" si="40"/>
        <v>360</v>
      </c>
      <c r="AK431" s="20">
        <f t="shared" si="42"/>
        <v>0</v>
      </c>
      <c r="AL431" s="21">
        <f t="shared" si="41"/>
        <v>0</v>
      </c>
    </row>
    <row r="432" spans="33:38" x14ac:dyDescent="0.25">
      <c r="AG432" s="19">
        <f t="array" ref="AG432">DIASQUIEBRE(Q432:AB432)</f>
        <v>0</v>
      </c>
      <c r="AH432" s="19">
        <f t="array" ref="AH432">DiasMesesGris(Q432:AB432)</f>
        <v>0</v>
      </c>
      <c r="AI432" s="19">
        <f t="shared" si="39"/>
        <v>0</v>
      </c>
      <c r="AJ432" s="19">
        <f t="shared" si="40"/>
        <v>360</v>
      </c>
      <c r="AK432" s="20">
        <f t="shared" si="42"/>
        <v>0</v>
      </c>
      <c r="AL432" s="21">
        <f t="shared" si="41"/>
        <v>0</v>
      </c>
    </row>
    <row r="433" spans="33:38" x14ac:dyDescent="0.25">
      <c r="AG433" s="19">
        <f t="array" ref="AG433">DIASQUIEBRE(Q433:AB433)</f>
        <v>0</v>
      </c>
      <c r="AH433" s="19">
        <f t="array" ref="AH433">DiasMesesGris(Q433:AB433)</f>
        <v>0</v>
      </c>
      <c r="AI433" s="19">
        <f t="shared" si="39"/>
        <v>0</v>
      </c>
      <c r="AJ433" s="19">
        <f t="shared" si="40"/>
        <v>360</v>
      </c>
      <c r="AK433" s="20">
        <f t="shared" si="42"/>
        <v>0</v>
      </c>
      <c r="AL433" s="21">
        <f t="shared" si="41"/>
        <v>0</v>
      </c>
    </row>
    <row r="434" spans="33:38" x14ac:dyDescent="0.25">
      <c r="AG434" s="19">
        <f t="array" ref="AG434">DIASQUIEBRE(Q434:AB434)</f>
        <v>0</v>
      </c>
      <c r="AH434" s="19">
        <f t="array" ref="AH434">DiasMesesGris(Q434:AB434)</f>
        <v>0</v>
      </c>
      <c r="AI434" s="19">
        <f t="shared" si="39"/>
        <v>0</v>
      </c>
      <c r="AJ434" s="19">
        <f t="shared" si="40"/>
        <v>360</v>
      </c>
      <c r="AK434" s="20">
        <f t="shared" si="42"/>
        <v>0</v>
      </c>
      <c r="AL434" s="21">
        <f t="shared" si="41"/>
        <v>0</v>
      </c>
    </row>
    <row r="435" spans="33:38" x14ac:dyDescent="0.25">
      <c r="AG435" s="19">
        <f t="array" ref="AG435">DIASQUIEBRE(Q435:AB435)</f>
        <v>0</v>
      </c>
      <c r="AH435" s="19">
        <f t="array" ref="AH435">DiasMesesGris(Q435:AB435)</f>
        <v>0</v>
      </c>
      <c r="AI435" s="19">
        <f t="shared" si="39"/>
        <v>0</v>
      </c>
      <c r="AJ435" s="19">
        <f t="shared" si="40"/>
        <v>360</v>
      </c>
      <c r="AK435" s="20">
        <f t="shared" si="42"/>
        <v>0</v>
      </c>
      <c r="AL435" s="21">
        <f t="shared" si="41"/>
        <v>0</v>
      </c>
    </row>
    <row r="436" spans="33:38" x14ac:dyDescent="0.25">
      <c r="AG436" s="19">
        <f t="array" ref="AG436">DIASQUIEBRE(Q436:AB436)</f>
        <v>0</v>
      </c>
      <c r="AH436" s="19">
        <f t="array" ref="AH436">DiasMesesGris(Q436:AB436)</f>
        <v>0</v>
      </c>
      <c r="AI436" s="19">
        <f t="shared" si="39"/>
        <v>0</v>
      </c>
      <c r="AJ436" s="19">
        <f t="shared" si="40"/>
        <v>360</v>
      </c>
      <c r="AK436" s="20">
        <f t="shared" si="42"/>
        <v>0</v>
      </c>
      <c r="AL436" s="21">
        <f t="shared" si="41"/>
        <v>0</v>
      </c>
    </row>
    <row r="437" spans="33:38" x14ac:dyDescent="0.25">
      <c r="AG437" s="19">
        <f t="array" ref="AG437">DIASQUIEBRE(Q437:AB437)</f>
        <v>0</v>
      </c>
      <c r="AH437" s="19">
        <f t="array" ref="AH437">DiasMesesGris(Q437:AB437)</f>
        <v>0</v>
      </c>
      <c r="AI437" s="19">
        <f t="shared" si="39"/>
        <v>0</v>
      </c>
      <c r="AJ437" s="19">
        <f t="shared" si="40"/>
        <v>360</v>
      </c>
      <c r="AK437" s="20">
        <f t="shared" si="42"/>
        <v>0</v>
      </c>
      <c r="AL437" s="21">
        <f t="shared" si="41"/>
        <v>0</v>
      </c>
    </row>
    <row r="438" spans="33:38" x14ac:dyDescent="0.25">
      <c r="AG438" s="19">
        <f t="array" ref="AG438">DIASQUIEBRE(Q438:AB438)</f>
        <v>0</v>
      </c>
      <c r="AH438" s="19">
        <f t="array" ref="AH438">DiasMesesGris(Q438:AB438)</f>
        <v>0</v>
      </c>
      <c r="AI438" s="19">
        <f t="shared" si="39"/>
        <v>0</v>
      </c>
      <c r="AJ438" s="19">
        <f t="shared" si="40"/>
        <v>360</v>
      </c>
      <c r="AK438" s="20">
        <f t="shared" si="42"/>
        <v>0</v>
      </c>
      <c r="AL438" s="21">
        <f t="shared" si="41"/>
        <v>0</v>
      </c>
    </row>
    <row r="439" spans="33:38" x14ac:dyDescent="0.25">
      <c r="AG439" s="19">
        <f t="array" ref="AG439">DIASQUIEBRE(Q439:AB439)</f>
        <v>0</v>
      </c>
      <c r="AH439" s="19">
        <f t="array" ref="AH439">DiasMesesGris(Q439:AB439)</f>
        <v>0</v>
      </c>
      <c r="AI439" s="19">
        <f t="shared" si="39"/>
        <v>0</v>
      </c>
      <c r="AJ439" s="19">
        <f t="shared" si="40"/>
        <v>360</v>
      </c>
      <c r="AK439" s="20">
        <f t="shared" si="42"/>
        <v>0</v>
      </c>
      <c r="AL439" s="21">
        <f t="shared" si="41"/>
        <v>0</v>
      </c>
    </row>
    <row r="440" spans="33:38" x14ac:dyDescent="0.25">
      <c r="AG440" s="19">
        <f t="array" ref="AG440">DIASQUIEBRE(Q440:AB440)</f>
        <v>0</v>
      </c>
      <c r="AH440" s="19">
        <f t="array" ref="AH440">DiasMesesGris(Q440:AB440)</f>
        <v>0</v>
      </c>
      <c r="AI440" s="19">
        <f t="shared" si="39"/>
        <v>0</v>
      </c>
      <c r="AJ440" s="19">
        <f t="shared" si="40"/>
        <v>360</v>
      </c>
      <c r="AK440" s="20">
        <f t="shared" si="42"/>
        <v>0</v>
      </c>
      <c r="AL440" s="21">
        <f t="shared" si="41"/>
        <v>0</v>
      </c>
    </row>
    <row r="441" spans="33:38" x14ac:dyDescent="0.25">
      <c r="AG441" s="19">
        <f t="array" ref="AG441">DIASQUIEBRE(Q441:AB441)</f>
        <v>0</v>
      </c>
      <c r="AH441" s="19">
        <f t="array" ref="AH441">DiasMesesGris(Q441:AB441)</f>
        <v>0</v>
      </c>
      <c r="AI441" s="19">
        <f t="shared" si="39"/>
        <v>0</v>
      </c>
      <c r="AJ441" s="19">
        <f t="shared" si="40"/>
        <v>360</v>
      </c>
      <c r="AK441" s="20">
        <f t="shared" si="42"/>
        <v>0</v>
      </c>
      <c r="AL441" s="21">
        <f t="shared" si="41"/>
        <v>0</v>
      </c>
    </row>
    <row r="442" spans="33:38" x14ac:dyDescent="0.25">
      <c r="AG442" s="19">
        <f t="array" ref="AG442">DIASQUIEBRE(Q442:AB442)</f>
        <v>0</v>
      </c>
      <c r="AH442" s="19">
        <f t="array" ref="AH442">DiasMesesGris(Q442:AB442)</f>
        <v>0</v>
      </c>
      <c r="AI442" s="19">
        <f t="shared" si="39"/>
        <v>0</v>
      </c>
      <c r="AJ442" s="19">
        <f t="shared" si="40"/>
        <v>360</v>
      </c>
      <c r="AK442" s="20">
        <f t="shared" si="42"/>
        <v>0</v>
      </c>
      <c r="AL442" s="21">
        <f t="shared" si="41"/>
        <v>0</v>
      </c>
    </row>
    <row r="443" spans="33:38" x14ac:dyDescent="0.25">
      <c r="AG443" s="19">
        <f t="array" ref="AG443">DIASQUIEBRE(Q443:AB443)</f>
        <v>0</v>
      </c>
      <c r="AH443" s="19">
        <f t="array" ref="AH443">DiasMesesGris(Q443:AB443)</f>
        <v>0</v>
      </c>
      <c r="AI443" s="19">
        <f t="shared" si="39"/>
        <v>0</v>
      </c>
      <c r="AJ443" s="19">
        <f t="shared" si="40"/>
        <v>360</v>
      </c>
      <c r="AK443" s="20">
        <f t="shared" si="42"/>
        <v>0</v>
      </c>
      <c r="AL443" s="21">
        <f t="shared" si="41"/>
        <v>0</v>
      </c>
    </row>
    <row r="444" spans="33:38" x14ac:dyDescent="0.25">
      <c r="AG444" s="19">
        <f t="array" ref="AG444">DIASQUIEBRE(Q444:AB444)</f>
        <v>0</v>
      </c>
      <c r="AH444" s="19">
        <f t="array" ref="AH444">DiasMesesGris(Q444:AB444)</f>
        <v>0</v>
      </c>
      <c r="AI444" s="19">
        <f t="shared" si="39"/>
        <v>0</v>
      </c>
      <c r="AJ444" s="19">
        <f t="shared" si="40"/>
        <v>360</v>
      </c>
      <c r="AK444" s="20">
        <f t="shared" si="42"/>
        <v>0</v>
      </c>
      <c r="AL444" s="21">
        <f t="shared" si="41"/>
        <v>0</v>
      </c>
    </row>
    <row r="445" spans="33:38" x14ac:dyDescent="0.25">
      <c r="AG445" s="19">
        <f t="array" ref="AG445">DIASQUIEBRE(Q445:AB445)</f>
        <v>0</v>
      </c>
      <c r="AH445" s="19">
        <f t="array" ref="AH445">DiasMesesGris(Q445:AB445)</f>
        <v>0</v>
      </c>
      <c r="AI445" s="19">
        <f t="shared" si="39"/>
        <v>0</v>
      </c>
      <c r="AJ445" s="19">
        <f t="shared" si="40"/>
        <v>360</v>
      </c>
      <c r="AK445" s="20">
        <f t="shared" si="42"/>
        <v>0</v>
      </c>
      <c r="AL445" s="21">
        <f t="shared" si="41"/>
        <v>0</v>
      </c>
    </row>
    <row r="446" spans="33:38" x14ac:dyDescent="0.25">
      <c r="AG446" s="19">
        <f t="array" ref="AG446">DIASQUIEBRE(Q446:AB446)</f>
        <v>0</v>
      </c>
      <c r="AH446" s="19">
        <f t="array" ref="AH446">DiasMesesGris(Q446:AB446)</f>
        <v>0</v>
      </c>
      <c r="AI446" s="19">
        <f t="shared" si="39"/>
        <v>0</v>
      </c>
      <c r="AJ446" s="19">
        <f t="shared" si="40"/>
        <v>360</v>
      </c>
      <c r="AK446" s="20">
        <f t="shared" si="42"/>
        <v>0</v>
      </c>
      <c r="AL446" s="21">
        <f t="shared" si="41"/>
        <v>0</v>
      </c>
    </row>
    <row r="447" spans="33:38" x14ac:dyDescent="0.25">
      <c r="AG447" s="19">
        <f t="array" ref="AG447">DIASQUIEBRE(Q447:AB447)</f>
        <v>0</v>
      </c>
      <c r="AH447" s="19">
        <f t="array" ref="AH447">DiasMesesGris(Q447:AB447)</f>
        <v>0</v>
      </c>
      <c r="AI447" s="19">
        <f t="shared" si="39"/>
        <v>0</v>
      </c>
      <c r="AJ447" s="19">
        <f t="shared" si="40"/>
        <v>360</v>
      </c>
      <c r="AK447" s="20">
        <f t="shared" si="42"/>
        <v>0</v>
      </c>
      <c r="AL447" s="21">
        <f t="shared" si="41"/>
        <v>0</v>
      </c>
    </row>
    <row r="448" spans="33:38" x14ac:dyDescent="0.25">
      <c r="AG448" s="19">
        <f t="array" ref="AG448">DIASQUIEBRE(Q448:AB448)</f>
        <v>0</v>
      </c>
      <c r="AH448" s="19">
        <f t="array" ref="AH448">DiasMesesGris(Q448:AB448)</f>
        <v>0</v>
      </c>
      <c r="AI448" s="19">
        <f t="shared" si="39"/>
        <v>0</v>
      </c>
      <c r="AJ448" s="19">
        <f t="shared" si="40"/>
        <v>360</v>
      </c>
      <c r="AK448" s="20">
        <f t="shared" si="42"/>
        <v>0</v>
      </c>
      <c r="AL448" s="21">
        <f t="shared" si="41"/>
        <v>0</v>
      </c>
    </row>
    <row r="449" spans="33:38" x14ac:dyDescent="0.25">
      <c r="AG449" s="19">
        <f t="array" ref="AG449">DIASQUIEBRE(Q449:AB449)</f>
        <v>0</v>
      </c>
      <c r="AH449" s="19">
        <f t="array" ref="AH449">DiasMesesGris(Q449:AB449)</f>
        <v>0</v>
      </c>
      <c r="AI449" s="19">
        <f t="shared" si="39"/>
        <v>0</v>
      </c>
      <c r="AJ449" s="19">
        <f t="shared" si="40"/>
        <v>360</v>
      </c>
      <c r="AK449" s="20">
        <f t="shared" si="42"/>
        <v>0</v>
      </c>
      <c r="AL449" s="21">
        <f t="shared" si="41"/>
        <v>0</v>
      </c>
    </row>
    <row r="450" spans="33:38" x14ac:dyDescent="0.25">
      <c r="AG450" s="19">
        <f t="array" ref="AG450">DIASQUIEBRE(Q450:AB450)</f>
        <v>0</v>
      </c>
      <c r="AH450" s="19">
        <f t="array" ref="AH450">DiasMesesGris(Q450:AB450)</f>
        <v>0</v>
      </c>
      <c r="AI450" s="19">
        <f t="shared" ref="AI450:AI513" si="43">AG450+AH450</f>
        <v>0</v>
      </c>
      <c r="AJ450" s="19">
        <f t="shared" ref="AJ450:AJ513" si="44">360-AI450</f>
        <v>360</v>
      </c>
      <c r="AK450" s="20">
        <f t="shared" si="42"/>
        <v>0</v>
      </c>
      <c r="AL450" s="21">
        <f t="shared" ref="AL450:AL513" si="45">IFERROR(AK450/AJ450,0)</f>
        <v>0</v>
      </c>
    </row>
    <row r="451" spans="33:38" x14ac:dyDescent="0.25">
      <c r="AG451" s="19">
        <f t="array" ref="AG451">DIASQUIEBRE(Q451:AB451)</f>
        <v>0</v>
      </c>
      <c r="AH451" s="19">
        <f t="array" ref="AH451">DiasMesesGris(Q451:AB451)</f>
        <v>0</v>
      </c>
      <c r="AI451" s="19">
        <f t="shared" si="43"/>
        <v>0</v>
      </c>
      <c r="AJ451" s="19">
        <f t="shared" si="44"/>
        <v>360</v>
      </c>
      <c r="AK451" s="20">
        <f t="shared" si="42"/>
        <v>0</v>
      </c>
      <c r="AL451" s="21">
        <f t="shared" si="45"/>
        <v>0</v>
      </c>
    </row>
    <row r="452" spans="33:38" x14ac:dyDescent="0.25">
      <c r="AG452" s="19">
        <f t="array" ref="AG452">DIASQUIEBRE(Q452:AB452)</f>
        <v>0</v>
      </c>
      <c r="AH452" s="19">
        <f t="array" ref="AH452">DiasMesesGris(Q452:AB452)</f>
        <v>0</v>
      </c>
      <c r="AI452" s="19">
        <f t="shared" si="43"/>
        <v>0</v>
      </c>
      <c r="AJ452" s="19">
        <f t="shared" si="44"/>
        <v>360</v>
      </c>
      <c r="AK452" s="20">
        <f t="shared" si="42"/>
        <v>0</v>
      </c>
      <c r="AL452" s="21">
        <f t="shared" si="45"/>
        <v>0</v>
      </c>
    </row>
    <row r="453" spans="33:38" x14ac:dyDescent="0.25">
      <c r="AG453" s="19">
        <f t="array" ref="AG453">DIASQUIEBRE(Q453:AB453)</f>
        <v>0</v>
      </c>
      <c r="AH453" s="19">
        <f t="array" ref="AH453">DiasMesesGris(Q453:AB453)</f>
        <v>0</v>
      </c>
      <c r="AI453" s="19">
        <f t="shared" si="43"/>
        <v>0</v>
      </c>
      <c r="AJ453" s="19">
        <f t="shared" si="44"/>
        <v>360</v>
      </c>
      <c r="AK453" s="20">
        <f t="shared" si="42"/>
        <v>0</v>
      </c>
      <c r="AL453" s="21">
        <f t="shared" si="45"/>
        <v>0</v>
      </c>
    </row>
    <row r="454" spans="33:38" x14ac:dyDescent="0.25">
      <c r="AG454" s="19">
        <f t="array" ref="AG454">DIASQUIEBRE(Q454:AB454)</f>
        <v>0</v>
      </c>
      <c r="AH454" s="19">
        <f t="array" ref="AH454">DiasMesesGris(Q454:AB454)</f>
        <v>0</v>
      </c>
      <c r="AI454" s="19">
        <f t="shared" si="43"/>
        <v>0</v>
      </c>
      <c r="AJ454" s="19">
        <f t="shared" si="44"/>
        <v>360</v>
      </c>
      <c r="AK454" s="20">
        <f t="shared" si="42"/>
        <v>0</v>
      </c>
      <c r="AL454" s="21">
        <f t="shared" si="45"/>
        <v>0</v>
      </c>
    </row>
    <row r="455" spans="33:38" x14ac:dyDescent="0.25">
      <c r="AG455" s="19">
        <f t="array" ref="AG455">DIASQUIEBRE(Q455:AB455)</f>
        <v>0</v>
      </c>
      <c r="AH455" s="19">
        <f t="array" ref="AH455">DiasMesesGris(Q455:AB455)</f>
        <v>0</v>
      </c>
      <c r="AI455" s="19">
        <f t="shared" si="43"/>
        <v>0</v>
      </c>
      <c r="AJ455" s="19">
        <f t="shared" si="44"/>
        <v>360</v>
      </c>
      <c r="AK455" s="20">
        <f t="shared" si="42"/>
        <v>0</v>
      </c>
      <c r="AL455" s="21">
        <f t="shared" si="45"/>
        <v>0</v>
      </c>
    </row>
    <row r="456" spans="33:38" x14ac:dyDescent="0.25">
      <c r="AG456" s="19">
        <f t="array" ref="AG456">DIASQUIEBRE(Q456:AB456)</f>
        <v>0</v>
      </c>
      <c r="AH456" s="19">
        <f t="array" ref="AH456">DiasMesesGris(Q456:AB456)</f>
        <v>0</v>
      </c>
      <c r="AI456" s="19">
        <f t="shared" si="43"/>
        <v>0</v>
      </c>
      <c r="AJ456" s="19">
        <f t="shared" si="44"/>
        <v>360</v>
      </c>
      <c r="AK456" s="20">
        <f t="shared" si="42"/>
        <v>0</v>
      </c>
      <c r="AL456" s="21">
        <f t="shared" si="45"/>
        <v>0</v>
      </c>
    </row>
    <row r="457" spans="33:38" x14ac:dyDescent="0.25">
      <c r="AG457" s="19">
        <f t="array" ref="AG457">DIASQUIEBRE(Q457:AB457)</f>
        <v>0</v>
      </c>
      <c r="AH457" s="19">
        <f t="array" ref="AH457">DiasMesesGris(Q457:AB457)</f>
        <v>0</v>
      </c>
      <c r="AI457" s="19">
        <f t="shared" si="43"/>
        <v>0</v>
      </c>
      <c r="AJ457" s="19">
        <f t="shared" si="44"/>
        <v>360</v>
      </c>
      <c r="AK457" s="20">
        <f t="shared" si="42"/>
        <v>0</v>
      </c>
      <c r="AL457" s="21">
        <f t="shared" si="45"/>
        <v>0</v>
      </c>
    </row>
    <row r="458" spans="33:38" x14ac:dyDescent="0.25">
      <c r="AG458" s="19">
        <f t="array" ref="AG458">DIASQUIEBRE(Q458:AB458)</f>
        <v>0</v>
      </c>
      <c r="AH458" s="19">
        <f t="array" ref="AH458">DiasMesesGris(Q458:AB458)</f>
        <v>0</v>
      </c>
      <c r="AI458" s="19">
        <f t="shared" si="43"/>
        <v>0</v>
      </c>
      <c r="AJ458" s="19">
        <f t="shared" si="44"/>
        <v>360</v>
      </c>
      <c r="AK458" s="20">
        <f t="shared" si="42"/>
        <v>0</v>
      </c>
      <c r="AL458" s="21">
        <f t="shared" si="45"/>
        <v>0</v>
      </c>
    </row>
    <row r="459" spans="33:38" x14ac:dyDescent="0.25">
      <c r="AG459" s="19">
        <f t="array" ref="AG459">DIASQUIEBRE(Q459:AB459)</f>
        <v>0</v>
      </c>
      <c r="AH459" s="19">
        <f t="array" ref="AH459">DiasMesesGris(Q459:AB459)</f>
        <v>0</v>
      </c>
      <c r="AI459" s="19">
        <f t="shared" si="43"/>
        <v>0</v>
      </c>
      <c r="AJ459" s="19">
        <f t="shared" si="44"/>
        <v>360</v>
      </c>
      <c r="AK459" s="20">
        <f t="shared" si="42"/>
        <v>0</v>
      </c>
      <c r="AL459" s="21">
        <f t="shared" si="45"/>
        <v>0</v>
      </c>
    </row>
    <row r="460" spans="33:38" x14ac:dyDescent="0.25">
      <c r="AG460" s="19">
        <f t="array" ref="AG460">DIASQUIEBRE(Q460:AB460)</f>
        <v>0</v>
      </c>
      <c r="AH460" s="19">
        <f t="array" ref="AH460">DiasMesesGris(Q460:AB460)</f>
        <v>0</v>
      </c>
      <c r="AI460" s="19">
        <f t="shared" si="43"/>
        <v>0</v>
      </c>
      <c r="AJ460" s="19">
        <f t="shared" si="44"/>
        <v>360</v>
      </c>
      <c r="AK460" s="20">
        <f t="shared" si="42"/>
        <v>0</v>
      </c>
      <c r="AL460" s="21">
        <f t="shared" si="45"/>
        <v>0</v>
      </c>
    </row>
    <row r="461" spans="33:38" x14ac:dyDescent="0.25">
      <c r="AG461" s="19">
        <f t="array" ref="AG461">DIASQUIEBRE(Q461:AB461)</f>
        <v>0</v>
      </c>
      <c r="AH461" s="19">
        <f t="array" ref="AH461">DiasMesesGris(Q461:AB461)</f>
        <v>0</v>
      </c>
      <c r="AI461" s="19">
        <f t="shared" si="43"/>
        <v>0</v>
      </c>
      <c r="AJ461" s="19">
        <f t="shared" si="44"/>
        <v>360</v>
      </c>
      <c r="AK461" s="20">
        <f t="shared" si="42"/>
        <v>0</v>
      </c>
      <c r="AL461" s="21">
        <f t="shared" si="45"/>
        <v>0</v>
      </c>
    </row>
    <row r="462" spans="33:38" x14ac:dyDescent="0.25">
      <c r="AG462" s="19">
        <f t="array" ref="AG462">DIASQUIEBRE(Q462:AB462)</f>
        <v>0</v>
      </c>
      <c r="AH462" s="19">
        <f t="array" ref="AH462">DiasMesesGris(Q462:AB462)</f>
        <v>0</v>
      </c>
      <c r="AI462" s="19">
        <f t="shared" si="43"/>
        <v>0</v>
      </c>
      <c r="AJ462" s="19">
        <f t="shared" si="44"/>
        <v>360</v>
      </c>
      <c r="AK462" s="20">
        <f t="shared" si="42"/>
        <v>0</v>
      </c>
      <c r="AL462" s="21">
        <f t="shared" si="45"/>
        <v>0</v>
      </c>
    </row>
    <row r="463" spans="33:38" x14ac:dyDescent="0.25">
      <c r="AG463" s="19">
        <f t="array" ref="AG463">DIASQUIEBRE(Q463:AB463)</f>
        <v>0</v>
      </c>
      <c r="AH463" s="19">
        <f t="array" ref="AH463">DiasMesesGris(Q463:AB463)</f>
        <v>0</v>
      </c>
      <c r="AI463" s="19">
        <f t="shared" si="43"/>
        <v>0</v>
      </c>
      <c r="AJ463" s="19">
        <f t="shared" si="44"/>
        <v>360</v>
      </c>
      <c r="AK463" s="20">
        <f t="shared" si="42"/>
        <v>0</v>
      </c>
      <c r="AL463" s="21">
        <f t="shared" si="45"/>
        <v>0</v>
      </c>
    </row>
    <row r="464" spans="33:38" x14ac:dyDescent="0.25">
      <c r="AG464" s="19">
        <f t="array" ref="AG464">DIASQUIEBRE(Q464:AB464)</f>
        <v>0</v>
      </c>
      <c r="AH464" s="19">
        <f t="array" ref="AH464">DiasMesesGris(Q464:AB464)</f>
        <v>0</v>
      </c>
      <c r="AI464" s="19">
        <f t="shared" si="43"/>
        <v>0</v>
      </c>
      <c r="AJ464" s="19">
        <f t="shared" si="44"/>
        <v>360</v>
      </c>
      <c r="AK464" s="20">
        <f t="shared" si="42"/>
        <v>0</v>
      </c>
      <c r="AL464" s="21">
        <f t="shared" si="45"/>
        <v>0</v>
      </c>
    </row>
    <row r="465" spans="33:38" x14ac:dyDescent="0.25">
      <c r="AG465" s="19">
        <f t="array" ref="AG465">DIASQUIEBRE(Q465:AB465)</f>
        <v>0</v>
      </c>
      <c r="AH465" s="19">
        <f t="array" ref="AH465">DiasMesesGris(Q465:AB465)</f>
        <v>0</v>
      </c>
      <c r="AI465" s="19">
        <f t="shared" si="43"/>
        <v>0</v>
      </c>
      <c r="AJ465" s="19">
        <f t="shared" si="44"/>
        <v>360</v>
      </c>
      <c r="AK465" s="20">
        <f t="shared" si="42"/>
        <v>0</v>
      </c>
      <c r="AL465" s="21">
        <f t="shared" si="45"/>
        <v>0</v>
      </c>
    </row>
    <row r="466" spans="33:38" x14ac:dyDescent="0.25">
      <c r="AG466" s="19">
        <f t="array" ref="AG466">DIASQUIEBRE(Q466:AB466)</f>
        <v>0</v>
      </c>
      <c r="AH466" s="19">
        <f t="array" ref="AH466">DiasMesesGris(Q466:AB466)</f>
        <v>0</v>
      </c>
      <c r="AI466" s="19">
        <f t="shared" si="43"/>
        <v>0</v>
      </c>
      <c r="AJ466" s="19">
        <f t="shared" si="44"/>
        <v>360</v>
      </c>
      <c r="AK466" s="20">
        <f t="shared" si="42"/>
        <v>0</v>
      </c>
      <c r="AL466" s="21">
        <f t="shared" si="45"/>
        <v>0</v>
      </c>
    </row>
    <row r="467" spans="33:38" x14ac:dyDescent="0.25">
      <c r="AG467" s="19">
        <f t="array" ref="AG467">DIASQUIEBRE(Q467:AB467)</f>
        <v>0</v>
      </c>
      <c r="AH467" s="19">
        <f t="array" ref="AH467">DiasMesesGris(Q467:AB467)</f>
        <v>0</v>
      </c>
      <c r="AI467" s="19">
        <f t="shared" si="43"/>
        <v>0</v>
      </c>
      <c r="AJ467" s="19">
        <f t="shared" si="44"/>
        <v>360</v>
      </c>
      <c r="AK467" s="20">
        <f t="shared" si="42"/>
        <v>0</v>
      </c>
      <c r="AL467" s="21">
        <f t="shared" si="45"/>
        <v>0</v>
      </c>
    </row>
    <row r="468" spans="33:38" x14ac:dyDescent="0.25">
      <c r="AG468" s="19">
        <f t="array" ref="AG468">DIASQUIEBRE(Q468:AB468)</f>
        <v>0</v>
      </c>
      <c r="AH468" s="19">
        <f t="array" ref="AH468">DiasMesesGris(Q468:AB468)</f>
        <v>0</v>
      </c>
      <c r="AI468" s="19">
        <f t="shared" si="43"/>
        <v>0</v>
      </c>
      <c r="AJ468" s="19">
        <f t="shared" si="44"/>
        <v>360</v>
      </c>
      <c r="AK468" s="20">
        <f t="shared" si="42"/>
        <v>0</v>
      </c>
      <c r="AL468" s="21">
        <f t="shared" si="45"/>
        <v>0</v>
      </c>
    </row>
    <row r="469" spans="33:38" x14ac:dyDescent="0.25">
      <c r="AG469" s="19">
        <f t="array" ref="AG469">DIASQUIEBRE(Q469:AB469)</f>
        <v>0</v>
      </c>
      <c r="AH469" s="19">
        <f t="array" ref="AH469">DiasMesesGris(Q469:AB469)</f>
        <v>0</v>
      </c>
      <c r="AI469" s="19">
        <f t="shared" si="43"/>
        <v>0</v>
      </c>
      <c r="AJ469" s="19">
        <f t="shared" si="44"/>
        <v>360</v>
      </c>
      <c r="AK469" s="20">
        <f t="shared" si="42"/>
        <v>0</v>
      </c>
      <c r="AL469" s="21">
        <f t="shared" si="45"/>
        <v>0</v>
      </c>
    </row>
    <row r="470" spans="33:38" x14ac:dyDescent="0.25">
      <c r="AG470" s="19">
        <f t="array" ref="AG470">DIASQUIEBRE(Q470:AB470)</f>
        <v>0</v>
      </c>
      <c r="AH470" s="19">
        <f t="array" ref="AH470">DiasMesesGris(Q470:AB470)</f>
        <v>0</v>
      </c>
      <c r="AI470" s="19">
        <f t="shared" si="43"/>
        <v>0</v>
      </c>
      <c r="AJ470" s="19">
        <f t="shared" si="44"/>
        <v>360</v>
      </c>
      <c r="AK470" s="20">
        <f t="shared" ref="AK470:AK533" si="46">SUM(D470:O470)</f>
        <v>0</v>
      </c>
      <c r="AL470" s="21">
        <f t="shared" si="45"/>
        <v>0</v>
      </c>
    </row>
    <row r="471" spans="33:38" x14ac:dyDescent="0.25">
      <c r="AG471" s="19">
        <f t="array" ref="AG471">DIASQUIEBRE(Q471:AB471)</f>
        <v>0</v>
      </c>
      <c r="AH471" s="19">
        <f t="array" ref="AH471">DiasMesesGris(Q471:AB471)</f>
        <v>0</v>
      </c>
      <c r="AI471" s="19">
        <f t="shared" si="43"/>
        <v>0</v>
      </c>
      <c r="AJ471" s="19">
        <f t="shared" si="44"/>
        <v>360</v>
      </c>
      <c r="AK471" s="20">
        <f t="shared" si="46"/>
        <v>0</v>
      </c>
      <c r="AL471" s="21">
        <f t="shared" si="45"/>
        <v>0</v>
      </c>
    </row>
    <row r="472" spans="33:38" x14ac:dyDescent="0.25">
      <c r="AG472" s="19">
        <f t="array" ref="AG472">DIASQUIEBRE(Q472:AB472)</f>
        <v>0</v>
      </c>
      <c r="AH472" s="19">
        <f t="array" ref="AH472">DiasMesesGris(Q472:AB472)</f>
        <v>0</v>
      </c>
      <c r="AI472" s="19">
        <f t="shared" si="43"/>
        <v>0</v>
      </c>
      <c r="AJ472" s="19">
        <f t="shared" si="44"/>
        <v>360</v>
      </c>
      <c r="AK472" s="20">
        <f t="shared" si="46"/>
        <v>0</v>
      </c>
      <c r="AL472" s="21">
        <f t="shared" si="45"/>
        <v>0</v>
      </c>
    </row>
    <row r="473" spans="33:38" x14ac:dyDescent="0.25">
      <c r="AG473" s="19">
        <f t="array" ref="AG473">DIASQUIEBRE(Q473:AB473)</f>
        <v>0</v>
      </c>
      <c r="AH473" s="19">
        <f t="array" ref="AH473">DiasMesesGris(Q473:AB473)</f>
        <v>0</v>
      </c>
      <c r="AI473" s="19">
        <f t="shared" si="43"/>
        <v>0</v>
      </c>
      <c r="AJ473" s="19">
        <f t="shared" si="44"/>
        <v>360</v>
      </c>
      <c r="AK473" s="20">
        <f t="shared" si="46"/>
        <v>0</v>
      </c>
      <c r="AL473" s="21">
        <f t="shared" si="45"/>
        <v>0</v>
      </c>
    </row>
    <row r="474" spans="33:38" x14ac:dyDescent="0.25">
      <c r="AG474" s="19">
        <f t="array" ref="AG474">DIASQUIEBRE(Q474:AB474)</f>
        <v>0</v>
      </c>
      <c r="AH474" s="19">
        <f t="array" ref="AH474">DiasMesesGris(Q474:AB474)</f>
        <v>0</v>
      </c>
      <c r="AI474" s="19">
        <f t="shared" si="43"/>
        <v>0</v>
      </c>
      <c r="AJ474" s="19">
        <f t="shared" si="44"/>
        <v>360</v>
      </c>
      <c r="AK474" s="20">
        <f t="shared" si="46"/>
        <v>0</v>
      </c>
      <c r="AL474" s="21">
        <f t="shared" si="45"/>
        <v>0</v>
      </c>
    </row>
    <row r="475" spans="33:38" x14ac:dyDescent="0.25">
      <c r="AG475" s="19">
        <f t="array" ref="AG475">DIASQUIEBRE(Q475:AB475)</f>
        <v>0</v>
      </c>
      <c r="AH475" s="19">
        <f t="array" ref="AH475">DiasMesesGris(Q475:AB475)</f>
        <v>0</v>
      </c>
      <c r="AI475" s="19">
        <f t="shared" si="43"/>
        <v>0</v>
      </c>
      <c r="AJ475" s="19">
        <f t="shared" si="44"/>
        <v>360</v>
      </c>
      <c r="AK475" s="20">
        <f t="shared" si="46"/>
        <v>0</v>
      </c>
      <c r="AL475" s="21">
        <f t="shared" si="45"/>
        <v>0</v>
      </c>
    </row>
    <row r="476" spans="33:38" x14ac:dyDescent="0.25">
      <c r="AG476" s="19">
        <f t="array" ref="AG476">DIASQUIEBRE(Q476:AB476)</f>
        <v>0</v>
      </c>
      <c r="AH476" s="19">
        <f t="array" ref="AH476">DiasMesesGris(Q476:AB476)</f>
        <v>0</v>
      </c>
      <c r="AI476" s="19">
        <f t="shared" si="43"/>
        <v>0</v>
      </c>
      <c r="AJ476" s="19">
        <f t="shared" si="44"/>
        <v>360</v>
      </c>
      <c r="AK476" s="20">
        <f t="shared" si="46"/>
        <v>0</v>
      </c>
      <c r="AL476" s="21">
        <f t="shared" si="45"/>
        <v>0</v>
      </c>
    </row>
    <row r="477" spans="33:38" x14ac:dyDescent="0.25">
      <c r="AG477" s="19">
        <f t="array" ref="AG477">DIASQUIEBRE(Q477:AB477)</f>
        <v>0</v>
      </c>
      <c r="AH477" s="19">
        <f t="array" ref="AH477">DiasMesesGris(Q477:AB477)</f>
        <v>0</v>
      </c>
      <c r="AI477" s="19">
        <f t="shared" si="43"/>
        <v>0</v>
      </c>
      <c r="AJ477" s="19">
        <f t="shared" si="44"/>
        <v>360</v>
      </c>
      <c r="AK477" s="20">
        <f t="shared" si="46"/>
        <v>0</v>
      </c>
      <c r="AL477" s="21">
        <f t="shared" si="45"/>
        <v>0</v>
      </c>
    </row>
    <row r="478" spans="33:38" x14ac:dyDescent="0.25">
      <c r="AG478" s="19">
        <f t="array" ref="AG478">DIASQUIEBRE(Q478:AB478)</f>
        <v>0</v>
      </c>
      <c r="AH478" s="19">
        <f t="array" ref="AH478">DiasMesesGris(Q478:AB478)</f>
        <v>0</v>
      </c>
      <c r="AI478" s="19">
        <f t="shared" si="43"/>
        <v>0</v>
      </c>
      <c r="AJ478" s="19">
        <f t="shared" si="44"/>
        <v>360</v>
      </c>
      <c r="AK478" s="20">
        <f t="shared" si="46"/>
        <v>0</v>
      </c>
      <c r="AL478" s="21">
        <f t="shared" si="45"/>
        <v>0</v>
      </c>
    </row>
    <row r="479" spans="33:38" x14ac:dyDescent="0.25">
      <c r="AG479" s="19">
        <f t="array" ref="AG479">DIASQUIEBRE(Q479:AB479)</f>
        <v>0</v>
      </c>
      <c r="AH479" s="19">
        <f t="array" ref="AH479">DiasMesesGris(Q479:AB479)</f>
        <v>0</v>
      </c>
      <c r="AI479" s="19">
        <f t="shared" si="43"/>
        <v>0</v>
      </c>
      <c r="AJ479" s="19">
        <f t="shared" si="44"/>
        <v>360</v>
      </c>
      <c r="AK479" s="20">
        <f t="shared" si="46"/>
        <v>0</v>
      </c>
      <c r="AL479" s="21">
        <f t="shared" si="45"/>
        <v>0</v>
      </c>
    </row>
    <row r="480" spans="33:38" x14ac:dyDescent="0.25">
      <c r="AG480" s="19">
        <f t="array" ref="AG480">DIASQUIEBRE(Q480:AB480)</f>
        <v>0</v>
      </c>
      <c r="AH480" s="19">
        <f t="array" ref="AH480">DiasMesesGris(Q480:AB480)</f>
        <v>0</v>
      </c>
      <c r="AI480" s="19">
        <f t="shared" si="43"/>
        <v>0</v>
      </c>
      <c r="AJ480" s="19">
        <f t="shared" si="44"/>
        <v>360</v>
      </c>
      <c r="AK480" s="20">
        <f t="shared" si="46"/>
        <v>0</v>
      </c>
      <c r="AL480" s="21">
        <f t="shared" si="45"/>
        <v>0</v>
      </c>
    </row>
    <row r="481" spans="33:38" x14ac:dyDescent="0.25">
      <c r="AG481" s="19">
        <f t="array" ref="AG481">DIASQUIEBRE(Q481:AB481)</f>
        <v>0</v>
      </c>
      <c r="AH481" s="19">
        <f t="array" ref="AH481">DiasMesesGris(Q481:AB481)</f>
        <v>0</v>
      </c>
      <c r="AI481" s="19">
        <f t="shared" si="43"/>
        <v>0</v>
      </c>
      <c r="AJ481" s="19">
        <f t="shared" si="44"/>
        <v>360</v>
      </c>
      <c r="AK481" s="20">
        <f t="shared" si="46"/>
        <v>0</v>
      </c>
      <c r="AL481" s="21">
        <f t="shared" si="45"/>
        <v>0</v>
      </c>
    </row>
    <row r="482" spans="33:38" x14ac:dyDescent="0.25">
      <c r="AG482" s="19">
        <f t="array" ref="AG482">DIASQUIEBRE(Q482:AB482)</f>
        <v>0</v>
      </c>
      <c r="AH482" s="19">
        <f t="array" ref="AH482">DiasMesesGris(Q482:AB482)</f>
        <v>0</v>
      </c>
      <c r="AI482" s="19">
        <f t="shared" si="43"/>
        <v>0</v>
      </c>
      <c r="AJ482" s="19">
        <f t="shared" si="44"/>
        <v>360</v>
      </c>
      <c r="AK482" s="20">
        <f t="shared" si="46"/>
        <v>0</v>
      </c>
      <c r="AL482" s="21">
        <f t="shared" si="45"/>
        <v>0</v>
      </c>
    </row>
    <row r="483" spans="33:38" x14ac:dyDescent="0.25">
      <c r="AG483" s="19">
        <f t="array" ref="AG483">DIASQUIEBRE(Q483:AB483)</f>
        <v>0</v>
      </c>
      <c r="AH483" s="19">
        <f t="array" ref="AH483">DiasMesesGris(Q483:AB483)</f>
        <v>0</v>
      </c>
      <c r="AI483" s="19">
        <f t="shared" si="43"/>
        <v>0</v>
      </c>
      <c r="AJ483" s="19">
        <f t="shared" si="44"/>
        <v>360</v>
      </c>
      <c r="AK483" s="20">
        <f t="shared" si="46"/>
        <v>0</v>
      </c>
      <c r="AL483" s="21">
        <f t="shared" si="45"/>
        <v>0</v>
      </c>
    </row>
    <row r="484" spans="33:38" x14ac:dyDescent="0.25">
      <c r="AG484" s="19">
        <f t="array" ref="AG484">DIASQUIEBRE(Q484:AB484)</f>
        <v>0</v>
      </c>
      <c r="AH484" s="19">
        <f t="array" ref="AH484">DiasMesesGris(Q484:AB484)</f>
        <v>0</v>
      </c>
      <c r="AI484" s="19">
        <f t="shared" si="43"/>
        <v>0</v>
      </c>
      <c r="AJ484" s="19">
        <f t="shared" si="44"/>
        <v>360</v>
      </c>
      <c r="AK484" s="20">
        <f t="shared" si="46"/>
        <v>0</v>
      </c>
      <c r="AL484" s="21">
        <f t="shared" si="45"/>
        <v>0</v>
      </c>
    </row>
    <row r="485" spans="33:38" x14ac:dyDescent="0.25">
      <c r="AG485" s="19">
        <f t="array" ref="AG485">DIASQUIEBRE(Q485:AB485)</f>
        <v>0</v>
      </c>
      <c r="AH485" s="19">
        <f t="array" ref="AH485">DiasMesesGris(Q485:AB485)</f>
        <v>0</v>
      </c>
      <c r="AI485" s="19">
        <f t="shared" si="43"/>
        <v>0</v>
      </c>
      <c r="AJ485" s="19">
        <f t="shared" si="44"/>
        <v>360</v>
      </c>
      <c r="AK485" s="20">
        <f t="shared" si="46"/>
        <v>0</v>
      </c>
      <c r="AL485" s="21">
        <f t="shared" si="45"/>
        <v>0</v>
      </c>
    </row>
    <row r="486" spans="33:38" x14ac:dyDescent="0.25">
      <c r="AG486" s="19">
        <f t="array" ref="AG486">DIASQUIEBRE(Q486:AB486)</f>
        <v>0</v>
      </c>
      <c r="AH486" s="19">
        <f t="array" ref="AH486">DiasMesesGris(Q486:AB486)</f>
        <v>0</v>
      </c>
      <c r="AI486" s="19">
        <f t="shared" si="43"/>
        <v>0</v>
      </c>
      <c r="AJ486" s="19">
        <f t="shared" si="44"/>
        <v>360</v>
      </c>
      <c r="AK486" s="20">
        <f t="shared" si="46"/>
        <v>0</v>
      </c>
      <c r="AL486" s="21">
        <f t="shared" si="45"/>
        <v>0</v>
      </c>
    </row>
    <row r="487" spans="33:38" x14ac:dyDescent="0.25">
      <c r="AG487" s="19">
        <f t="array" ref="AG487">DIASQUIEBRE(Q487:AB487)</f>
        <v>0</v>
      </c>
      <c r="AH487" s="19">
        <f t="array" ref="AH487">DiasMesesGris(Q487:AB487)</f>
        <v>0</v>
      </c>
      <c r="AI487" s="19">
        <f t="shared" si="43"/>
        <v>0</v>
      </c>
      <c r="AJ487" s="19">
        <f t="shared" si="44"/>
        <v>360</v>
      </c>
      <c r="AK487" s="20">
        <f t="shared" si="46"/>
        <v>0</v>
      </c>
      <c r="AL487" s="21">
        <f t="shared" si="45"/>
        <v>0</v>
      </c>
    </row>
    <row r="488" spans="33:38" x14ac:dyDescent="0.25">
      <c r="AG488" s="19">
        <f t="array" ref="AG488">DIASQUIEBRE(Q488:AB488)</f>
        <v>0</v>
      </c>
      <c r="AH488" s="19">
        <f t="array" ref="AH488">DiasMesesGris(Q488:AB488)</f>
        <v>0</v>
      </c>
      <c r="AI488" s="19">
        <f t="shared" si="43"/>
        <v>0</v>
      </c>
      <c r="AJ488" s="19">
        <f t="shared" si="44"/>
        <v>360</v>
      </c>
      <c r="AK488" s="20">
        <f t="shared" si="46"/>
        <v>0</v>
      </c>
      <c r="AL488" s="21">
        <f t="shared" si="45"/>
        <v>0</v>
      </c>
    </row>
    <row r="489" spans="33:38" x14ac:dyDescent="0.25">
      <c r="AG489" s="19">
        <f t="array" ref="AG489">DIASQUIEBRE(Q489:AB489)</f>
        <v>0</v>
      </c>
      <c r="AH489" s="19">
        <f t="array" ref="AH489">DiasMesesGris(Q489:AB489)</f>
        <v>0</v>
      </c>
      <c r="AI489" s="19">
        <f t="shared" si="43"/>
        <v>0</v>
      </c>
      <c r="AJ489" s="19">
        <f t="shared" si="44"/>
        <v>360</v>
      </c>
      <c r="AK489" s="20">
        <f t="shared" si="46"/>
        <v>0</v>
      </c>
      <c r="AL489" s="21">
        <f t="shared" si="45"/>
        <v>0</v>
      </c>
    </row>
    <row r="490" spans="33:38" x14ac:dyDescent="0.25">
      <c r="AG490" s="19">
        <f t="array" ref="AG490">DIASQUIEBRE(Q490:AB490)</f>
        <v>0</v>
      </c>
      <c r="AH490" s="19">
        <f t="array" ref="AH490">DiasMesesGris(Q490:AB490)</f>
        <v>0</v>
      </c>
      <c r="AI490" s="19">
        <f t="shared" si="43"/>
        <v>0</v>
      </c>
      <c r="AJ490" s="19">
        <f t="shared" si="44"/>
        <v>360</v>
      </c>
      <c r="AK490" s="20">
        <f t="shared" si="46"/>
        <v>0</v>
      </c>
      <c r="AL490" s="21">
        <f t="shared" si="45"/>
        <v>0</v>
      </c>
    </row>
    <row r="491" spans="33:38" x14ac:dyDescent="0.25">
      <c r="AG491" s="19">
        <f t="array" ref="AG491">DIASQUIEBRE(Q491:AB491)</f>
        <v>0</v>
      </c>
      <c r="AH491" s="19">
        <f t="array" ref="AH491">DiasMesesGris(Q491:AB491)</f>
        <v>0</v>
      </c>
      <c r="AI491" s="19">
        <f t="shared" si="43"/>
        <v>0</v>
      </c>
      <c r="AJ491" s="19">
        <f t="shared" si="44"/>
        <v>360</v>
      </c>
      <c r="AK491" s="20">
        <f t="shared" si="46"/>
        <v>0</v>
      </c>
      <c r="AL491" s="21">
        <f t="shared" si="45"/>
        <v>0</v>
      </c>
    </row>
    <row r="492" spans="33:38" x14ac:dyDescent="0.25">
      <c r="AG492" s="19">
        <f t="array" ref="AG492">DIASQUIEBRE(Q492:AB492)</f>
        <v>0</v>
      </c>
      <c r="AH492" s="19">
        <f t="array" ref="AH492">DiasMesesGris(Q492:AB492)</f>
        <v>0</v>
      </c>
      <c r="AI492" s="19">
        <f t="shared" si="43"/>
        <v>0</v>
      </c>
      <c r="AJ492" s="19">
        <f t="shared" si="44"/>
        <v>360</v>
      </c>
      <c r="AK492" s="20">
        <f t="shared" si="46"/>
        <v>0</v>
      </c>
      <c r="AL492" s="21">
        <f t="shared" si="45"/>
        <v>0</v>
      </c>
    </row>
    <row r="493" spans="33:38" x14ac:dyDescent="0.25">
      <c r="AG493" s="19">
        <f t="array" ref="AG493">DIASQUIEBRE(Q493:AB493)</f>
        <v>0</v>
      </c>
      <c r="AH493" s="19">
        <f t="array" ref="AH493">DiasMesesGris(Q493:AB493)</f>
        <v>0</v>
      </c>
      <c r="AI493" s="19">
        <f t="shared" si="43"/>
        <v>0</v>
      </c>
      <c r="AJ493" s="19">
        <f t="shared" si="44"/>
        <v>360</v>
      </c>
      <c r="AK493" s="20">
        <f t="shared" si="46"/>
        <v>0</v>
      </c>
      <c r="AL493" s="21">
        <f t="shared" si="45"/>
        <v>0</v>
      </c>
    </row>
    <row r="494" spans="33:38" x14ac:dyDescent="0.25">
      <c r="AG494" s="19">
        <f t="array" ref="AG494">DIASQUIEBRE(Q494:AB494)</f>
        <v>0</v>
      </c>
      <c r="AH494" s="19">
        <f t="array" ref="AH494">DiasMesesGris(Q494:AB494)</f>
        <v>0</v>
      </c>
      <c r="AI494" s="19">
        <f t="shared" si="43"/>
        <v>0</v>
      </c>
      <c r="AJ494" s="19">
        <f t="shared" si="44"/>
        <v>360</v>
      </c>
      <c r="AK494" s="20">
        <f t="shared" si="46"/>
        <v>0</v>
      </c>
      <c r="AL494" s="21">
        <f t="shared" si="45"/>
        <v>0</v>
      </c>
    </row>
    <row r="495" spans="33:38" x14ac:dyDescent="0.25">
      <c r="AG495" s="19">
        <f t="array" ref="AG495">DIASQUIEBRE(Q495:AB495)</f>
        <v>0</v>
      </c>
      <c r="AH495" s="19">
        <f t="array" ref="AH495">DiasMesesGris(Q495:AB495)</f>
        <v>0</v>
      </c>
      <c r="AI495" s="19">
        <f t="shared" si="43"/>
        <v>0</v>
      </c>
      <c r="AJ495" s="19">
        <f t="shared" si="44"/>
        <v>360</v>
      </c>
      <c r="AK495" s="20">
        <f t="shared" si="46"/>
        <v>0</v>
      </c>
      <c r="AL495" s="21">
        <f t="shared" si="45"/>
        <v>0</v>
      </c>
    </row>
    <row r="496" spans="33:38" x14ac:dyDescent="0.25">
      <c r="AG496" s="19">
        <f t="array" ref="AG496">DIASQUIEBRE(Q496:AB496)</f>
        <v>0</v>
      </c>
      <c r="AH496" s="19">
        <f t="array" ref="AH496">DiasMesesGris(Q496:AB496)</f>
        <v>0</v>
      </c>
      <c r="AI496" s="19">
        <f t="shared" si="43"/>
        <v>0</v>
      </c>
      <c r="AJ496" s="19">
        <f t="shared" si="44"/>
        <v>360</v>
      </c>
      <c r="AK496" s="20">
        <f t="shared" si="46"/>
        <v>0</v>
      </c>
      <c r="AL496" s="21">
        <f t="shared" si="45"/>
        <v>0</v>
      </c>
    </row>
    <row r="497" spans="33:38" x14ac:dyDescent="0.25">
      <c r="AG497" s="19">
        <f t="array" ref="AG497">DIASQUIEBRE(Q497:AB497)</f>
        <v>0</v>
      </c>
      <c r="AH497" s="19">
        <f t="array" ref="AH497">DiasMesesGris(Q497:AB497)</f>
        <v>0</v>
      </c>
      <c r="AI497" s="19">
        <f t="shared" si="43"/>
        <v>0</v>
      </c>
      <c r="AJ497" s="19">
        <f t="shared" si="44"/>
        <v>360</v>
      </c>
      <c r="AK497" s="20">
        <f t="shared" si="46"/>
        <v>0</v>
      </c>
      <c r="AL497" s="21">
        <f t="shared" si="45"/>
        <v>0</v>
      </c>
    </row>
    <row r="498" spans="33:38" x14ac:dyDescent="0.25">
      <c r="AG498" s="19">
        <f t="array" ref="AG498">DIASQUIEBRE(Q498:AB498)</f>
        <v>0</v>
      </c>
      <c r="AH498" s="19">
        <f t="array" ref="AH498">DiasMesesGris(Q498:AB498)</f>
        <v>0</v>
      </c>
      <c r="AI498" s="19">
        <f t="shared" si="43"/>
        <v>0</v>
      </c>
      <c r="AJ498" s="19">
        <f t="shared" si="44"/>
        <v>360</v>
      </c>
      <c r="AK498" s="20">
        <f t="shared" si="46"/>
        <v>0</v>
      </c>
      <c r="AL498" s="21">
        <f t="shared" si="45"/>
        <v>0</v>
      </c>
    </row>
    <row r="499" spans="33:38" x14ac:dyDescent="0.25">
      <c r="AG499" s="19">
        <f t="array" ref="AG499">DIASQUIEBRE(Q499:AB499)</f>
        <v>0</v>
      </c>
      <c r="AH499" s="19">
        <f t="array" ref="AH499">DiasMesesGris(Q499:AB499)</f>
        <v>0</v>
      </c>
      <c r="AI499" s="19">
        <f t="shared" si="43"/>
        <v>0</v>
      </c>
      <c r="AJ499" s="19">
        <f t="shared" si="44"/>
        <v>360</v>
      </c>
      <c r="AK499" s="20">
        <f t="shared" si="46"/>
        <v>0</v>
      </c>
      <c r="AL499" s="21">
        <f t="shared" si="45"/>
        <v>0</v>
      </c>
    </row>
    <row r="500" spans="33:38" x14ac:dyDescent="0.25">
      <c r="AG500" s="19">
        <f t="array" ref="AG500">DIASQUIEBRE(Q500:AB500)</f>
        <v>0</v>
      </c>
      <c r="AH500" s="19">
        <f t="array" ref="AH500">DiasMesesGris(Q500:AB500)</f>
        <v>0</v>
      </c>
      <c r="AI500" s="19">
        <f t="shared" si="43"/>
        <v>0</v>
      </c>
      <c r="AJ500" s="19">
        <f t="shared" si="44"/>
        <v>360</v>
      </c>
      <c r="AK500" s="20">
        <f t="shared" si="46"/>
        <v>0</v>
      </c>
      <c r="AL500" s="21">
        <f t="shared" si="45"/>
        <v>0</v>
      </c>
    </row>
    <row r="501" spans="33:38" x14ac:dyDescent="0.25">
      <c r="AG501" s="19">
        <f t="array" ref="AG501">DIASQUIEBRE(Q501:AB501)</f>
        <v>0</v>
      </c>
      <c r="AH501" s="19">
        <f t="array" ref="AH501">DiasMesesGris(Q501:AB501)</f>
        <v>0</v>
      </c>
      <c r="AI501" s="19">
        <f t="shared" si="43"/>
        <v>0</v>
      </c>
      <c r="AJ501" s="19">
        <f t="shared" si="44"/>
        <v>360</v>
      </c>
      <c r="AK501" s="20">
        <f t="shared" si="46"/>
        <v>0</v>
      </c>
      <c r="AL501" s="21">
        <f t="shared" si="45"/>
        <v>0</v>
      </c>
    </row>
    <row r="502" spans="33:38" x14ac:dyDescent="0.25">
      <c r="AG502" s="19">
        <f t="array" ref="AG502">DIASQUIEBRE(Q502:AB502)</f>
        <v>0</v>
      </c>
      <c r="AH502" s="19">
        <f t="array" ref="AH502">DiasMesesGris(Q502:AB502)</f>
        <v>0</v>
      </c>
      <c r="AI502" s="19">
        <f t="shared" si="43"/>
        <v>0</v>
      </c>
      <c r="AJ502" s="19">
        <f t="shared" si="44"/>
        <v>360</v>
      </c>
      <c r="AK502" s="20">
        <f t="shared" si="46"/>
        <v>0</v>
      </c>
      <c r="AL502" s="21">
        <f t="shared" si="45"/>
        <v>0</v>
      </c>
    </row>
    <row r="503" spans="33:38" x14ac:dyDescent="0.25">
      <c r="AG503" s="19">
        <f t="array" ref="AG503">DIASQUIEBRE(Q503:AB503)</f>
        <v>0</v>
      </c>
      <c r="AH503" s="19">
        <f t="array" ref="AH503">DiasMesesGris(Q503:AB503)</f>
        <v>0</v>
      </c>
      <c r="AI503" s="19">
        <f t="shared" si="43"/>
        <v>0</v>
      </c>
      <c r="AJ503" s="19">
        <f t="shared" si="44"/>
        <v>360</v>
      </c>
      <c r="AK503" s="20">
        <f t="shared" si="46"/>
        <v>0</v>
      </c>
      <c r="AL503" s="21">
        <f t="shared" si="45"/>
        <v>0</v>
      </c>
    </row>
    <row r="504" spans="33:38" x14ac:dyDescent="0.25">
      <c r="AG504" s="19">
        <f t="array" ref="AG504">DIASQUIEBRE(Q504:AB504)</f>
        <v>0</v>
      </c>
      <c r="AH504" s="19">
        <f t="array" ref="AH504">DiasMesesGris(Q504:AB504)</f>
        <v>0</v>
      </c>
      <c r="AI504" s="19">
        <f t="shared" si="43"/>
        <v>0</v>
      </c>
      <c r="AJ504" s="19">
        <f t="shared" si="44"/>
        <v>360</v>
      </c>
      <c r="AK504" s="20">
        <f t="shared" si="46"/>
        <v>0</v>
      </c>
      <c r="AL504" s="21">
        <f t="shared" si="45"/>
        <v>0</v>
      </c>
    </row>
    <row r="505" spans="33:38" x14ac:dyDescent="0.25">
      <c r="AG505" s="19">
        <f t="array" ref="AG505">DIASQUIEBRE(Q505:AB505)</f>
        <v>0</v>
      </c>
      <c r="AH505" s="19">
        <f t="array" ref="AH505">DiasMesesGris(Q505:AB505)</f>
        <v>0</v>
      </c>
      <c r="AI505" s="19">
        <f t="shared" si="43"/>
        <v>0</v>
      </c>
      <c r="AJ505" s="19">
        <f t="shared" si="44"/>
        <v>360</v>
      </c>
      <c r="AK505" s="20">
        <f t="shared" si="46"/>
        <v>0</v>
      </c>
      <c r="AL505" s="21">
        <f t="shared" si="45"/>
        <v>0</v>
      </c>
    </row>
    <row r="506" spans="33:38" x14ac:dyDescent="0.25">
      <c r="AG506" s="19">
        <f t="array" ref="AG506">DIASQUIEBRE(Q506:AB506)</f>
        <v>0</v>
      </c>
      <c r="AH506" s="19">
        <f t="array" ref="AH506">DiasMesesGris(Q506:AB506)</f>
        <v>0</v>
      </c>
      <c r="AI506" s="19">
        <f t="shared" si="43"/>
        <v>0</v>
      </c>
      <c r="AJ506" s="19">
        <f t="shared" si="44"/>
        <v>360</v>
      </c>
      <c r="AK506" s="20">
        <f t="shared" si="46"/>
        <v>0</v>
      </c>
      <c r="AL506" s="21">
        <f t="shared" si="45"/>
        <v>0</v>
      </c>
    </row>
    <row r="507" spans="33:38" x14ac:dyDescent="0.25">
      <c r="AG507" s="19">
        <f t="array" ref="AG507">DIASQUIEBRE(Q507:AB507)</f>
        <v>0</v>
      </c>
      <c r="AH507" s="19">
        <f t="array" ref="AH507">DiasMesesGris(Q507:AB507)</f>
        <v>0</v>
      </c>
      <c r="AI507" s="19">
        <f t="shared" si="43"/>
        <v>0</v>
      </c>
      <c r="AJ507" s="19">
        <f t="shared" si="44"/>
        <v>360</v>
      </c>
      <c r="AK507" s="20">
        <f t="shared" si="46"/>
        <v>0</v>
      </c>
      <c r="AL507" s="21">
        <f t="shared" si="45"/>
        <v>0</v>
      </c>
    </row>
    <row r="508" spans="33:38" x14ac:dyDescent="0.25">
      <c r="AG508" s="19">
        <f t="array" ref="AG508">DIASQUIEBRE(Q508:AB508)</f>
        <v>0</v>
      </c>
      <c r="AH508" s="19">
        <f t="array" ref="AH508">DiasMesesGris(Q508:AB508)</f>
        <v>0</v>
      </c>
      <c r="AI508" s="19">
        <f t="shared" si="43"/>
        <v>0</v>
      </c>
      <c r="AJ508" s="19">
        <f t="shared" si="44"/>
        <v>360</v>
      </c>
      <c r="AK508" s="20">
        <f t="shared" si="46"/>
        <v>0</v>
      </c>
      <c r="AL508" s="21">
        <f t="shared" si="45"/>
        <v>0</v>
      </c>
    </row>
    <row r="509" spans="33:38" x14ac:dyDescent="0.25">
      <c r="AG509" s="19">
        <f t="array" ref="AG509">DIASQUIEBRE(Q509:AB509)</f>
        <v>0</v>
      </c>
      <c r="AH509" s="19">
        <f t="array" ref="AH509">DiasMesesGris(Q509:AB509)</f>
        <v>0</v>
      </c>
      <c r="AI509" s="19">
        <f t="shared" si="43"/>
        <v>0</v>
      </c>
      <c r="AJ509" s="19">
        <f t="shared" si="44"/>
        <v>360</v>
      </c>
      <c r="AK509" s="20">
        <f t="shared" si="46"/>
        <v>0</v>
      </c>
      <c r="AL509" s="21">
        <f t="shared" si="45"/>
        <v>0</v>
      </c>
    </row>
    <row r="510" spans="33:38" x14ac:dyDescent="0.25">
      <c r="AG510" s="19">
        <f t="array" ref="AG510">DIASQUIEBRE(Q510:AB510)</f>
        <v>0</v>
      </c>
      <c r="AH510" s="19">
        <f t="array" ref="AH510">DiasMesesGris(Q510:AB510)</f>
        <v>0</v>
      </c>
      <c r="AI510" s="19">
        <f t="shared" si="43"/>
        <v>0</v>
      </c>
      <c r="AJ510" s="19">
        <f t="shared" si="44"/>
        <v>360</v>
      </c>
      <c r="AK510" s="20">
        <f t="shared" si="46"/>
        <v>0</v>
      </c>
      <c r="AL510" s="21">
        <f t="shared" si="45"/>
        <v>0</v>
      </c>
    </row>
    <row r="511" spans="33:38" x14ac:dyDescent="0.25">
      <c r="AG511" s="19">
        <f t="array" ref="AG511">DIASQUIEBRE(Q511:AB511)</f>
        <v>0</v>
      </c>
      <c r="AH511" s="19">
        <f t="array" ref="AH511">DiasMesesGris(Q511:AB511)</f>
        <v>0</v>
      </c>
      <c r="AI511" s="19">
        <f t="shared" si="43"/>
        <v>0</v>
      </c>
      <c r="AJ511" s="19">
        <f t="shared" si="44"/>
        <v>360</v>
      </c>
      <c r="AK511" s="20">
        <f t="shared" si="46"/>
        <v>0</v>
      </c>
      <c r="AL511" s="21">
        <f t="shared" si="45"/>
        <v>0</v>
      </c>
    </row>
    <row r="512" spans="33:38" x14ac:dyDescent="0.25">
      <c r="AG512" s="19">
        <f t="array" ref="AG512">DIASQUIEBRE(Q512:AB512)</f>
        <v>0</v>
      </c>
      <c r="AH512" s="19">
        <f t="array" ref="AH512">DiasMesesGris(Q512:AB512)</f>
        <v>0</v>
      </c>
      <c r="AI512" s="19">
        <f t="shared" si="43"/>
        <v>0</v>
      </c>
      <c r="AJ512" s="19">
        <f t="shared" si="44"/>
        <v>360</v>
      </c>
      <c r="AK512" s="20">
        <f t="shared" si="46"/>
        <v>0</v>
      </c>
      <c r="AL512" s="21">
        <f t="shared" si="45"/>
        <v>0</v>
      </c>
    </row>
    <row r="513" spans="33:38" x14ac:dyDescent="0.25">
      <c r="AG513" s="19">
        <f t="array" ref="AG513">DIASQUIEBRE(Q513:AB513)</f>
        <v>0</v>
      </c>
      <c r="AH513" s="19">
        <f t="array" ref="AH513">DiasMesesGris(Q513:AB513)</f>
        <v>0</v>
      </c>
      <c r="AI513" s="19">
        <f t="shared" si="43"/>
        <v>0</v>
      </c>
      <c r="AJ513" s="19">
        <f t="shared" si="44"/>
        <v>360</v>
      </c>
      <c r="AK513" s="20">
        <f t="shared" si="46"/>
        <v>0</v>
      </c>
      <c r="AL513" s="21">
        <f t="shared" si="45"/>
        <v>0</v>
      </c>
    </row>
    <row r="514" spans="33:38" x14ac:dyDescent="0.25">
      <c r="AG514" s="19">
        <f t="array" ref="AG514">DIASQUIEBRE(Q514:AB514)</f>
        <v>0</v>
      </c>
      <c r="AH514" s="19">
        <f t="array" ref="AH514">DiasMesesGris(Q514:AB514)</f>
        <v>0</v>
      </c>
      <c r="AI514" s="19">
        <f t="shared" ref="AI514:AI577" si="47">AG514+AH514</f>
        <v>0</v>
      </c>
      <c r="AJ514" s="19">
        <f t="shared" ref="AJ514:AJ577" si="48">360-AI514</f>
        <v>360</v>
      </c>
      <c r="AK514" s="20">
        <f t="shared" si="46"/>
        <v>0</v>
      </c>
      <c r="AL514" s="21">
        <f t="shared" ref="AL514:AL577" si="49">IFERROR(AK514/AJ514,0)</f>
        <v>0</v>
      </c>
    </row>
    <row r="515" spans="33:38" x14ac:dyDescent="0.25">
      <c r="AG515" s="19">
        <f t="array" ref="AG515">DIASQUIEBRE(Q515:AB515)</f>
        <v>0</v>
      </c>
      <c r="AH515" s="19">
        <f t="array" ref="AH515">DiasMesesGris(Q515:AB515)</f>
        <v>0</v>
      </c>
      <c r="AI515" s="19">
        <f t="shared" si="47"/>
        <v>0</v>
      </c>
      <c r="AJ515" s="19">
        <f t="shared" si="48"/>
        <v>360</v>
      </c>
      <c r="AK515" s="20">
        <f t="shared" si="46"/>
        <v>0</v>
      </c>
      <c r="AL515" s="21">
        <f t="shared" si="49"/>
        <v>0</v>
      </c>
    </row>
    <row r="516" spans="33:38" x14ac:dyDescent="0.25">
      <c r="AG516" s="19">
        <f t="array" ref="AG516">DIASQUIEBRE(Q516:AB516)</f>
        <v>0</v>
      </c>
      <c r="AH516" s="19">
        <f t="array" ref="AH516">DiasMesesGris(Q516:AB516)</f>
        <v>0</v>
      </c>
      <c r="AI516" s="19">
        <f t="shared" si="47"/>
        <v>0</v>
      </c>
      <c r="AJ516" s="19">
        <f t="shared" si="48"/>
        <v>360</v>
      </c>
      <c r="AK516" s="20">
        <f t="shared" si="46"/>
        <v>0</v>
      </c>
      <c r="AL516" s="21">
        <f t="shared" si="49"/>
        <v>0</v>
      </c>
    </row>
    <row r="517" spans="33:38" x14ac:dyDescent="0.25">
      <c r="AG517" s="19">
        <f t="array" ref="AG517">DIASQUIEBRE(Q517:AB517)</f>
        <v>0</v>
      </c>
      <c r="AH517" s="19">
        <f t="array" ref="AH517">DiasMesesGris(Q517:AB517)</f>
        <v>0</v>
      </c>
      <c r="AI517" s="19">
        <f t="shared" si="47"/>
        <v>0</v>
      </c>
      <c r="AJ517" s="19">
        <f t="shared" si="48"/>
        <v>360</v>
      </c>
      <c r="AK517" s="20">
        <f t="shared" si="46"/>
        <v>0</v>
      </c>
      <c r="AL517" s="21">
        <f t="shared" si="49"/>
        <v>0</v>
      </c>
    </row>
    <row r="518" spans="33:38" x14ac:dyDescent="0.25">
      <c r="AG518" s="19">
        <f t="array" ref="AG518">DIASQUIEBRE(Q518:AB518)</f>
        <v>0</v>
      </c>
      <c r="AH518" s="19">
        <f t="array" ref="AH518">DiasMesesGris(Q518:AB518)</f>
        <v>0</v>
      </c>
      <c r="AI518" s="19">
        <f t="shared" si="47"/>
        <v>0</v>
      </c>
      <c r="AJ518" s="19">
        <f t="shared" si="48"/>
        <v>360</v>
      </c>
      <c r="AK518" s="20">
        <f t="shared" si="46"/>
        <v>0</v>
      </c>
      <c r="AL518" s="21">
        <f t="shared" si="49"/>
        <v>0</v>
      </c>
    </row>
    <row r="519" spans="33:38" x14ac:dyDescent="0.25">
      <c r="AG519" s="19">
        <f t="array" ref="AG519">DIASQUIEBRE(Q519:AB519)</f>
        <v>0</v>
      </c>
      <c r="AH519" s="19">
        <f t="array" ref="AH519">DiasMesesGris(Q519:AB519)</f>
        <v>0</v>
      </c>
      <c r="AI519" s="19">
        <f t="shared" si="47"/>
        <v>0</v>
      </c>
      <c r="AJ519" s="19">
        <f t="shared" si="48"/>
        <v>360</v>
      </c>
      <c r="AK519" s="20">
        <f t="shared" si="46"/>
        <v>0</v>
      </c>
      <c r="AL519" s="21">
        <f t="shared" si="49"/>
        <v>0</v>
      </c>
    </row>
    <row r="520" spans="33:38" x14ac:dyDescent="0.25">
      <c r="AG520" s="19">
        <f t="array" ref="AG520">DIASQUIEBRE(Q520:AB520)</f>
        <v>0</v>
      </c>
      <c r="AH520" s="19">
        <f t="array" ref="AH520">DiasMesesGris(Q520:AB520)</f>
        <v>0</v>
      </c>
      <c r="AI520" s="19">
        <f t="shared" si="47"/>
        <v>0</v>
      </c>
      <c r="AJ520" s="19">
        <f t="shared" si="48"/>
        <v>360</v>
      </c>
      <c r="AK520" s="20">
        <f t="shared" si="46"/>
        <v>0</v>
      </c>
      <c r="AL520" s="21">
        <f t="shared" si="49"/>
        <v>0</v>
      </c>
    </row>
    <row r="521" spans="33:38" x14ac:dyDescent="0.25">
      <c r="AG521" s="19">
        <f t="array" ref="AG521">DIASQUIEBRE(Q521:AB521)</f>
        <v>0</v>
      </c>
      <c r="AH521" s="19">
        <f t="array" ref="AH521">DiasMesesGris(Q521:AB521)</f>
        <v>0</v>
      </c>
      <c r="AI521" s="19">
        <f t="shared" si="47"/>
        <v>0</v>
      </c>
      <c r="AJ521" s="19">
        <f t="shared" si="48"/>
        <v>360</v>
      </c>
      <c r="AK521" s="20">
        <f t="shared" si="46"/>
        <v>0</v>
      </c>
      <c r="AL521" s="21">
        <f t="shared" si="49"/>
        <v>0</v>
      </c>
    </row>
    <row r="522" spans="33:38" x14ac:dyDescent="0.25">
      <c r="AG522" s="19">
        <f t="array" ref="AG522">DIASQUIEBRE(Q522:AB522)</f>
        <v>0</v>
      </c>
      <c r="AH522" s="19">
        <f t="array" ref="AH522">DiasMesesGris(Q522:AB522)</f>
        <v>0</v>
      </c>
      <c r="AI522" s="19">
        <f t="shared" si="47"/>
        <v>0</v>
      </c>
      <c r="AJ522" s="19">
        <f t="shared" si="48"/>
        <v>360</v>
      </c>
      <c r="AK522" s="20">
        <f t="shared" si="46"/>
        <v>0</v>
      </c>
      <c r="AL522" s="21">
        <f t="shared" si="49"/>
        <v>0</v>
      </c>
    </row>
    <row r="523" spans="33:38" x14ac:dyDescent="0.25">
      <c r="AG523" s="19">
        <f t="array" ref="AG523">DIASQUIEBRE(Q523:AB523)</f>
        <v>0</v>
      </c>
      <c r="AH523" s="19">
        <f t="array" ref="AH523">DiasMesesGris(Q523:AB523)</f>
        <v>0</v>
      </c>
      <c r="AI523" s="19">
        <f t="shared" si="47"/>
        <v>0</v>
      </c>
      <c r="AJ523" s="19">
        <f t="shared" si="48"/>
        <v>360</v>
      </c>
      <c r="AK523" s="20">
        <f t="shared" si="46"/>
        <v>0</v>
      </c>
      <c r="AL523" s="21">
        <f t="shared" si="49"/>
        <v>0</v>
      </c>
    </row>
    <row r="524" spans="33:38" x14ac:dyDescent="0.25">
      <c r="AG524" s="19">
        <f t="array" ref="AG524">DIASQUIEBRE(Q524:AB524)</f>
        <v>0</v>
      </c>
      <c r="AH524" s="19">
        <f t="array" ref="AH524">DiasMesesGris(Q524:AB524)</f>
        <v>0</v>
      </c>
      <c r="AI524" s="19">
        <f t="shared" si="47"/>
        <v>0</v>
      </c>
      <c r="AJ524" s="19">
        <f t="shared" si="48"/>
        <v>360</v>
      </c>
      <c r="AK524" s="20">
        <f t="shared" si="46"/>
        <v>0</v>
      </c>
      <c r="AL524" s="21">
        <f t="shared" si="49"/>
        <v>0</v>
      </c>
    </row>
    <row r="525" spans="33:38" x14ac:dyDescent="0.25">
      <c r="AG525" s="19">
        <f t="array" ref="AG525">DIASQUIEBRE(Q525:AB525)</f>
        <v>0</v>
      </c>
      <c r="AH525" s="19">
        <f t="array" ref="AH525">DiasMesesGris(Q525:AB525)</f>
        <v>0</v>
      </c>
      <c r="AI525" s="19">
        <f t="shared" si="47"/>
        <v>0</v>
      </c>
      <c r="AJ525" s="19">
        <f t="shared" si="48"/>
        <v>360</v>
      </c>
      <c r="AK525" s="20">
        <f t="shared" si="46"/>
        <v>0</v>
      </c>
      <c r="AL525" s="21">
        <f t="shared" si="49"/>
        <v>0</v>
      </c>
    </row>
    <row r="526" spans="33:38" x14ac:dyDescent="0.25">
      <c r="AG526" s="19">
        <f t="array" ref="AG526">DIASQUIEBRE(Q526:AB526)</f>
        <v>0</v>
      </c>
      <c r="AH526" s="19">
        <f t="array" ref="AH526">DiasMesesGris(Q526:AB526)</f>
        <v>0</v>
      </c>
      <c r="AI526" s="19">
        <f t="shared" si="47"/>
        <v>0</v>
      </c>
      <c r="AJ526" s="19">
        <f t="shared" si="48"/>
        <v>360</v>
      </c>
      <c r="AK526" s="20">
        <f t="shared" si="46"/>
        <v>0</v>
      </c>
      <c r="AL526" s="21">
        <f t="shared" si="49"/>
        <v>0</v>
      </c>
    </row>
    <row r="527" spans="33:38" x14ac:dyDescent="0.25">
      <c r="AG527" s="19">
        <f t="array" ref="AG527">DIASQUIEBRE(Q527:AB527)</f>
        <v>0</v>
      </c>
      <c r="AH527" s="19">
        <f t="array" ref="AH527">DiasMesesGris(Q527:AB527)</f>
        <v>0</v>
      </c>
      <c r="AI527" s="19">
        <f t="shared" si="47"/>
        <v>0</v>
      </c>
      <c r="AJ527" s="19">
        <f t="shared" si="48"/>
        <v>360</v>
      </c>
      <c r="AK527" s="20">
        <f t="shared" si="46"/>
        <v>0</v>
      </c>
      <c r="AL527" s="21">
        <f t="shared" si="49"/>
        <v>0</v>
      </c>
    </row>
    <row r="528" spans="33:38" x14ac:dyDescent="0.25">
      <c r="AG528" s="19">
        <f t="array" ref="AG528">DIASQUIEBRE(Q528:AB528)</f>
        <v>0</v>
      </c>
      <c r="AH528" s="19">
        <f t="array" ref="AH528">DiasMesesGris(Q528:AB528)</f>
        <v>0</v>
      </c>
      <c r="AI528" s="19">
        <f t="shared" si="47"/>
        <v>0</v>
      </c>
      <c r="AJ528" s="19">
        <f t="shared" si="48"/>
        <v>360</v>
      </c>
      <c r="AK528" s="20">
        <f t="shared" si="46"/>
        <v>0</v>
      </c>
      <c r="AL528" s="21">
        <f t="shared" si="49"/>
        <v>0</v>
      </c>
    </row>
    <row r="529" spans="33:38" x14ac:dyDescent="0.25">
      <c r="AG529" s="19">
        <f t="array" ref="AG529">DIASQUIEBRE(Q529:AB529)</f>
        <v>0</v>
      </c>
      <c r="AH529" s="19">
        <f t="array" ref="AH529">DiasMesesGris(Q529:AB529)</f>
        <v>0</v>
      </c>
      <c r="AI529" s="19">
        <f t="shared" si="47"/>
        <v>0</v>
      </c>
      <c r="AJ529" s="19">
        <f t="shared" si="48"/>
        <v>360</v>
      </c>
      <c r="AK529" s="20">
        <f t="shared" si="46"/>
        <v>0</v>
      </c>
      <c r="AL529" s="21">
        <f t="shared" si="49"/>
        <v>0</v>
      </c>
    </row>
    <row r="530" spans="33:38" x14ac:dyDescent="0.25">
      <c r="AG530" s="19">
        <f t="array" ref="AG530">DIASQUIEBRE(Q530:AB530)</f>
        <v>0</v>
      </c>
      <c r="AH530" s="19">
        <f t="array" ref="AH530">DiasMesesGris(Q530:AB530)</f>
        <v>0</v>
      </c>
      <c r="AI530" s="19">
        <f t="shared" si="47"/>
        <v>0</v>
      </c>
      <c r="AJ530" s="19">
        <f t="shared" si="48"/>
        <v>360</v>
      </c>
      <c r="AK530" s="20">
        <f t="shared" si="46"/>
        <v>0</v>
      </c>
      <c r="AL530" s="21">
        <f t="shared" si="49"/>
        <v>0</v>
      </c>
    </row>
    <row r="531" spans="33:38" x14ac:dyDescent="0.25">
      <c r="AG531" s="19">
        <f t="array" ref="AG531">DIASQUIEBRE(Q531:AB531)</f>
        <v>0</v>
      </c>
      <c r="AH531" s="19">
        <f t="array" ref="AH531">DiasMesesGris(Q531:AB531)</f>
        <v>0</v>
      </c>
      <c r="AI531" s="19">
        <f t="shared" si="47"/>
        <v>0</v>
      </c>
      <c r="AJ531" s="19">
        <f t="shared" si="48"/>
        <v>360</v>
      </c>
      <c r="AK531" s="20">
        <f t="shared" si="46"/>
        <v>0</v>
      </c>
      <c r="AL531" s="21">
        <f t="shared" si="49"/>
        <v>0</v>
      </c>
    </row>
    <row r="532" spans="33:38" x14ac:dyDescent="0.25">
      <c r="AG532" s="19">
        <f t="array" ref="AG532">DIASQUIEBRE(Q532:AB532)</f>
        <v>0</v>
      </c>
      <c r="AH532" s="19">
        <f t="array" ref="AH532">DiasMesesGris(Q532:AB532)</f>
        <v>0</v>
      </c>
      <c r="AI532" s="19">
        <f t="shared" si="47"/>
        <v>0</v>
      </c>
      <c r="AJ532" s="19">
        <f t="shared" si="48"/>
        <v>360</v>
      </c>
      <c r="AK532" s="20">
        <f t="shared" si="46"/>
        <v>0</v>
      </c>
      <c r="AL532" s="21">
        <f t="shared" si="49"/>
        <v>0</v>
      </c>
    </row>
    <row r="533" spans="33:38" x14ac:dyDescent="0.25">
      <c r="AG533" s="19">
        <f t="array" ref="AG533">DIASQUIEBRE(Q533:AB533)</f>
        <v>0</v>
      </c>
      <c r="AH533" s="19">
        <f t="array" ref="AH533">DiasMesesGris(Q533:AB533)</f>
        <v>0</v>
      </c>
      <c r="AI533" s="19">
        <f t="shared" si="47"/>
        <v>0</v>
      </c>
      <c r="AJ533" s="19">
        <f t="shared" si="48"/>
        <v>360</v>
      </c>
      <c r="AK533" s="20">
        <f t="shared" si="46"/>
        <v>0</v>
      </c>
      <c r="AL533" s="21">
        <f t="shared" si="49"/>
        <v>0</v>
      </c>
    </row>
    <row r="534" spans="33:38" x14ac:dyDescent="0.25">
      <c r="AG534" s="19">
        <f t="array" ref="AG534">DIASQUIEBRE(Q534:AB534)</f>
        <v>0</v>
      </c>
      <c r="AH534" s="19">
        <f t="array" ref="AH534">DiasMesesGris(Q534:AB534)</f>
        <v>0</v>
      </c>
      <c r="AI534" s="19">
        <f t="shared" si="47"/>
        <v>0</v>
      </c>
      <c r="AJ534" s="19">
        <f t="shared" si="48"/>
        <v>360</v>
      </c>
      <c r="AK534" s="20">
        <f t="shared" ref="AK534:AK597" si="50">SUM(D534:O534)</f>
        <v>0</v>
      </c>
      <c r="AL534" s="21">
        <f t="shared" si="49"/>
        <v>0</v>
      </c>
    </row>
    <row r="535" spans="33:38" x14ac:dyDescent="0.25">
      <c r="AG535" s="19">
        <f t="array" ref="AG535">DIASQUIEBRE(Q535:AB535)</f>
        <v>0</v>
      </c>
      <c r="AH535" s="19">
        <f t="array" ref="AH535">DiasMesesGris(Q535:AB535)</f>
        <v>0</v>
      </c>
      <c r="AI535" s="19">
        <f t="shared" si="47"/>
        <v>0</v>
      </c>
      <c r="AJ535" s="19">
        <f t="shared" si="48"/>
        <v>360</v>
      </c>
      <c r="AK535" s="20">
        <f t="shared" si="50"/>
        <v>0</v>
      </c>
      <c r="AL535" s="21">
        <f t="shared" si="49"/>
        <v>0</v>
      </c>
    </row>
    <row r="536" spans="33:38" x14ac:dyDescent="0.25">
      <c r="AG536" s="19">
        <f t="array" ref="AG536">DIASQUIEBRE(Q536:AB536)</f>
        <v>0</v>
      </c>
      <c r="AH536" s="19">
        <f t="array" ref="AH536">DiasMesesGris(Q536:AB536)</f>
        <v>0</v>
      </c>
      <c r="AI536" s="19">
        <f t="shared" si="47"/>
        <v>0</v>
      </c>
      <c r="AJ536" s="19">
        <f t="shared" si="48"/>
        <v>360</v>
      </c>
      <c r="AK536" s="20">
        <f t="shared" si="50"/>
        <v>0</v>
      </c>
      <c r="AL536" s="21">
        <f t="shared" si="49"/>
        <v>0</v>
      </c>
    </row>
    <row r="537" spans="33:38" x14ac:dyDescent="0.25">
      <c r="AG537" s="19">
        <f t="array" ref="AG537">DIASQUIEBRE(Q537:AB537)</f>
        <v>0</v>
      </c>
      <c r="AH537" s="19">
        <f t="array" ref="AH537">DiasMesesGris(Q537:AB537)</f>
        <v>0</v>
      </c>
      <c r="AI537" s="19">
        <f t="shared" si="47"/>
        <v>0</v>
      </c>
      <c r="AJ537" s="19">
        <f t="shared" si="48"/>
        <v>360</v>
      </c>
      <c r="AK537" s="20">
        <f t="shared" si="50"/>
        <v>0</v>
      </c>
      <c r="AL537" s="21">
        <f t="shared" si="49"/>
        <v>0</v>
      </c>
    </row>
    <row r="538" spans="33:38" x14ac:dyDescent="0.25">
      <c r="AG538" s="19">
        <f t="array" ref="AG538">DIASQUIEBRE(Q538:AB538)</f>
        <v>0</v>
      </c>
      <c r="AH538" s="19">
        <f t="array" ref="AH538">DiasMesesGris(Q538:AB538)</f>
        <v>0</v>
      </c>
      <c r="AI538" s="19">
        <f t="shared" si="47"/>
        <v>0</v>
      </c>
      <c r="AJ538" s="19">
        <f t="shared" si="48"/>
        <v>360</v>
      </c>
      <c r="AK538" s="20">
        <f t="shared" si="50"/>
        <v>0</v>
      </c>
      <c r="AL538" s="21">
        <f t="shared" si="49"/>
        <v>0</v>
      </c>
    </row>
    <row r="539" spans="33:38" x14ac:dyDescent="0.25">
      <c r="AG539" s="19">
        <f t="array" ref="AG539">DIASQUIEBRE(Q539:AB539)</f>
        <v>0</v>
      </c>
      <c r="AH539" s="19">
        <f t="array" ref="AH539">DiasMesesGris(Q539:AB539)</f>
        <v>0</v>
      </c>
      <c r="AI539" s="19">
        <f t="shared" si="47"/>
        <v>0</v>
      </c>
      <c r="AJ539" s="19">
        <f t="shared" si="48"/>
        <v>360</v>
      </c>
      <c r="AK539" s="20">
        <f t="shared" si="50"/>
        <v>0</v>
      </c>
      <c r="AL539" s="21">
        <f t="shared" si="49"/>
        <v>0</v>
      </c>
    </row>
    <row r="540" spans="33:38" x14ac:dyDescent="0.25">
      <c r="AG540" s="19">
        <f t="array" ref="AG540">DIASQUIEBRE(Q540:AB540)</f>
        <v>0</v>
      </c>
      <c r="AH540" s="19">
        <f t="array" ref="AH540">DiasMesesGris(Q540:AB540)</f>
        <v>0</v>
      </c>
      <c r="AI540" s="19">
        <f t="shared" si="47"/>
        <v>0</v>
      </c>
      <c r="AJ540" s="19">
        <f t="shared" si="48"/>
        <v>360</v>
      </c>
      <c r="AK540" s="20">
        <f t="shared" si="50"/>
        <v>0</v>
      </c>
      <c r="AL540" s="21">
        <f t="shared" si="49"/>
        <v>0</v>
      </c>
    </row>
    <row r="541" spans="33:38" x14ac:dyDescent="0.25">
      <c r="AG541" s="19">
        <f t="array" ref="AG541">DIASQUIEBRE(Q541:AB541)</f>
        <v>0</v>
      </c>
      <c r="AH541" s="19">
        <f t="array" ref="AH541">DiasMesesGris(Q541:AB541)</f>
        <v>0</v>
      </c>
      <c r="AI541" s="19">
        <f t="shared" si="47"/>
        <v>0</v>
      </c>
      <c r="AJ541" s="19">
        <f t="shared" si="48"/>
        <v>360</v>
      </c>
      <c r="AK541" s="20">
        <f t="shared" si="50"/>
        <v>0</v>
      </c>
      <c r="AL541" s="21">
        <f t="shared" si="49"/>
        <v>0</v>
      </c>
    </row>
    <row r="542" spans="33:38" x14ac:dyDescent="0.25">
      <c r="AG542" s="19">
        <f t="array" ref="AG542">DIASQUIEBRE(Q542:AB542)</f>
        <v>0</v>
      </c>
      <c r="AH542" s="19">
        <f t="array" ref="AH542">DiasMesesGris(Q542:AB542)</f>
        <v>0</v>
      </c>
      <c r="AI542" s="19">
        <f t="shared" si="47"/>
        <v>0</v>
      </c>
      <c r="AJ542" s="19">
        <f t="shared" si="48"/>
        <v>360</v>
      </c>
      <c r="AK542" s="20">
        <f t="shared" si="50"/>
        <v>0</v>
      </c>
      <c r="AL542" s="21">
        <f t="shared" si="49"/>
        <v>0</v>
      </c>
    </row>
    <row r="543" spans="33:38" x14ac:dyDescent="0.25">
      <c r="AG543" s="19">
        <f t="array" ref="AG543">DIASQUIEBRE(Q543:AB543)</f>
        <v>0</v>
      </c>
      <c r="AH543" s="19">
        <f t="array" ref="AH543">DiasMesesGris(Q543:AB543)</f>
        <v>0</v>
      </c>
      <c r="AI543" s="19">
        <f t="shared" si="47"/>
        <v>0</v>
      </c>
      <c r="AJ543" s="19">
        <f t="shared" si="48"/>
        <v>360</v>
      </c>
      <c r="AK543" s="20">
        <f t="shared" si="50"/>
        <v>0</v>
      </c>
      <c r="AL543" s="21">
        <f t="shared" si="49"/>
        <v>0</v>
      </c>
    </row>
    <row r="544" spans="33:38" x14ac:dyDescent="0.25">
      <c r="AG544" s="19">
        <f t="array" ref="AG544">DIASQUIEBRE(Q544:AB544)</f>
        <v>0</v>
      </c>
      <c r="AH544" s="19">
        <f t="array" ref="AH544">DiasMesesGris(Q544:AB544)</f>
        <v>0</v>
      </c>
      <c r="AI544" s="19">
        <f t="shared" si="47"/>
        <v>0</v>
      </c>
      <c r="AJ544" s="19">
        <f t="shared" si="48"/>
        <v>360</v>
      </c>
      <c r="AK544" s="20">
        <f t="shared" si="50"/>
        <v>0</v>
      </c>
      <c r="AL544" s="21">
        <f t="shared" si="49"/>
        <v>0</v>
      </c>
    </row>
    <row r="545" spans="33:38" x14ac:dyDescent="0.25">
      <c r="AG545" s="19">
        <f t="array" ref="AG545">DIASQUIEBRE(Q545:AB545)</f>
        <v>0</v>
      </c>
      <c r="AH545" s="19">
        <f t="array" ref="AH545">DiasMesesGris(Q545:AB545)</f>
        <v>0</v>
      </c>
      <c r="AI545" s="19">
        <f t="shared" si="47"/>
        <v>0</v>
      </c>
      <c r="AJ545" s="19">
        <f t="shared" si="48"/>
        <v>360</v>
      </c>
      <c r="AK545" s="20">
        <f t="shared" si="50"/>
        <v>0</v>
      </c>
      <c r="AL545" s="21">
        <f t="shared" si="49"/>
        <v>0</v>
      </c>
    </row>
    <row r="546" spans="33:38" x14ac:dyDescent="0.25">
      <c r="AG546" s="19">
        <f t="array" ref="AG546">DIASQUIEBRE(Q546:AB546)</f>
        <v>0</v>
      </c>
      <c r="AH546" s="19">
        <f t="array" ref="AH546">DiasMesesGris(Q546:AB546)</f>
        <v>0</v>
      </c>
      <c r="AI546" s="19">
        <f t="shared" si="47"/>
        <v>0</v>
      </c>
      <c r="AJ546" s="19">
        <f t="shared" si="48"/>
        <v>360</v>
      </c>
      <c r="AK546" s="20">
        <f t="shared" si="50"/>
        <v>0</v>
      </c>
      <c r="AL546" s="21">
        <f t="shared" si="49"/>
        <v>0</v>
      </c>
    </row>
    <row r="547" spans="33:38" x14ac:dyDescent="0.25">
      <c r="AG547" s="19">
        <f t="array" ref="AG547">DIASQUIEBRE(Q547:AB547)</f>
        <v>0</v>
      </c>
      <c r="AH547" s="19">
        <f t="array" ref="AH547">DiasMesesGris(Q547:AB547)</f>
        <v>0</v>
      </c>
      <c r="AI547" s="19">
        <f t="shared" si="47"/>
        <v>0</v>
      </c>
      <c r="AJ547" s="19">
        <f t="shared" si="48"/>
        <v>360</v>
      </c>
      <c r="AK547" s="20">
        <f t="shared" si="50"/>
        <v>0</v>
      </c>
      <c r="AL547" s="21">
        <f t="shared" si="49"/>
        <v>0</v>
      </c>
    </row>
    <row r="548" spans="33:38" x14ac:dyDescent="0.25">
      <c r="AG548" s="19">
        <f t="array" ref="AG548">DIASQUIEBRE(Q548:AB548)</f>
        <v>0</v>
      </c>
      <c r="AH548" s="19">
        <f t="array" ref="AH548">DiasMesesGris(Q548:AB548)</f>
        <v>0</v>
      </c>
      <c r="AI548" s="19">
        <f t="shared" si="47"/>
        <v>0</v>
      </c>
      <c r="AJ548" s="19">
        <f t="shared" si="48"/>
        <v>360</v>
      </c>
      <c r="AK548" s="20">
        <f t="shared" si="50"/>
        <v>0</v>
      </c>
      <c r="AL548" s="21">
        <f t="shared" si="49"/>
        <v>0</v>
      </c>
    </row>
    <row r="549" spans="33:38" x14ac:dyDescent="0.25">
      <c r="AG549" s="19">
        <f t="array" ref="AG549">DIASQUIEBRE(Q549:AB549)</f>
        <v>0</v>
      </c>
      <c r="AH549" s="19">
        <f t="array" ref="AH549">DiasMesesGris(Q549:AB549)</f>
        <v>0</v>
      </c>
      <c r="AI549" s="19">
        <f t="shared" si="47"/>
        <v>0</v>
      </c>
      <c r="AJ549" s="19">
        <f t="shared" si="48"/>
        <v>360</v>
      </c>
      <c r="AK549" s="20">
        <f t="shared" si="50"/>
        <v>0</v>
      </c>
      <c r="AL549" s="21">
        <f t="shared" si="49"/>
        <v>0</v>
      </c>
    </row>
    <row r="550" spans="33:38" x14ac:dyDescent="0.25">
      <c r="AG550" s="19">
        <f t="array" ref="AG550">DIASQUIEBRE(Q550:AB550)</f>
        <v>0</v>
      </c>
      <c r="AH550" s="19">
        <f t="array" ref="AH550">DiasMesesGris(Q550:AB550)</f>
        <v>0</v>
      </c>
      <c r="AI550" s="19">
        <f t="shared" si="47"/>
        <v>0</v>
      </c>
      <c r="AJ550" s="19">
        <f t="shared" si="48"/>
        <v>360</v>
      </c>
      <c r="AK550" s="20">
        <f t="shared" si="50"/>
        <v>0</v>
      </c>
      <c r="AL550" s="21">
        <f t="shared" si="49"/>
        <v>0</v>
      </c>
    </row>
    <row r="551" spans="33:38" x14ac:dyDescent="0.25">
      <c r="AG551" s="19">
        <f t="array" ref="AG551">DIASQUIEBRE(Q551:AB551)</f>
        <v>0</v>
      </c>
      <c r="AH551" s="19">
        <f t="array" ref="AH551">DiasMesesGris(Q551:AB551)</f>
        <v>0</v>
      </c>
      <c r="AI551" s="19">
        <f t="shared" si="47"/>
        <v>0</v>
      </c>
      <c r="AJ551" s="19">
        <f t="shared" si="48"/>
        <v>360</v>
      </c>
      <c r="AK551" s="20">
        <f t="shared" si="50"/>
        <v>0</v>
      </c>
      <c r="AL551" s="21">
        <f t="shared" si="49"/>
        <v>0</v>
      </c>
    </row>
    <row r="552" spans="33:38" x14ac:dyDescent="0.25">
      <c r="AG552" s="19">
        <f t="array" ref="AG552">DIASQUIEBRE(Q552:AB552)</f>
        <v>0</v>
      </c>
      <c r="AH552" s="19">
        <f t="array" ref="AH552">DiasMesesGris(Q552:AB552)</f>
        <v>0</v>
      </c>
      <c r="AI552" s="19">
        <f t="shared" si="47"/>
        <v>0</v>
      </c>
      <c r="AJ552" s="19">
        <f t="shared" si="48"/>
        <v>360</v>
      </c>
      <c r="AK552" s="20">
        <f t="shared" si="50"/>
        <v>0</v>
      </c>
      <c r="AL552" s="21">
        <f t="shared" si="49"/>
        <v>0</v>
      </c>
    </row>
    <row r="553" spans="33:38" x14ac:dyDescent="0.25">
      <c r="AG553" s="19">
        <f t="array" ref="AG553">DIASQUIEBRE(Q553:AB553)</f>
        <v>0</v>
      </c>
      <c r="AH553" s="19">
        <f t="array" ref="AH553">DiasMesesGris(Q553:AB553)</f>
        <v>0</v>
      </c>
      <c r="AI553" s="19">
        <f t="shared" si="47"/>
        <v>0</v>
      </c>
      <c r="AJ553" s="19">
        <f t="shared" si="48"/>
        <v>360</v>
      </c>
      <c r="AK553" s="20">
        <f t="shared" si="50"/>
        <v>0</v>
      </c>
      <c r="AL553" s="21">
        <f t="shared" si="49"/>
        <v>0</v>
      </c>
    </row>
    <row r="554" spans="33:38" x14ac:dyDescent="0.25">
      <c r="AG554" s="19">
        <f t="array" ref="AG554">DIASQUIEBRE(Q554:AB554)</f>
        <v>0</v>
      </c>
      <c r="AH554" s="19">
        <f t="array" ref="AH554">DiasMesesGris(Q554:AB554)</f>
        <v>0</v>
      </c>
      <c r="AI554" s="19">
        <f t="shared" si="47"/>
        <v>0</v>
      </c>
      <c r="AJ554" s="19">
        <f t="shared" si="48"/>
        <v>360</v>
      </c>
      <c r="AK554" s="20">
        <f t="shared" si="50"/>
        <v>0</v>
      </c>
      <c r="AL554" s="21">
        <f t="shared" si="49"/>
        <v>0</v>
      </c>
    </row>
    <row r="555" spans="33:38" x14ac:dyDescent="0.25">
      <c r="AG555" s="19">
        <f t="array" ref="AG555">DIASQUIEBRE(Q555:AB555)</f>
        <v>0</v>
      </c>
      <c r="AH555" s="19">
        <f t="array" ref="AH555">DiasMesesGris(Q555:AB555)</f>
        <v>0</v>
      </c>
      <c r="AI555" s="19">
        <f t="shared" si="47"/>
        <v>0</v>
      </c>
      <c r="AJ555" s="19">
        <f t="shared" si="48"/>
        <v>360</v>
      </c>
      <c r="AK555" s="20">
        <f t="shared" si="50"/>
        <v>0</v>
      </c>
      <c r="AL555" s="21">
        <f t="shared" si="49"/>
        <v>0</v>
      </c>
    </row>
    <row r="556" spans="33:38" x14ac:dyDescent="0.25">
      <c r="AG556" s="19">
        <f t="array" ref="AG556">DIASQUIEBRE(Q556:AB556)</f>
        <v>0</v>
      </c>
      <c r="AH556" s="19">
        <f t="array" ref="AH556">DiasMesesGris(Q556:AB556)</f>
        <v>0</v>
      </c>
      <c r="AI556" s="19">
        <f t="shared" si="47"/>
        <v>0</v>
      </c>
      <c r="AJ556" s="19">
        <f t="shared" si="48"/>
        <v>360</v>
      </c>
      <c r="AK556" s="20">
        <f t="shared" si="50"/>
        <v>0</v>
      </c>
      <c r="AL556" s="21">
        <f t="shared" si="49"/>
        <v>0</v>
      </c>
    </row>
    <row r="557" spans="33:38" x14ac:dyDescent="0.25">
      <c r="AG557" s="19">
        <f t="array" ref="AG557">DIASQUIEBRE(Q557:AB557)</f>
        <v>0</v>
      </c>
      <c r="AH557" s="19">
        <f t="array" ref="AH557">DiasMesesGris(Q557:AB557)</f>
        <v>0</v>
      </c>
      <c r="AI557" s="19">
        <f t="shared" si="47"/>
        <v>0</v>
      </c>
      <c r="AJ557" s="19">
        <f t="shared" si="48"/>
        <v>360</v>
      </c>
      <c r="AK557" s="20">
        <f t="shared" si="50"/>
        <v>0</v>
      </c>
      <c r="AL557" s="21">
        <f t="shared" si="49"/>
        <v>0</v>
      </c>
    </row>
    <row r="558" spans="33:38" x14ac:dyDescent="0.25">
      <c r="AG558" s="19">
        <f t="array" ref="AG558">DIASQUIEBRE(Q558:AB558)</f>
        <v>0</v>
      </c>
      <c r="AH558" s="19">
        <f t="array" ref="AH558">DiasMesesGris(Q558:AB558)</f>
        <v>0</v>
      </c>
      <c r="AI558" s="19">
        <f t="shared" si="47"/>
        <v>0</v>
      </c>
      <c r="AJ558" s="19">
        <f t="shared" si="48"/>
        <v>360</v>
      </c>
      <c r="AK558" s="20">
        <f t="shared" si="50"/>
        <v>0</v>
      </c>
      <c r="AL558" s="21">
        <f t="shared" si="49"/>
        <v>0</v>
      </c>
    </row>
    <row r="559" spans="33:38" x14ac:dyDescent="0.25">
      <c r="AG559" s="19">
        <f t="array" ref="AG559">DIASQUIEBRE(Q559:AB559)</f>
        <v>0</v>
      </c>
      <c r="AH559" s="19">
        <f t="array" ref="AH559">DiasMesesGris(Q559:AB559)</f>
        <v>0</v>
      </c>
      <c r="AI559" s="19">
        <f t="shared" si="47"/>
        <v>0</v>
      </c>
      <c r="AJ559" s="19">
        <f t="shared" si="48"/>
        <v>360</v>
      </c>
      <c r="AK559" s="20">
        <f t="shared" si="50"/>
        <v>0</v>
      </c>
      <c r="AL559" s="21">
        <f t="shared" si="49"/>
        <v>0</v>
      </c>
    </row>
    <row r="560" spans="33:38" x14ac:dyDescent="0.25">
      <c r="AG560" s="19">
        <f t="array" ref="AG560">DIASQUIEBRE(Q560:AB560)</f>
        <v>0</v>
      </c>
      <c r="AH560" s="19">
        <f t="array" ref="AH560">DiasMesesGris(Q560:AB560)</f>
        <v>0</v>
      </c>
      <c r="AI560" s="19">
        <f t="shared" si="47"/>
        <v>0</v>
      </c>
      <c r="AJ560" s="19">
        <f t="shared" si="48"/>
        <v>360</v>
      </c>
      <c r="AK560" s="20">
        <f t="shared" si="50"/>
        <v>0</v>
      </c>
      <c r="AL560" s="21">
        <f t="shared" si="49"/>
        <v>0</v>
      </c>
    </row>
    <row r="561" spans="33:38" x14ac:dyDescent="0.25">
      <c r="AG561" s="19">
        <f t="array" ref="AG561">DIASQUIEBRE(Q561:AB561)</f>
        <v>0</v>
      </c>
      <c r="AH561" s="19">
        <f t="array" ref="AH561">DiasMesesGris(Q561:AB561)</f>
        <v>0</v>
      </c>
      <c r="AI561" s="19">
        <f t="shared" si="47"/>
        <v>0</v>
      </c>
      <c r="AJ561" s="19">
        <f t="shared" si="48"/>
        <v>360</v>
      </c>
      <c r="AK561" s="20">
        <f t="shared" si="50"/>
        <v>0</v>
      </c>
      <c r="AL561" s="21">
        <f t="shared" si="49"/>
        <v>0</v>
      </c>
    </row>
    <row r="562" spans="33:38" x14ac:dyDescent="0.25">
      <c r="AG562" s="19">
        <f t="array" ref="AG562">DIASQUIEBRE(Q562:AB562)</f>
        <v>0</v>
      </c>
      <c r="AH562" s="19">
        <f t="array" ref="AH562">DiasMesesGris(Q562:AB562)</f>
        <v>0</v>
      </c>
      <c r="AI562" s="19">
        <f t="shared" si="47"/>
        <v>0</v>
      </c>
      <c r="AJ562" s="19">
        <f t="shared" si="48"/>
        <v>360</v>
      </c>
      <c r="AK562" s="20">
        <f t="shared" si="50"/>
        <v>0</v>
      </c>
      <c r="AL562" s="21">
        <f t="shared" si="49"/>
        <v>0</v>
      </c>
    </row>
    <row r="563" spans="33:38" x14ac:dyDescent="0.25">
      <c r="AG563" s="19">
        <f t="array" ref="AG563">DIASQUIEBRE(Q563:AB563)</f>
        <v>0</v>
      </c>
      <c r="AH563" s="19">
        <f t="array" ref="AH563">DiasMesesGris(Q563:AB563)</f>
        <v>0</v>
      </c>
      <c r="AI563" s="19">
        <f t="shared" si="47"/>
        <v>0</v>
      </c>
      <c r="AJ563" s="19">
        <f t="shared" si="48"/>
        <v>360</v>
      </c>
      <c r="AK563" s="20">
        <f t="shared" si="50"/>
        <v>0</v>
      </c>
      <c r="AL563" s="21">
        <f t="shared" si="49"/>
        <v>0</v>
      </c>
    </row>
    <row r="564" spans="33:38" x14ac:dyDescent="0.25">
      <c r="AG564" s="19">
        <f t="array" ref="AG564">DIASQUIEBRE(Q564:AB564)</f>
        <v>0</v>
      </c>
      <c r="AH564" s="19">
        <f t="array" ref="AH564">DiasMesesGris(Q564:AB564)</f>
        <v>0</v>
      </c>
      <c r="AI564" s="19">
        <f t="shared" si="47"/>
        <v>0</v>
      </c>
      <c r="AJ564" s="19">
        <f t="shared" si="48"/>
        <v>360</v>
      </c>
      <c r="AK564" s="20">
        <f t="shared" si="50"/>
        <v>0</v>
      </c>
      <c r="AL564" s="21">
        <f t="shared" si="49"/>
        <v>0</v>
      </c>
    </row>
    <row r="565" spans="33:38" x14ac:dyDescent="0.25">
      <c r="AG565" s="19">
        <f t="array" ref="AG565">DIASQUIEBRE(Q565:AB565)</f>
        <v>0</v>
      </c>
      <c r="AH565" s="19">
        <f t="array" ref="AH565">DiasMesesGris(Q565:AB565)</f>
        <v>0</v>
      </c>
      <c r="AI565" s="19">
        <f t="shared" si="47"/>
        <v>0</v>
      </c>
      <c r="AJ565" s="19">
        <f t="shared" si="48"/>
        <v>360</v>
      </c>
      <c r="AK565" s="20">
        <f t="shared" si="50"/>
        <v>0</v>
      </c>
      <c r="AL565" s="21">
        <f t="shared" si="49"/>
        <v>0</v>
      </c>
    </row>
    <row r="566" spans="33:38" x14ac:dyDescent="0.25">
      <c r="AG566" s="19">
        <f t="array" ref="AG566">DIASQUIEBRE(Q566:AB566)</f>
        <v>0</v>
      </c>
      <c r="AH566" s="19">
        <f t="array" ref="AH566">DiasMesesGris(Q566:AB566)</f>
        <v>0</v>
      </c>
      <c r="AI566" s="19">
        <f t="shared" si="47"/>
        <v>0</v>
      </c>
      <c r="AJ566" s="19">
        <f t="shared" si="48"/>
        <v>360</v>
      </c>
      <c r="AK566" s="20">
        <f t="shared" si="50"/>
        <v>0</v>
      </c>
      <c r="AL566" s="21">
        <f t="shared" si="49"/>
        <v>0</v>
      </c>
    </row>
    <row r="567" spans="33:38" x14ac:dyDescent="0.25">
      <c r="AG567" s="19">
        <f t="array" ref="AG567">DIASQUIEBRE(Q567:AB567)</f>
        <v>0</v>
      </c>
      <c r="AH567" s="19">
        <f t="array" ref="AH567">DiasMesesGris(Q567:AB567)</f>
        <v>0</v>
      </c>
      <c r="AI567" s="19">
        <f t="shared" si="47"/>
        <v>0</v>
      </c>
      <c r="AJ567" s="19">
        <f t="shared" si="48"/>
        <v>360</v>
      </c>
      <c r="AK567" s="20">
        <f t="shared" si="50"/>
        <v>0</v>
      </c>
      <c r="AL567" s="21">
        <f t="shared" si="49"/>
        <v>0</v>
      </c>
    </row>
    <row r="568" spans="33:38" x14ac:dyDescent="0.25">
      <c r="AG568" s="19">
        <f t="array" ref="AG568">DIASQUIEBRE(Q568:AB568)</f>
        <v>0</v>
      </c>
      <c r="AH568" s="19">
        <f t="array" ref="AH568">DiasMesesGris(Q568:AB568)</f>
        <v>0</v>
      </c>
      <c r="AI568" s="19">
        <f t="shared" si="47"/>
        <v>0</v>
      </c>
      <c r="AJ568" s="19">
        <f t="shared" si="48"/>
        <v>360</v>
      </c>
      <c r="AK568" s="20">
        <f t="shared" si="50"/>
        <v>0</v>
      </c>
      <c r="AL568" s="21">
        <f t="shared" si="49"/>
        <v>0</v>
      </c>
    </row>
    <row r="569" spans="33:38" x14ac:dyDescent="0.25">
      <c r="AG569" s="19">
        <f t="array" ref="AG569">DIASQUIEBRE(Q569:AB569)</f>
        <v>0</v>
      </c>
      <c r="AH569" s="19">
        <f t="array" ref="AH569">DiasMesesGris(Q569:AB569)</f>
        <v>0</v>
      </c>
      <c r="AI569" s="19">
        <f t="shared" si="47"/>
        <v>0</v>
      </c>
      <c r="AJ569" s="19">
        <f t="shared" si="48"/>
        <v>360</v>
      </c>
      <c r="AK569" s="20">
        <f t="shared" si="50"/>
        <v>0</v>
      </c>
      <c r="AL569" s="21">
        <f t="shared" si="49"/>
        <v>0</v>
      </c>
    </row>
    <row r="570" spans="33:38" x14ac:dyDescent="0.25">
      <c r="AG570" s="19">
        <f t="array" ref="AG570">DIASQUIEBRE(Q570:AB570)</f>
        <v>0</v>
      </c>
      <c r="AH570" s="19">
        <f t="array" ref="AH570">DiasMesesGris(Q570:AB570)</f>
        <v>0</v>
      </c>
      <c r="AI570" s="19">
        <f t="shared" si="47"/>
        <v>0</v>
      </c>
      <c r="AJ570" s="19">
        <f t="shared" si="48"/>
        <v>360</v>
      </c>
      <c r="AK570" s="20">
        <f t="shared" si="50"/>
        <v>0</v>
      </c>
      <c r="AL570" s="21">
        <f t="shared" si="49"/>
        <v>0</v>
      </c>
    </row>
    <row r="571" spans="33:38" x14ac:dyDescent="0.25">
      <c r="AG571" s="19">
        <f t="array" ref="AG571">DIASQUIEBRE(Q571:AB571)</f>
        <v>0</v>
      </c>
      <c r="AH571" s="19">
        <f t="array" ref="AH571">DiasMesesGris(Q571:AB571)</f>
        <v>0</v>
      </c>
      <c r="AI571" s="19">
        <f t="shared" si="47"/>
        <v>0</v>
      </c>
      <c r="AJ571" s="19">
        <f t="shared" si="48"/>
        <v>360</v>
      </c>
      <c r="AK571" s="20">
        <f t="shared" si="50"/>
        <v>0</v>
      </c>
      <c r="AL571" s="21">
        <f t="shared" si="49"/>
        <v>0</v>
      </c>
    </row>
    <row r="572" spans="33:38" x14ac:dyDescent="0.25">
      <c r="AG572" s="19">
        <f t="array" ref="AG572">DIASQUIEBRE(Q572:AB572)</f>
        <v>0</v>
      </c>
      <c r="AH572" s="19">
        <f t="array" ref="AH572">DiasMesesGris(Q572:AB572)</f>
        <v>0</v>
      </c>
      <c r="AI572" s="19">
        <f t="shared" si="47"/>
        <v>0</v>
      </c>
      <c r="AJ572" s="19">
        <f t="shared" si="48"/>
        <v>360</v>
      </c>
      <c r="AK572" s="20">
        <f t="shared" si="50"/>
        <v>0</v>
      </c>
      <c r="AL572" s="21">
        <f t="shared" si="49"/>
        <v>0</v>
      </c>
    </row>
    <row r="573" spans="33:38" x14ac:dyDescent="0.25">
      <c r="AG573" s="19">
        <f t="array" ref="AG573">DIASQUIEBRE(Q573:AB573)</f>
        <v>0</v>
      </c>
      <c r="AH573" s="19">
        <f t="array" ref="AH573">DiasMesesGris(Q573:AB573)</f>
        <v>0</v>
      </c>
      <c r="AI573" s="19">
        <f t="shared" si="47"/>
        <v>0</v>
      </c>
      <c r="AJ573" s="19">
        <f t="shared" si="48"/>
        <v>360</v>
      </c>
      <c r="AK573" s="20">
        <f t="shared" si="50"/>
        <v>0</v>
      </c>
      <c r="AL573" s="21">
        <f t="shared" si="49"/>
        <v>0</v>
      </c>
    </row>
    <row r="574" spans="33:38" x14ac:dyDescent="0.25">
      <c r="AG574" s="19">
        <f t="array" ref="AG574">DIASQUIEBRE(Q574:AB574)</f>
        <v>0</v>
      </c>
      <c r="AH574" s="19">
        <f t="array" ref="AH574">DiasMesesGris(Q574:AB574)</f>
        <v>0</v>
      </c>
      <c r="AI574" s="19">
        <f t="shared" si="47"/>
        <v>0</v>
      </c>
      <c r="AJ574" s="19">
        <f t="shared" si="48"/>
        <v>360</v>
      </c>
      <c r="AK574" s="20">
        <f t="shared" si="50"/>
        <v>0</v>
      </c>
      <c r="AL574" s="21">
        <f t="shared" si="49"/>
        <v>0</v>
      </c>
    </row>
    <row r="575" spans="33:38" x14ac:dyDescent="0.25">
      <c r="AG575" s="19">
        <f t="array" ref="AG575">DIASQUIEBRE(Q575:AB575)</f>
        <v>0</v>
      </c>
      <c r="AH575" s="19">
        <f t="array" ref="AH575">DiasMesesGris(Q575:AB575)</f>
        <v>0</v>
      </c>
      <c r="AI575" s="19">
        <f t="shared" si="47"/>
        <v>0</v>
      </c>
      <c r="AJ575" s="19">
        <f t="shared" si="48"/>
        <v>360</v>
      </c>
      <c r="AK575" s="20">
        <f t="shared" si="50"/>
        <v>0</v>
      </c>
      <c r="AL575" s="21">
        <f t="shared" si="49"/>
        <v>0</v>
      </c>
    </row>
    <row r="576" spans="33:38" x14ac:dyDescent="0.25">
      <c r="AG576" s="19">
        <f t="array" ref="AG576">DIASQUIEBRE(Q576:AB576)</f>
        <v>0</v>
      </c>
      <c r="AH576" s="19">
        <f t="array" ref="AH576">DiasMesesGris(Q576:AB576)</f>
        <v>0</v>
      </c>
      <c r="AI576" s="19">
        <f t="shared" si="47"/>
        <v>0</v>
      </c>
      <c r="AJ576" s="19">
        <f t="shared" si="48"/>
        <v>360</v>
      </c>
      <c r="AK576" s="20">
        <f t="shared" si="50"/>
        <v>0</v>
      </c>
      <c r="AL576" s="21">
        <f t="shared" si="49"/>
        <v>0</v>
      </c>
    </row>
    <row r="577" spans="33:38" x14ac:dyDescent="0.25">
      <c r="AG577" s="19">
        <f t="array" ref="AG577">DIASQUIEBRE(Q577:AB577)</f>
        <v>0</v>
      </c>
      <c r="AH577" s="19">
        <f t="array" ref="AH577">DiasMesesGris(Q577:AB577)</f>
        <v>0</v>
      </c>
      <c r="AI577" s="19">
        <f t="shared" si="47"/>
        <v>0</v>
      </c>
      <c r="AJ577" s="19">
        <f t="shared" si="48"/>
        <v>360</v>
      </c>
      <c r="AK577" s="20">
        <f t="shared" si="50"/>
        <v>0</v>
      </c>
      <c r="AL577" s="21">
        <f t="shared" si="49"/>
        <v>0</v>
      </c>
    </row>
    <row r="578" spans="33:38" x14ac:dyDescent="0.25">
      <c r="AG578" s="19">
        <f t="array" ref="AG578">DIASQUIEBRE(Q578:AB578)</f>
        <v>0</v>
      </c>
      <c r="AH578" s="19">
        <f t="array" ref="AH578">DiasMesesGris(Q578:AB578)</f>
        <v>0</v>
      </c>
      <c r="AI578" s="19">
        <f t="shared" ref="AI578:AI641" si="51">AG578+AH578</f>
        <v>0</v>
      </c>
      <c r="AJ578" s="19">
        <f t="shared" ref="AJ578:AJ641" si="52">360-AI578</f>
        <v>360</v>
      </c>
      <c r="AK578" s="20">
        <f t="shared" si="50"/>
        <v>0</v>
      </c>
      <c r="AL578" s="21">
        <f t="shared" ref="AL578:AL641" si="53">IFERROR(AK578/AJ578,0)</f>
        <v>0</v>
      </c>
    </row>
    <row r="579" spans="33:38" x14ac:dyDescent="0.25">
      <c r="AG579" s="19">
        <f t="array" ref="AG579">DIASQUIEBRE(Q579:AB579)</f>
        <v>0</v>
      </c>
      <c r="AH579" s="19">
        <f t="array" ref="AH579">DiasMesesGris(Q579:AB579)</f>
        <v>0</v>
      </c>
      <c r="AI579" s="19">
        <f t="shared" si="51"/>
        <v>0</v>
      </c>
      <c r="AJ579" s="19">
        <f t="shared" si="52"/>
        <v>360</v>
      </c>
      <c r="AK579" s="20">
        <f t="shared" si="50"/>
        <v>0</v>
      </c>
      <c r="AL579" s="21">
        <f t="shared" si="53"/>
        <v>0</v>
      </c>
    </row>
    <row r="580" spans="33:38" x14ac:dyDescent="0.25">
      <c r="AG580" s="19">
        <f t="array" ref="AG580">DIASQUIEBRE(Q580:AB580)</f>
        <v>0</v>
      </c>
      <c r="AH580" s="19">
        <f t="array" ref="AH580">DiasMesesGris(Q580:AB580)</f>
        <v>0</v>
      </c>
      <c r="AI580" s="19">
        <f t="shared" si="51"/>
        <v>0</v>
      </c>
      <c r="AJ580" s="19">
        <f t="shared" si="52"/>
        <v>360</v>
      </c>
      <c r="AK580" s="20">
        <f t="shared" si="50"/>
        <v>0</v>
      </c>
      <c r="AL580" s="21">
        <f t="shared" si="53"/>
        <v>0</v>
      </c>
    </row>
    <row r="581" spans="33:38" x14ac:dyDescent="0.25">
      <c r="AG581" s="19">
        <f t="array" ref="AG581">DIASQUIEBRE(Q581:AB581)</f>
        <v>0</v>
      </c>
      <c r="AH581" s="19">
        <f t="array" ref="AH581">DiasMesesGris(Q581:AB581)</f>
        <v>0</v>
      </c>
      <c r="AI581" s="19">
        <f t="shared" si="51"/>
        <v>0</v>
      </c>
      <c r="AJ581" s="19">
        <f t="shared" si="52"/>
        <v>360</v>
      </c>
      <c r="AK581" s="20">
        <f t="shared" si="50"/>
        <v>0</v>
      </c>
      <c r="AL581" s="21">
        <f t="shared" si="53"/>
        <v>0</v>
      </c>
    </row>
    <row r="582" spans="33:38" x14ac:dyDescent="0.25">
      <c r="AG582" s="19">
        <f t="array" ref="AG582">DIASQUIEBRE(Q582:AB582)</f>
        <v>0</v>
      </c>
      <c r="AH582" s="19">
        <f t="array" ref="AH582">DiasMesesGris(Q582:AB582)</f>
        <v>0</v>
      </c>
      <c r="AI582" s="19">
        <f t="shared" si="51"/>
        <v>0</v>
      </c>
      <c r="AJ582" s="19">
        <f t="shared" si="52"/>
        <v>360</v>
      </c>
      <c r="AK582" s="20">
        <f t="shared" si="50"/>
        <v>0</v>
      </c>
      <c r="AL582" s="21">
        <f t="shared" si="53"/>
        <v>0</v>
      </c>
    </row>
    <row r="583" spans="33:38" x14ac:dyDescent="0.25">
      <c r="AG583" s="19">
        <f t="array" ref="AG583">DIASQUIEBRE(Q583:AB583)</f>
        <v>0</v>
      </c>
      <c r="AH583" s="19">
        <f t="array" ref="AH583">DiasMesesGris(Q583:AB583)</f>
        <v>0</v>
      </c>
      <c r="AI583" s="19">
        <f t="shared" si="51"/>
        <v>0</v>
      </c>
      <c r="AJ583" s="19">
        <f t="shared" si="52"/>
        <v>360</v>
      </c>
      <c r="AK583" s="20">
        <f t="shared" si="50"/>
        <v>0</v>
      </c>
      <c r="AL583" s="21">
        <f t="shared" si="53"/>
        <v>0</v>
      </c>
    </row>
    <row r="584" spans="33:38" x14ac:dyDescent="0.25">
      <c r="AG584" s="19">
        <f t="array" ref="AG584">DIASQUIEBRE(Q584:AB584)</f>
        <v>0</v>
      </c>
      <c r="AH584" s="19">
        <f t="array" ref="AH584">DiasMesesGris(Q584:AB584)</f>
        <v>0</v>
      </c>
      <c r="AI584" s="19">
        <f t="shared" si="51"/>
        <v>0</v>
      </c>
      <c r="AJ584" s="19">
        <f t="shared" si="52"/>
        <v>360</v>
      </c>
      <c r="AK584" s="20">
        <f t="shared" si="50"/>
        <v>0</v>
      </c>
      <c r="AL584" s="21">
        <f t="shared" si="53"/>
        <v>0</v>
      </c>
    </row>
    <row r="585" spans="33:38" x14ac:dyDescent="0.25">
      <c r="AG585" s="19">
        <f t="array" ref="AG585">DIASQUIEBRE(Q585:AB585)</f>
        <v>0</v>
      </c>
      <c r="AH585" s="19">
        <f t="array" ref="AH585">DiasMesesGris(Q585:AB585)</f>
        <v>0</v>
      </c>
      <c r="AI585" s="19">
        <f t="shared" si="51"/>
        <v>0</v>
      </c>
      <c r="AJ585" s="19">
        <f t="shared" si="52"/>
        <v>360</v>
      </c>
      <c r="AK585" s="20">
        <f t="shared" si="50"/>
        <v>0</v>
      </c>
      <c r="AL585" s="21">
        <f t="shared" si="53"/>
        <v>0</v>
      </c>
    </row>
    <row r="586" spans="33:38" x14ac:dyDescent="0.25">
      <c r="AG586" s="19">
        <f t="array" ref="AG586">DIASQUIEBRE(Q586:AB586)</f>
        <v>0</v>
      </c>
      <c r="AH586" s="19">
        <f t="array" ref="AH586">DiasMesesGris(Q586:AB586)</f>
        <v>0</v>
      </c>
      <c r="AI586" s="19">
        <f t="shared" si="51"/>
        <v>0</v>
      </c>
      <c r="AJ586" s="19">
        <f t="shared" si="52"/>
        <v>360</v>
      </c>
      <c r="AK586" s="20">
        <f t="shared" si="50"/>
        <v>0</v>
      </c>
      <c r="AL586" s="21">
        <f t="shared" si="53"/>
        <v>0</v>
      </c>
    </row>
    <row r="587" spans="33:38" x14ac:dyDescent="0.25">
      <c r="AG587" s="19">
        <f t="array" ref="AG587">DIASQUIEBRE(Q587:AB587)</f>
        <v>0</v>
      </c>
      <c r="AH587" s="19">
        <f t="array" ref="AH587">DiasMesesGris(Q587:AB587)</f>
        <v>0</v>
      </c>
      <c r="AI587" s="19">
        <f t="shared" si="51"/>
        <v>0</v>
      </c>
      <c r="AJ587" s="19">
        <f t="shared" si="52"/>
        <v>360</v>
      </c>
      <c r="AK587" s="20">
        <f t="shared" si="50"/>
        <v>0</v>
      </c>
      <c r="AL587" s="21">
        <f t="shared" si="53"/>
        <v>0</v>
      </c>
    </row>
    <row r="588" spans="33:38" x14ac:dyDescent="0.25">
      <c r="AG588" s="19">
        <f t="array" ref="AG588">DIASQUIEBRE(Q588:AB588)</f>
        <v>0</v>
      </c>
      <c r="AH588" s="19">
        <f t="array" ref="AH588">DiasMesesGris(Q588:AB588)</f>
        <v>0</v>
      </c>
      <c r="AI588" s="19">
        <f t="shared" si="51"/>
        <v>0</v>
      </c>
      <c r="AJ588" s="19">
        <f t="shared" si="52"/>
        <v>360</v>
      </c>
      <c r="AK588" s="20">
        <f t="shared" si="50"/>
        <v>0</v>
      </c>
      <c r="AL588" s="21">
        <f t="shared" si="53"/>
        <v>0</v>
      </c>
    </row>
    <row r="589" spans="33:38" x14ac:dyDescent="0.25">
      <c r="AG589" s="19">
        <f t="array" ref="AG589">DIASQUIEBRE(Q589:AB589)</f>
        <v>0</v>
      </c>
      <c r="AH589" s="19">
        <f t="array" ref="AH589">DiasMesesGris(Q589:AB589)</f>
        <v>0</v>
      </c>
      <c r="AI589" s="19">
        <f t="shared" si="51"/>
        <v>0</v>
      </c>
      <c r="AJ589" s="19">
        <f t="shared" si="52"/>
        <v>360</v>
      </c>
      <c r="AK589" s="20">
        <f t="shared" si="50"/>
        <v>0</v>
      </c>
      <c r="AL589" s="21">
        <f t="shared" si="53"/>
        <v>0</v>
      </c>
    </row>
    <row r="590" spans="33:38" x14ac:dyDescent="0.25">
      <c r="AG590" s="19">
        <f t="array" ref="AG590">DIASQUIEBRE(Q590:AB590)</f>
        <v>0</v>
      </c>
      <c r="AH590" s="19">
        <f t="array" ref="AH590">DiasMesesGris(Q590:AB590)</f>
        <v>0</v>
      </c>
      <c r="AI590" s="19">
        <f t="shared" si="51"/>
        <v>0</v>
      </c>
      <c r="AJ590" s="19">
        <f t="shared" si="52"/>
        <v>360</v>
      </c>
      <c r="AK590" s="20">
        <f t="shared" si="50"/>
        <v>0</v>
      </c>
      <c r="AL590" s="21">
        <f t="shared" si="53"/>
        <v>0</v>
      </c>
    </row>
    <row r="591" spans="33:38" x14ac:dyDescent="0.25">
      <c r="AG591" s="19">
        <f t="array" ref="AG591">DIASQUIEBRE(Q591:AB591)</f>
        <v>0</v>
      </c>
      <c r="AH591" s="19">
        <f t="array" ref="AH591">DiasMesesGris(Q591:AB591)</f>
        <v>0</v>
      </c>
      <c r="AI591" s="19">
        <f t="shared" si="51"/>
        <v>0</v>
      </c>
      <c r="AJ591" s="19">
        <f t="shared" si="52"/>
        <v>360</v>
      </c>
      <c r="AK591" s="20">
        <f t="shared" si="50"/>
        <v>0</v>
      </c>
      <c r="AL591" s="21">
        <f t="shared" si="53"/>
        <v>0</v>
      </c>
    </row>
    <row r="592" spans="33:38" x14ac:dyDescent="0.25">
      <c r="AG592" s="19">
        <f t="array" ref="AG592">DIASQUIEBRE(Q592:AB592)</f>
        <v>0</v>
      </c>
      <c r="AH592" s="19">
        <f t="array" ref="AH592">DiasMesesGris(Q592:AB592)</f>
        <v>0</v>
      </c>
      <c r="AI592" s="19">
        <f t="shared" si="51"/>
        <v>0</v>
      </c>
      <c r="AJ592" s="19">
        <f t="shared" si="52"/>
        <v>360</v>
      </c>
      <c r="AK592" s="20">
        <f t="shared" si="50"/>
        <v>0</v>
      </c>
      <c r="AL592" s="21">
        <f t="shared" si="53"/>
        <v>0</v>
      </c>
    </row>
    <row r="593" spans="33:38" x14ac:dyDescent="0.25">
      <c r="AG593" s="19">
        <f t="array" ref="AG593">DIASQUIEBRE(Q593:AB593)</f>
        <v>0</v>
      </c>
      <c r="AH593" s="19">
        <f t="array" ref="AH593">DiasMesesGris(Q593:AB593)</f>
        <v>0</v>
      </c>
      <c r="AI593" s="19">
        <f t="shared" si="51"/>
        <v>0</v>
      </c>
      <c r="AJ593" s="19">
        <f t="shared" si="52"/>
        <v>360</v>
      </c>
      <c r="AK593" s="20">
        <f t="shared" si="50"/>
        <v>0</v>
      </c>
      <c r="AL593" s="21">
        <f t="shared" si="53"/>
        <v>0</v>
      </c>
    </row>
    <row r="594" spans="33:38" x14ac:dyDescent="0.25">
      <c r="AG594" s="19">
        <f t="array" ref="AG594">DIASQUIEBRE(Q594:AB594)</f>
        <v>0</v>
      </c>
      <c r="AH594" s="19">
        <f t="array" ref="AH594">DiasMesesGris(Q594:AB594)</f>
        <v>0</v>
      </c>
      <c r="AI594" s="19">
        <f t="shared" si="51"/>
        <v>0</v>
      </c>
      <c r="AJ594" s="19">
        <f t="shared" si="52"/>
        <v>360</v>
      </c>
      <c r="AK594" s="20">
        <f t="shared" si="50"/>
        <v>0</v>
      </c>
      <c r="AL594" s="21">
        <f t="shared" si="53"/>
        <v>0</v>
      </c>
    </row>
    <row r="595" spans="33:38" x14ac:dyDescent="0.25">
      <c r="AG595" s="19">
        <f t="array" ref="AG595">DIASQUIEBRE(Q595:AB595)</f>
        <v>0</v>
      </c>
      <c r="AH595" s="19">
        <f t="array" ref="AH595">DiasMesesGris(Q595:AB595)</f>
        <v>0</v>
      </c>
      <c r="AI595" s="19">
        <f t="shared" si="51"/>
        <v>0</v>
      </c>
      <c r="AJ595" s="19">
        <f t="shared" si="52"/>
        <v>360</v>
      </c>
      <c r="AK595" s="20">
        <f t="shared" si="50"/>
        <v>0</v>
      </c>
      <c r="AL595" s="21">
        <f t="shared" si="53"/>
        <v>0</v>
      </c>
    </row>
    <row r="596" spans="33:38" x14ac:dyDescent="0.25">
      <c r="AG596" s="19">
        <f t="array" ref="AG596">DIASQUIEBRE(Q596:AB596)</f>
        <v>0</v>
      </c>
      <c r="AH596" s="19">
        <f t="array" ref="AH596">DiasMesesGris(Q596:AB596)</f>
        <v>0</v>
      </c>
      <c r="AI596" s="19">
        <f t="shared" si="51"/>
        <v>0</v>
      </c>
      <c r="AJ596" s="19">
        <f t="shared" si="52"/>
        <v>360</v>
      </c>
      <c r="AK596" s="20">
        <f t="shared" si="50"/>
        <v>0</v>
      </c>
      <c r="AL596" s="21">
        <f t="shared" si="53"/>
        <v>0</v>
      </c>
    </row>
    <row r="597" spans="33:38" x14ac:dyDescent="0.25">
      <c r="AG597" s="19">
        <f t="array" ref="AG597">DIASQUIEBRE(Q597:AB597)</f>
        <v>0</v>
      </c>
      <c r="AH597" s="19">
        <f t="array" ref="AH597">DiasMesesGris(Q597:AB597)</f>
        <v>0</v>
      </c>
      <c r="AI597" s="19">
        <f t="shared" si="51"/>
        <v>0</v>
      </c>
      <c r="AJ597" s="19">
        <f t="shared" si="52"/>
        <v>360</v>
      </c>
      <c r="AK597" s="20">
        <f t="shared" si="50"/>
        <v>0</v>
      </c>
      <c r="AL597" s="21">
        <f t="shared" si="53"/>
        <v>0</v>
      </c>
    </row>
    <row r="598" spans="33:38" x14ac:dyDescent="0.25">
      <c r="AG598" s="19">
        <f t="array" ref="AG598">DIASQUIEBRE(Q598:AB598)</f>
        <v>0</v>
      </c>
      <c r="AH598" s="19">
        <f t="array" ref="AH598">DiasMesesGris(Q598:AB598)</f>
        <v>0</v>
      </c>
      <c r="AI598" s="19">
        <f t="shared" si="51"/>
        <v>0</v>
      </c>
      <c r="AJ598" s="19">
        <f t="shared" si="52"/>
        <v>360</v>
      </c>
      <c r="AK598" s="20">
        <f t="shared" ref="AK598:AK661" si="54">SUM(D598:O598)</f>
        <v>0</v>
      </c>
      <c r="AL598" s="21">
        <f t="shared" si="53"/>
        <v>0</v>
      </c>
    </row>
    <row r="599" spans="33:38" x14ac:dyDescent="0.25">
      <c r="AG599" s="19">
        <f t="array" ref="AG599">DIASQUIEBRE(Q599:AB599)</f>
        <v>0</v>
      </c>
      <c r="AH599" s="19">
        <f t="array" ref="AH599">DiasMesesGris(Q599:AB599)</f>
        <v>0</v>
      </c>
      <c r="AI599" s="19">
        <f t="shared" si="51"/>
        <v>0</v>
      </c>
      <c r="AJ599" s="19">
        <f t="shared" si="52"/>
        <v>360</v>
      </c>
      <c r="AK599" s="20">
        <f t="shared" si="54"/>
        <v>0</v>
      </c>
      <c r="AL599" s="21">
        <f t="shared" si="53"/>
        <v>0</v>
      </c>
    </row>
    <row r="600" spans="33:38" x14ac:dyDescent="0.25">
      <c r="AG600" s="19">
        <f t="array" ref="AG600">DIASQUIEBRE(Q600:AB600)</f>
        <v>0</v>
      </c>
      <c r="AH600" s="19">
        <f t="array" ref="AH600">DiasMesesGris(Q600:AB600)</f>
        <v>0</v>
      </c>
      <c r="AI600" s="19">
        <f t="shared" si="51"/>
        <v>0</v>
      </c>
      <c r="AJ600" s="19">
        <f t="shared" si="52"/>
        <v>360</v>
      </c>
      <c r="AK600" s="20">
        <f t="shared" si="54"/>
        <v>0</v>
      </c>
      <c r="AL600" s="21">
        <f t="shared" si="53"/>
        <v>0</v>
      </c>
    </row>
    <row r="601" spans="33:38" x14ac:dyDescent="0.25">
      <c r="AG601" s="19">
        <f t="array" ref="AG601">DIASQUIEBRE(Q601:AB601)</f>
        <v>0</v>
      </c>
      <c r="AH601" s="19">
        <f t="array" ref="AH601">DiasMesesGris(Q601:AB601)</f>
        <v>0</v>
      </c>
      <c r="AI601" s="19">
        <f t="shared" si="51"/>
        <v>0</v>
      </c>
      <c r="AJ601" s="19">
        <f t="shared" si="52"/>
        <v>360</v>
      </c>
      <c r="AK601" s="20">
        <f t="shared" si="54"/>
        <v>0</v>
      </c>
      <c r="AL601" s="21">
        <f t="shared" si="53"/>
        <v>0</v>
      </c>
    </row>
    <row r="602" spans="33:38" x14ac:dyDescent="0.25">
      <c r="AG602" s="19">
        <f t="array" ref="AG602">DIASQUIEBRE(Q602:AB602)</f>
        <v>0</v>
      </c>
      <c r="AH602" s="19">
        <f t="array" ref="AH602">DiasMesesGris(Q602:AB602)</f>
        <v>0</v>
      </c>
      <c r="AI602" s="19">
        <f t="shared" si="51"/>
        <v>0</v>
      </c>
      <c r="AJ602" s="19">
        <f t="shared" si="52"/>
        <v>360</v>
      </c>
      <c r="AK602" s="20">
        <f t="shared" si="54"/>
        <v>0</v>
      </c>
      <c r="AL602" s="21">
        <f t="shared" si="53"/>
        <v>0</v>
      </c>
    </row>
    <row r="603" spans="33:38" x14ac:dyDescent="0.25">
      <c r="AG603" s="19">
        <f t="array" ref="AG603">DIASQUIEBRE(Q603:AB603)</f>
        <v>0</v>
      </c>
      <c r="AH603" s="19">
        <f t="array" ref="AH603">DiasMesesGris(Q603:AB603)</f>
        <v>0</v>
      </c>
      <c r="AI603" s="19">
        <f t="shared" si="51"/>
        <v>0</v>
      </c>
      <c r="AJ603" s="19">
        <f t="shared" si="52"/>
        <v>360</v>
      </c>
      <c r="AK603" s="20">
        <f t="shared" si="54"/>
        <v>0</v>
      </c>
      <c r="AL603" s="21">
        <f t="shared" si="53"/>
        <v>0</v>
      </c>
    </row>
    <row r="604" spans="33:38" x14ac:dyDescent="0.25">
      <c r="AG604" s="19">
        <f t="array" ref="AG604">DIASQUIEBRE(Q604:AB604)</f>
        <v>0</v>
      </c>
      <c r="AH604" s="19">
        <f t="array" ref="AH604">DiasMesesGris(Q604:AB604)</f>
        <v>0</v>
      </c>
      <c r="AI604" s="19">
        <f t="shared" si="51"/>
        <v>0</v>
      </c>
      <c r="AJ604" s="19">
        <f t="shared" si="52"/>
        <v>360</v>
      </c>
      <c r="AK604" s="20">
        <f t="shared" si="54"/>
        <v>0</v>
      </c>
      <c r="AL604" s="21">
        <f t="shared" si="53"/>
        <v>0</v>
      </c>
    </row>
    <row r="605" spans="33:38" x14ac:dyDescent="0.25">
      <c r="AG605" s="19">
        <f t="array" ref="AG605">DIASQUIEBRE(Q605:AB605)</f>
        <v>0</v>
      </c>
      <c r="AH605" s="19">
        <f t="array" ref="AH605">DiasMesesGris(Q605:AB605)</f>
        <v>0</v>
      </c>
      <c r="AI605" s="19">
        <f t="shared" si="51"/>
        <v>0</v>
      </c>
      <c r="AJ605" s="19">
        <f t="shared" si="52"/>
        <v>360</v>
      </c>
      <c r="AK605" s="20">
        <f t="shared" si="54"/>
        <v>0</v>
      </c>
      <c r="AL605" s="21">
        <f t="shared" si="53"/>
        <v>0</v>
      </c>
    </row>
    <row r="606" spans="33:38" x14ac:dyDescent="0.25">
      <c r="AG606" s="19">
        <f t="array" ref="AG606">DIASQUIEBRE(Q606:AB606)</f>
        <v>0</v>
      </c>
      <c r="AH606" s="19">
        <f t="array" ref="AH606">DiasMesesGris(Q606:AB606)</f>
        <v>0</v>
      </c>
      <c r="AI606" s="19">
        <f t="shared" si="51"/>
        <v>0</v>
      </c>
      <c r="AJ606" s="19">
        <f t="shared" si="52"/>
        <v>360</v>
      </c>
      <c r="AK606" s="20">
        <f t="shared" si="54"/>
        <v>0</v>
      </c>
      <c r="AL606" s="21">
        <f t="shared" si="53"/>
        <v>0</v>
      </c>
    </row>
    <row r="607" spans="33:38" x14ac:dyDescent="0.25">
      <c r="AG607" s="19">
        <f t="array" ref="AG607">DIASQUIEBRE(Q607:AB607)</f>
        <v>0</v>
      </c>
      <c r="AH607" s="19">
        <f t="array" ref="AH607">DiasMesesGris(Q607:AB607)</f>
        <v>0</v>
      </c>
      <c r="AI607" s="19">
        <f t="shared" si="51"/>
        <v>0</v>
      </c>
      <c r="AJ607" s="19">
        <f t="shared" si="52"/>
        <v>360</v>
      </c>
      <c r="AK607" s="20">
        <f t="shared" si="54"/>
        <v>0</v>
      </c>
      <c r="AL607" s="21">
        <f t="shared" si="53"/>
        <v>0</v>
      </c>
    </row>
    <row r="608" spans="33:38" x14ac:dyDescent="0.25">
      <c r="AG608" s="19">
        <f t="array" ref="AG608">DIASQUIEBRE(Q608:AB608)</f>
        <v>0</v>
      </c>
      <c r="AH608" s="19">
        <f t="array" ref="AH608">DiasMesesGris(Q608:AB608)</f>
        <v>0</v>
      </c>
      <c r="AI608" s="19">
        <f t="shared" si="51"/>
        <v>0</v>
      </c>
      <c r="AJ608" s="19">
        <f t="shared" si="52"/>
        <v>360</v>
      </c>
      <c r="AK608" s="20">
        <f t="shared" si="54"/>
        <v>0</v>
      </c>
      <c r="AL608" s="21">
        <f t="shared" si="53"/>
        <v>0</v>
      </c>
    </row>
    <row r="609" spans="33:38" x14ac:dyDescent="0.25">
      <c r="AG609" s="19">
        <f t="array" ref="AG609">DIASQUIEBRE(Q609:AB609)</f>
        <v>0</v>
      </c>
      <c r="AH609" s="19">
        <f t="array" ref="AH609">DiasMesesGris(Q609:AB609)</f>
        <v>0</v>
      </c>
      <c r="AI609" s="19">
        <f t="shared" si="51"/>
        <v>0</v>
      </c>
      <c r="AJ609" s="19">
        <f t="shared" si="52"/>
        <v>360</v>
      </c>
      <c r="AK609" s="20">
        <f t="shared" si="54"/>
        <v>0</v>
      </c>
      <c r="AL609" s="21">
        <f t="shared" si="53"/>
        <v>0</v>
      </c>
    </row>
    <row r="610" spans="33:38" x14ac:dyDescent="0.25">
      <c r="AG610" s="19">
        <f t="array" ref="AG610">DIASQUIEBRE(Q610:AB610)</f>
        <v>0</v>
      </c>
      <c r="AH610" s="19">
        <f t="array" ref="AH610">DiasMesesGris(Q610:AB610)</f>
        <v>0</v>
      </c>
      <c r="AI610" s="19">
        <f t="shared" si="51"/>
        <v>0</v>
      </c>
      <c r="AJ610" s="19">
        <f t="shared" si="52"/>
        <v>360</v>
      </c>
      <c r="AK610" s="20">
        <f t="shared" si="54"/>
        <v>0</v>
      </c>
      <c r="AL610" s="21">
        <f t="shared" si="53"/>
        <v>0</v>
      </c>
    </row>
    <row r="611" spans="33:38" x14ac:dyDescent="0.25">
      <c r="AG611" s="19">
        <f t="array" ref="AG611">DIASQUIEBRE(Q611:AB611)</f>
        <v>0</v>
      </c>
      <c r="AH611" s="19">
        <f t="array" ref="AH611">DiasMesesGris(Q611:AB611)</f>
        <v>0</v>
      </c>
      <c r="AI611" s="19">
        <f t="shared" si="51"/>
        <v>0</v>
      </c>
      <c r="AJ611" s="19">
        <f t="shared" si="52"/>
        <v>360</v>
      </c>
      <c r="AK611" s="20">
        <f t="shared" si="54"/>
        <v>0</v>
      </c>
      <c r="AL611" s="21">
        <f t="shared" si="53"/>
        <v>0</v>
      </c>
    </row>
    <row r="612" spans="33:38" x14ac:dyDescent="0.25">
      <c r="AG612" s="19">
        <f t="array" ref="AG612">DIASQUIEBRE(Q612:AB612)</f>
        <v>0</v>
      </c>
      <c r="AH612" s="19">
        <f t="array" ref="AH612">DiasMesesGris(Q612:AB612)</f>
        <v>0</v>
      </c>
      <c r="AI612" s="19">
        <f t="shared" si="51"/>
        <v>0</v>
      </c>
      <c r="AJ612" s="19">
        <f t="shared" si="52"/>
        <v>360</v>
      </c>
      <c r="AK612" s="20">
        <f t="shared" si="54"/>
        <v>0</v>
      </c>
      <c r="AL612" s="21">
        <f t="shared" si="53"/>
        <v>0</v>
      </c>
    </row>
    <row r="613" spans="33:38" x14ac:dyDescent="0.25">
      <c r="AG613" s="19">
        <f t="array" ref="AG613">DIASQUIEBRE(Q613:AB613)</f>
        <v>0</v>
      </c>
      <c r="AH613" s="19">
        <f t="array" ref="AH613">DiasMesesGris(Q613:AB613)</f>
        <v>0</v>
      </c>
      <c r="AI613" s="19">
        <f t="shared" si="51"/>
        <v>0</v>
      </c>
      <c r="AJ613" s="19">
        <f t="shared" si="52"/>
        <v>360</v>
      </c>
      <c r="AK613" s="20">
        <f t="shared" si="54"/>
        <v>0</v>
      </c>
      <c r="AL613" s="21">
        <f t="shared" si="53"/>
        <v>0</v>
      </c>
    </row>
    <row r="614" spans="33:38" x14ac:dyDescent="0.25">
      <c r="AG614" s="19">
        <f t="array" ref="AG614">DIASQUIEBRE(Q614:AB614)</f>
        <v>0</v>
      </c>
      <c r="AH614" s="19">
        <f t="array" ref="AH614">DiasMesesGris(Q614:AB614)</f>
        <v>0</v>
      </c>
      <c r="AI614" s="19">
        <f t="shared" si="51"/>
        <v>0</v>
      </c>
      <c r="AJ614" s="19">
        <f t="shared" si="52"/>
        <v>360</v>
      </c>
      <c r="AK614" s="20">
        <f t="shared" si="54"/>
        <v>0</v>
      </c>
      <c r="AL614" s="21">
        <f t="shared" si="53"/>
        <v>0</v>
      </c>
    </row>
    <row r="615" spans="33:38" x14ac:dyDescent="0.25">
      <c r="AG615" s="19">
        <f t="array" ref="AG615">DIASQUIEBRE(Q615:AB615)</f>
        <v>0</v>
      </c>
      <c r="AH615" s="19">
        <f t="array" ref="AH615">DiasMesesGris(Q615:AB615)</f>
        <v>0</v>
      </c>
      <c r="AI615" s="19">
        <f t="shared" si="51"/>
        <v>0</v>
      </c>
      <c r="AJ615" s="19">
        <f t="shared" si="52"/>
        <v>360</v>
      </c>
      <c r="AK615" s="20">
        <f t="shared" si="54"/>
        <v>0</v>
      </c>
      <c r="AL615" s="21">
        <f t="shared" si="53"/>
        <v>0</v>
      </c>
    </row>
    <row r="616" spans="33:38" x14ac:dyDescent="0.25">
      <c r="AG616" s="19">
        <f t="array" ref="AG616">DIASQUIEBRE(Q616:AB616)</f>
        <v>0</v>
      </c>
      <c r="AH616" s="19">
        <f t="array" ref="AH616">DiasMesesGris(Q616:AB616)</f>
        <v>0</v>
      </c>
      <c r="AI616" s="19">
        <f t="shared" si="51"/>
        <v>0</v>
      </c>
      <c r="AJ616" s="19">
        <f t="shared" si="52"/>
        <v>360</v>
      </c>
      <c r="AK616" s="20">
        <f t="shared" si="54"/>
        <v>0</v>
      </c>
      <c r="AL616" s="21">
        <f t="shared" si="53"/>
        <v>0</v>
      </c>
    </row>
    <row r="617" spans="33:38" x14ac:dyDescent="0.25">
      <c r="AG617" s="19">
        <f t="array" ref="AG617">DIASQUIEBRE(Q617:AB617)</f>
        <v>0</v>
      </c>
      <c r="AH617" s="19">
        <f t="array" ref="AH617">DiasMesesGris(Q617:AB617)</f>
        <v>0</v>
      </c>
      <c r="AI617" s="19">
        <f t="shared" si="51"/>
        <v>0</v>
      </c>
      <c r="AJ617" s="19">
        <f t="shared" si="52"/>
        <v>360</v>
      </c>
      <c r="AK617" s="20">
        <f t="shared" si="54"/>
        <v>0</v>
      </c>
      <c r="AL617" s="21">
        <f t="shared" si="53"/>
        <v>0</v>
      </c>
    </row>
    <row r="618" spans="33:38" x14ac:dyDescent="0.25">
      <c r="AG618" s="19">
        <f t="array" ref="AG618">DIASQUIEBRE(Q618:AB618)</f>
        <v>0</v>
      </c>
      <c r="AH618" s="19">
        <f t="array" ref="AH618">DiasMesesGris(Q618:AB618)</f>
        <v>0</v>
      </c>
      <c r="AI618" s="19">
        <f t="shared" si="51"/>
        <v>0</v>
      </c>
      <c r="AJ618" s="19">
        <f t="shared" si="52"/>
        <v>360</v>
      </c>
      <c r="AK618" s="20">
        <f t="shared" si="54"/>
        <v>0</v>
      </c>
      <c r="AL618" s="21">
        <f t="shared" si="53"/>
        <v>0</v>
      </c>
    </row>
    <row r="619" spans="33:38" x14ac:dyDescent="0.25">
      <c r="AG619" s="19">
        <f t="array" ref="AG619">DIASQUIEBRE(Q619:AB619)</f>
        <v>0</v>
      </c>
      <c r="AH619" s="19">
        <f t="array" ref="AH619">DiasMesesGris(Q619:AB619)</f>
        <v>0</v>
      </c>
      <c r="AI619" s="19">
        <f t="shared" si="51"/>
        <v>0</v>
      </c>
      <c r="AJ619" s="19">
        <f t="shared" si="52"/>
        <v>360</v>
      </c>
      <c r="AK619" s="20">
        <f t="shared" si="54"/>
        <v>0</v>
      </c>
      <c r="AL619" s="21">
        <f t="shared" si="53"/>
        <v>0</v>
      </c>
    </row>
    <row r="620" spans="33:38" x14ac:dyDescent="0.25">
      <c r="AG620" s="19">
        <f t="array" ref="AG620">DIASQUIEBRE(Q620:AB620)</f>
        <v>0</v>
      </c>
      <c r="AH620" s="19">
        <f t="array" ref="AH620">DiasMesesGris(Q620:AB620)</f>
        <v>0</v>
      </c>
      <c r="AI620" s="19">
        <f t="shared" si="51"/>
        <v>0</v>
      </c>
      <c r="AJ620" s="19">
        <f t="shared" si="52"/>
        <v>360</v>
      </c>
      <c r="AK620" s="20">
        <f t="shared" si="54"/>
        <v>0</v>
      </c>
      <c r="AL620" s="21">
        <f t="shared" si="53"/>
        <v>0</v>
      </c>
    </row>
    <row r="621" spans="33:38" x14ac:dyDescent="0.25">
      <c r="AG621" s="19">
        <f t="array" ref="AG621">DIASQUIEBRE(Q621:AB621)</f>
        <v>0</v>
      </c>
      <c r="AH621" s="19">
        <f t="array" ref="AH621">DiasMesesGris(Q621:AB621)</f>
        <v>0</v>
      </c>
      <c r="AI621" s="19">
        <f t="shared" si="51"/>
        <v>0</v>
      </c>
      <c r="AJ621" s="19">
        <f t="shared" si="52"/>
        <v>360</v>
      </c>
      <c r="AK621" s="20">
        <f t="shared" si="54"/>
        <v>0</v>
      </c>
      <c r="AL621" s="21">
        <f t="shared" si="53"/>
        <v>0</v>
      </c>
    </row>
    <row r="622" spans="33:38" x14ac:dyDescent="0.25">
      <c r="AG622" s="19">
        <f t="array" ref="AG622">DIASQUIEBRE(Q622:AB622)</f>
        <v>0</v>
      </c>
      <c r="AH622" s="19">
        <f t="array" ref="AH622">DiasMesesGris(Q622:AB622)</f>
        <v>0</v>
      </c>
      <c r="AI622" s="19">
        <f t="shared" si="51"/>
        <v>0</v>
      </c>
      <c r="AJ622" s="19">
        <f t="shared" si="52"/>
        <v>360</v>
      </c>
      <c r="AK622" s="20">
        <f t="shared" si="54"/>
        <v>0</v>
      </c>
      <c r="AL622" s="21">
        <f t="shared" si="53"/>
        <v>0</v>
      </c>
    </row>
    <row r="623" spans="33:38" x14ac:dyDescent="0.25">
      <c r="AG623" s="19">
        <f t="array" ref="AG623">DIASQUIEBRE(Q623:AB623)</f>
        <v>0</v>
      </c>
      <c r="AH623" s="19">
        <f t="array" ref="AH623">DiasMesesGris(Q623:AB623)</f>
        <v>0</v>
      </c>
      <c r="AI623" s="19">
        <f t="shared" si="51"/>
        <v>0</v>
      </c>
      <c r="AJ623" s="19">
        <f t="shared" si="52"/>
        <v>360</v>
      </c>
      <c r="AK623" s="20">
        <f t="shared" si="54"/>
        <v>0</v>
      </c>
      <c r="AL623" s="21">
        <f t="shared" si="53"/>
        <v>0</v>
      </c>
    </row>
    <row r="624" spans="33:38" x14ac:dyDescent="0.25">
      <c r="AG624" s="19">
        <f t="array" ref="AG624">DIASQUIEBRE(Q624:AB624)</f>
        <v>0</v>
      </c>
      <c r="AH624" s="19">
        <f t="array" ref="AH624">DiasMesesGris(Q624:AB624)</f>
        <v>0</v>
      </c>
      <c r="AI624" s="19">
        <f t="shared" si="51"/>
        <v>0</v>
      </c>
      <c r="AJ624" s="19">
        <f t="shared" si="52"/>
        <v>360</v>
      </c>
      <c r="AK624" s="20">
        <f t="shared" si="54"/>
        <v>0</v>
      </c>
      <c r="AL624" s="21">
        <f t="shared" si="53"/>
        <v>0</v>
      </c>
    </row>
    <row r="625" spans="33:38" x14ac:dyDescent="0.25">
      <c r="AG625" s="19">
        <f t="array" ref="AG625">DIASQUIEBRE(Q625:AB625)</f>
        <v>0</v>
      </c>
      <c r="AH625" s="19">
        <f t="array" ref="AH625">DiasMesesGris(Q625:AB625)</f>
        <v>0</v>
      </c>
      <c r="AI625" s="19">
        <f t="shared" si="51"/>
        <v>0</v>
      </c>
      <c r="AJ625" s="19">
        <f t="shared" si="52"/>
        <v>360</v>
      </c>
      <c r="AK625" s="20">
        <f t="shared" si="54"/>
        <v>0</v>
      </c>
      <c r="AL625" s="21">
        <f t="shared" si="53"/>
        <v>0</v>
      </c>
    </row>
    <row r="626" spans="33:38" x14ac:dyDescent="0.25">
      <c r="AG626" s="19">
        <f t="array" ref="AG626">DIASQUIEBRE(Q626:AB626)</f>
        <v>0</v>
      </c>
      <c r="AH626" s="19">
        <f t="array" ref="AH626">DiasMesesGris(Q626:AB626)</f>
        <v>0</v>
      </c>
      <c r="AI626" s="19">
        <f t="shared" si="51"/>
        <v>0</v>
      </c>
      <c r="AJ626" s="19">
        <f t="shared" si="52"/>
        <v>360</v>
      </c>
      <c r="AK626" s="20">
        <f t="shared" si="54"/>
        <v>0</v>
      </c>
      <c r="AL626" s="21">
        <f t="shared" si="53"/>
        <v>0</v>
      </c>
    </row>
    <row r="627" spans="33:38" x14ac:dyDescent="0.25">
      <c r="AG627" s="19">
        <f t="array" ref="AG627">DIASQUIEBRE(Q627:AB627)</f>
        <v>0</v>
      </c>
      <c r="AH627" s="19">
        <f t="array" ref="AH627">DiasMesesGris(Q627:AB627)</f>
        <v>0</v>
      </c>
      <c r="AI627" s="19">
        <f t="shared" si="51"/>
        <v>0</v>
      </c>
      <c r="AJ627" s="19">
        <f t="shared" si="52"/>
        <v>360</v>
      </c>
      <c r="AK627" s="20">
        <f t="shared" si="54"/>
        <v>0</v>
      </c>
      <c r="AL627" s="21">
        <f t="shared" si="53"/>
        <v>0</v>
      </c>
    </row>
    <row r="628" spans="33:38" x14ac:dyDescent="0.25">
      <c r="AG628" s="19">
        <f t="array" ref="AG628">DIASQUIEBRE(Q628:AB628)</f>
        <v>0</v>
      </c>
      <c r="AH628" s="19">
        <f t="array" ref="AH628">DiasMesesGris(Q628:AB628)</f>
        <v>0</v>
      </c>
      <c r="AI628" s="19">
        <f t="shared" si="51"/>
        <v>0</v>
      </c>
      <c r="AJ628" s="19">
        <f t="shared" si="52"/>
        <v>360</v>
      </c>
      <c r="AK628" s="20">
        <f t="shared" si="54"/>
        <v>0</v>
      </c>
      <c r="AL628" s="21">
        <f t="shared" si="53"/>
        <v>0</v>
      </c>
    </row>
    <row r="629" spans="33:38" x14ac:dyDescent="0.25">
      <c r="AG629" s="19">
        <f t="array" ref="AG629">DIASQUIEBRE(Q629:AB629)</f>
        <v>0</v>
      </c>
      <c r="AH629" s="19">
        <f t="array" ref="AH629">DiasMesesGris(Q629:AB629)</f>
        <v>0</v>
      </c>
      <c r="AI629" s="19">
        <f t="shared" si="51"/>
        <v>0</v>
      </c>
      <c r="AJ629" s="19">
        <f t="shared" si="52"/>
        <v>360</v>
      </c>
      <c r="AK629" s="20">
        <f t="shared" si="54"/>
        <v>0</v>
      </c>
      <c r="AL629" s="21">
        <f t="shared" si="53"/>
        <v>0</v>
      </c>
    </row>
    <row r="630" spans="33:38" x14ac:dyDescent="0.25">
      <c r="AG630" s="19">
        <f t="array" ref="AG630">DIASQUIEBRE(Q630:AB630)</f>
        <v>0</v>
      </c>
      <c r="AH630" s="19">
        <f t="array" ref="AH630">DiasMesesGris(Q630:AB630)</f>
        <v>0</v>
      </c>
      <c r="AI630" s="19">
        <f t="shared" si="51"/>
        <v>0</v>
      </c>
      <c r="AJ630" s="19">
        <f t="shared" si="52"/>
        <v>360</v>
      </c>
      <c r="AK630" s="20">
        <f t="shared" si="54"/>
        <v>0</v>
      </c>
      <c r="AL630" s="21">
        <f t="shared" si="53"/>
        <v>0</v>
      </c>
    </row>
    <row r="631" spans="33:38" x14ac:dyDescent="0.25">
      <c r="AG631" s="19">
        <f t="array" ref="AG631">DIASQUIEBRE(Q631:AB631)</f>
        <v>0</v>
      </c>
      <c r="AH631" s="19">
        <f t="array" ref="AH631">DiasMesesGris(Q631:AB631)</f>
        <v>0</v>
      </c>
      <c r="AI631" s="19">
        <f t="shared" si="51"/>
        <v>0</v>
      </c>
      <c r="AJ631" s="19">
        <f t="shared" si="52"/>
        <v>360</v>
      </c>
      <c r="AK631" s="20">
        <f t="shared" si="54"/>
        <v>0</v>
      </c>
      <c r="AL631" s="21">
        <f t="shared" si="53"/>
        <v>0</v>
      </c>
    </row>
    <row r="632" spans="33:38" x14ac:dyDescent="0.25">
      <c r="AG632" s="19">
        <f t="array" ref="AG632">DIASQUIEBRE(Q632:AB632)</f>
        <v>0</v>
      </c>
      <c r="AH632" s="19">
        <f t="array" ref="AH632">DiasMesesGris(Q632:AB632)</f>
        <v>0</v>
      </c>
      <c r="AI632" s="19">
        <f t="shared" si="51"/>
        <v>0</v>
      </c>
      <c r="AJ632" s="19">
        <f t="shared" si="52"/>
        <v>360</v>
      </c>
      <c r="AK632" s="20">
        <f t="shared" si="54"/>
        <v>0</v>
      </c>
      <c r="AL632" s="21">
        <f t="shared" si="53"/>
        <v>0</v>
      </c>
    </row>
    <row r="633" spans="33:38" x14ac:dyDescent="0.25">
      <c r="AG633" s="19">
        <f t="array" ref="AG633">DIASQUIEBRE(Q633:AB633)</f>
        <v>0</v>
      </c>
      <c r="AH633" s="19">
        <f t="array" ref="AH633">DiasMesesGris(Q633:AB633)</f>
        <v>0</v>
      </c>
      <c r="AI633" s="19">
        <f t="shared" si="51"/>
        <v>0</v>
      </c>
      <c r="AJ633" s="19">
        <f t="shared" si="52"/>
        <v>360</v>
      </c>
      <c r="AK633" s="20">
        <f t="shared" si="54"/>
        <v>0</v>
      </c>
      <c r="AL633" s="21">
        <f t="shared" si="53"/>
        <v>0</v>
      </c>
    </row>
    <row r="634" spans="33:38" x14ac:dyDescent="0.25">
      <c r="AG634" s="19">
        <f t="array" ref="AG634">DIASQUIEBRE(Q634:AB634)</f>
        <v>0</v>
      </c>
      <c r="AH634" s="19">
        <f t="array" ref="AH634">DiasMesesGris(Q634:AB634)</f>
        <v>0</v>
      </c>
      <c r="AI634" s="19">
        <f t="shared" si="51"/>
        <v>0</v>
      </c>
      <c r="AJ634" s="19">
        <f t="shared" si="52"/>
        <v>360</v>
      </c>
      <c r="AK634" s="20">
        <f t="shared" si="54"/>
        <v>0</v>
      </c>
      <c r="AL634" s="21">
        <f t="shared" si="53"/>
        <v>0</v>
      </c>
    </row>
    <row r="635" spans="33:38" x14ac:dyDescent="0.25">
      <c r="AG635" s="19">
        <f t="array" ref="AG635">DIASQUIEBRE(Q635:AB635)</f>
        <v>0</v>
      </c>
      <c r="AH635" s="19">
        <f t="array" ref="AH635">DiasMesesGris(Q635:AB635)</f>
        <v>0</v>
      </c>
      <c r="AI635" s="19">
        <f t="shared" si="51"/>
        <v>0</v>
      </c>
      <c r="AJ635" s="19">
        <f t="shared" si="52"/>
        <v>360</v>
      </c>
      <c r="AK635" s="20">
        <f t="shared" si="54"/>
        <v>0</v>
      </c>
      <c r="AL635" s="21">
        <f t="shared" si="53"/>
        <v>0</v>
      </c>
    </row>
    <row r="636" spans="33:38" x14ac:dyDescent="0.25">
      <c r="AG636" s="19">
        <f t="array" ref="AG636">DIASQUIEBRE(Q636:AB636)</f>
        <v>0</v>
      </c>
      <c r="AH636" s="19">
        <f t="array" ref="AH636">DiasMesesGris(Q636:AB636)</f>
        <v>0</v>
      </c>
      <c r="AI636" s="19">
        <f t="shared" si="51"/>
        <v>0</v>
      </c>
      <c r="AJ636" s="19">
        <f t="shared" si="52"/>
        <v>360</v>
      </c>
      <c r="AK636" s="20">
        <f t="shared" si="54"/>
        <v>0</v>
      </c>
      <c r="AL636" s="21">
        <f t="shared" si="53"/>
        <v>0</v>
      </c>
    </row>
    <row r="637" spans="33:38" x14ac:dyDescent="0.25">
      <c r="AG637" s="19">
        <f t="array" ref="AG637">DIASQUIEBRE(Q637:AB637)</f>
        <v>0</v>
      </c>
      <c r="AH637" s="19">
        <f t="array" ref="AH637">DiasMesesGris(Q637:AB637)</f>
        <v>0</v>
      </c>
      <c r="AI637" s="19">
        <f t="shared" si="51"/>
        <v>0</v>
      </c>
      <c r="AJ637" s="19">
        <f t="shared" si="52"/>
        <v>360</v>
      </c>
      <c r="AK637" s="20">
        <f t="shared" si="54"/>
        <v>0</v>
      </c>
      <c r="AL637" s="21">
        <f t="shared" si="53"/>
        <v>0</v>
      </c>
    </row>
    <row r="638" spans="33:38" x14ac:dyDescent="0.25">
      <c r="AG638" s="19">
        <f t="array" ref="AG638">DIASQUIEBRE(Q638:AB638)</f>
        <v>0</v>
      </c>
      <c r="AH638" s="19">
        <f t="array" ref="AH638">DiasMesesGris(Q638:AB638)</f>
        <v>0</v>
      </c>
      <c r="AI638" s="19">
        <f t="shared" si="51"/>
        <v>0</v>
      </c>
      <c r="AJ638" s="19">
        <f t="shared" si="52"/>
        <v>360</v>
      </c>
      <c r="AK638" s="20">
        <f t="shared" si="54"/>
        <v>0</v>
      </c>
      <c r="AL638" s="21">
        <f t="shared" si="53"/>
        <v>0</v>
      </c>
    </row>
    <row r="639" spans="33:38" x14ac:dyDescent="0.25">
      <c r="AG639" s="19">
        <f t="array" ref="AG639">DIASQUIEBRE(Q639:AB639)</f>
        <v>0</v>
      </c>
      <c r="AH639" s="19">
        <f t="array" ref="AH639">DiasMesesGris(Q639:AB639)</f>
        <v>0</v>
      </c>
      <c r="AI639" s="19">
        <f t="shared" si="51"/>
        <v>0</v>
      </c>
      <c r="AJ639" s="19">
        <f t="shared" si="52"/>
        <v>360</v>
      </c>
      <c r="AK639" s="20">
        <f t="shared" si="54"/>
        <v>0</v>
      </c>
      <c r="AL639" s="21">
        <f t="shared" si="53"/>
        <v>0</v>
      </c>
    </row>
    <row r="640" spans="33:38" x14ac:dyDescent="0.25">
      <c r="AG640" s="19">
        <f t="array" ref="AG640">DIASQUIEBRE(Q640:AB640)</f>
        <v>0</v>
      </c>
      <c r="AH640" s="19">
        <f t="array" ref="AH640">DiasMesesGris(Q640:AB640)</f>
        <v>0</v>
      </c>
      <c r="AI640" s="19">
        <f t="shared" si="51"/>
        <v>0</v>
      </c>
      <c r="AJ640" s="19">
        <f t="shared" si="52"/>
        <v>360</v>
      </c>
      <c r="AK640" s="20">
        <f t="shared" si="54"/>
        <v>0</v>
      </c>
      <c r="AL640" s="21">
        <f t="shared" si="53"/>
        <v>0</v>
      </c>
    </row>
    <row r="641" spans="33:38" x14ac:dyDescent="0.25">
      <c r="AG641" s="19">
        <f t="array" ref="AG641">DIASQUIEBRE(Q641:AB641)</f>
        <v>0</v>
      </c>
      <c r="AH641" s="19">
        <f t="array" ref="AH641">DiasMesesGris(Q641:AB641)</f>
        <v>0</v>
      </c>
      <c r="AI641" s="19">
        <f t="shared" si="51"/>
        <v>0</v>
      </c>
      <c r="AJ641" s="19">
        <f t="shared" si="52"/>
        <v>360</v>
      </c>
      <c r="AK641" s="20">
        <f t="shared" si="54"/>
        <v>0</v>
      </c>
      <c r="AL641" s="21">
        <f t="shared" si="53"/>
        <v>0</v>
      </c>
    </row>
    <row r="642" spans="33:38" x14ac:dyDescent="0.25">
      <c r="AG642" s="19">
        <f t="array" ref="AG642">DIASQUIEBRE(Q642:AB642)</f>
        <v>0</v>
      </c>
      <c r="AH642" s="19">
        <f t="array" ref="AH642">DiasMesesGris(Q642:AB642)</f>
        <v>0</v>
      </c>
      <c r="AI642" s="19">
        <f t="shared" ref="AI642:AI669" si="55">AG642+AH642</f>
        <v>0</v>
      </c>
      <c r="AJ642" s="19">
        <f t="shared" ref="AJ642:AJ669" si="56">360-AI642</f>
        <v>360</v>
      </c>
      <c r="AK642" s="20">
        <f t="shared" si="54"/>
        <v>0</v>
      </c>
      <c r="AL642" s="21">
        <f t="shared" ref="AL642:AL669" si="57">IFERROR(AK642/AJ642,0)</f>
        <v>0</v>
      </c>
    </row>
    <row r="643" spans="33:38" x14ac:dyDescent="0.25">
      <c r="AG643" s="19">
        <f t="array" ref="AG643">DIASQUIEBRE(Q643:AB643)</f>
        <v>0</v>
      </c>
      <c r="AH643" s="19">
        <f t="array" ref="AH643">DiasMesesGris(Q643:AB643)</f>
        <v>0</v>
      </c>
      <c r="AI643" s="19">
        <f t="shared" si="55"/>
        <v>0</v>
      </c>
      <c r="AJ643" s="19">
        <f t="shared" si="56"/>
        <v>360</v>
      </c>
      <c r="AK643" s="20">
        <f t="shared" si="54"/>
        <v>0</v>
      </c>
      <c r="AL643" s="21">
        <f t="shared" si="57"/>
        <v>0</v>
      </c>
    </row>
    <row r="644" spans="33:38" x14ac:dyDescent="0.25">
      <c r="AG644" s="19">
        <f t="array" ref="AG644">DIASQUIEBRE(Q644:AB644)</f>
        <v>0</v>
      </c>
      <c r="AH644" s="19">
        <f t="array" ref="AH644">DiasMesesGris(Q644:AB644)</f>
        <v>0</v>
      </c>
      <c r="AI644" s="19">
        <f t="shared" si="55"/>
        <v>0</v>
      </c>
      <c r="AJ644" s="19">
        <f t="shared" si="56"/>
        <v>360</v>
      </c>
      <c r="AK644" s="20">
        <f t="shared" si="54"/>
        <v>0</v>
      </c>
      <c r="AL644" s="21">
        <f t="shared" si="57"/>
        <v>0</v>
      </c>
    </row>
    <row r="645" spans="33:38" x14ac:dyDescent="0.25">
      <c r="AG645" s="19">
        <f t="array" ref="AG645">DIASQUIEBRE(Q645:AB645)</f>
        <v>0</v>
      </c>
      <c r="AH645" s="19">
        <f t="array" ref="AH645">DiasMesesGris(Q645:AB645)</f>
        <v>0</v>
      </c>
      <c r="AI645" s="19">
        <f t="shared" si="55"/>
        <v>0</v>
      </c>
      <c r="AJ645" s="19">
        <f t="shared" si="56"/>
        <v>360</v>
      </c>
      <c r="AK645" s="20">
        <f t="shared" si="54"/>
        <v>0</v>
      </c>
      <c r="AL645" s="21">
        <f t="shared" si="57"/>
        <v>0</v>
      </c>
    </row>
    <row r="646" spans="33:38" x14ac:dyDescent="0.25">
      <c r="AG646" s="19">
        <f t="array" ref="AG646">DIASQUIEBRE(Q646:AB646)</f>
        <v>0</v>
      </c>
      <c r="AH646" s="19">
        <f t="array" ref="AH646">DiasMesesGris(Q646:AB646)</f>
        <v>0</v>
      </c>
      <c r="AI646" s="19">
        <f t="shared" si="55"/>
        <v>0</v>
      </c>
      <c r="AJ646" s="19">
        <f t="shared" si="56"/>
        <v>360</v>
      </c>
      <c r="AK646" s="20">
        <f t="shared" si="54"/>
        <v>0</v>
      </c>
      <c r="AL646" s="21">
        <f t="shared" si="57"/>
        <v>0</v>
      </c>
    </row>
    <row r="647" spans="33:38" x14ac:dyDescent="0.25">
      <c r="AG647" s="19">
        <f t="array" ref="AG647">DIASQUIEBRE(Q647:AB647)</f>
        <v>0</v>
      </c>
      <c r="AH647" s="19">
        <f t="array" ref="AH647">DiasMesesGris(Q647:AB647)</f>
        <v>0</v>
      </c>
      <c r="AI647" s="19">
        <f t="shared" si="55"/>
        <v>0</v>
      </c>
      <c r="AJ647" s="19">
        <f t="shared" si="56"/>
        <v>360</v>
      </c>
      <c r="AK647" s="20">
        <f t="shared" si="54"/>
        <v>0</v>
      </c>
      <c r="AL647" s="21">
        <f t="shared" si="57"/>
        <v>0</v>
      </c>
    </row>
    <row r="648" spans="33:38" x14ac:dyDescent="0.25">
      <c r="AG648" s="19">
        <f t="array" ref="AG648">DIASQUIEBRE(Q648:AB648)</f>
        <v>0</v>
      </c>
      <c r="AH648" s="19">
        <f t="array" ref="AH648">DiasMesesGris(Q648:AB648)</f>
        <v>0</v>
      </c>
      <c r="AI648" s="19">
        <f t="shared" si="55"/>
        <v>0</v>
      </c>
      <c r="AJ648" s="19">
        <f t="shared" si="56"/>
        <v>360</v>
      </c>
      <c r="AK648" s="20">
        <f t="shared" si="54"/>
        <v>0</v>
      </c>
      <c r="AL648" s="21">
        <f t="shared" si="57"/>
        <v>0</v>
      </c>
    </row>
    <row r="649" spans="33:38" x14ac:dyDescent="0.25">
      <c r="AG649" s="19">
        <f t="array" ref="AG649">DIASQUIEBRE(Q649:AB649)</f>
        <v>0</v>
      </c>
      <c r="AH649" s="19">
        <f t="array" ref="AH649">DiasMesesGris(Q649:AB649)</f>
        <v>0</v>
      </c>
      <c r="AI649" s="19">
        <f t="shared" si="55"/>
        <v>0</v>
      </c>
      <c r="AJ649" s="19">
        <f t="shared" si="56"/>
        <v>360</v>
      </c>
      <c r="AK649" s="20">
        <f t="shared" si="54"/>
        <v>0</v>
      </c>
      <c r="AL649" s="21">
        <f t="shared" si="57"/>
        <v>0</v>
      </c>
    </row>
    <row r="650" spans="33:38" x14ac:dyDescent="0.25">
      <c r="AG650" s="19">
        <f t="array" ref="AG650">DIASQUIEBRE(Q650:AB650)</f>
        <v>0</v>
      </c>
      <c r="AH650" s="19">
        <f t="array" ref="AH650">DiasMesesGris(Q650:AB650)</f>
        <v>0</v>
      </c>
      <c r="AI650" s="19">
        <f t="shared" si="55"/>
        <v>0</v>
      </c>
      <c r="AJ650" s="19">
        <f t="shared" si="56"/>
        <v>360</v>
      </c>
      <c r="AK650" s="20">
        <f t="shared" si="54"/>
        <v>0</v>
      </c>
      <c r="AL650" s="21">
        <f t="shared" si="57"/>
        <v>0</v>
      </c>
    </row>
    <row r="651" spans="33:38" x14ac:dyDescent="0.25">
      <c r="AG651" s="19">
        <f t="array" ref="AG651">DIASQUIEBRE(Q651:AB651)</f>
        <v>0</v>
      </c>
      <c r="AH651" s="19">
        <f t="array" ref="AH651">DiasMesesGris(Q651:AB651)</f>
        <v>0</v>
      </c>
      <c r="AI651" s="19">
        <f t="shared" si="55"/>
        <v>0</v>
      </c>
      <c r="AJ651" s="19">
        <f t="shared" si="56"/>
        <v>360</v>
      </c>
      <c r="AK651" s="20">
        <f t="shared" si="54"/>
        <v>0</v>
      </c>
      <c r="AL651" s="21">
        <f t="shared" si="57"/>
        <v>0</v>
      </c>
    </row>
    <row r="652" spans="33:38" x14ac:dyDescent="0.25">
      <c r="AG652" s="19">
        <f t="array" ref="AG652">DIASQUIEBRE(Q652:AB652)</f>
        <v>0</v>
      </c>
      <c r="AH652" s="19">
        <f t="array" ref="AH652">DiasMesesGris(Q652:AB652)</f>
        <v>0</v>
      </c>
      <c r="AI652" s="19">
        <f t="shared" si="55"/>
        <v>0</v>
      </c>
      <c r="AJ652" s="19">
        <f t="shared" si="56"/>
        <v>360</v>
      </c>
      <c r="AK652" s="20">
        <f t="shared" si="54"/>
        <v>0</v>
      </c>
      <c r="AL652" s="21">
        <f t="shared" si="57"/>
        <v>0</v>
      </c>
    </row>
    <row r="653" spans="33:38" x14ac:dyDescent="0.25">
      <c r="AG653" s="19">
        <f t="array" ref="AG653">DIASQUIEBRE(Q653:AB653)</f>
        <v>0</v>
      </c>
      <c r="AH653" s="19">
        <f t="array" ref="AH653">DiasMesesGris(Q653:AB653)</f>
        <v>0</v>
      </c>
      <c r="AI653" s="19">
        <f t="shared" si="55"/>
        <v>0</v>
      </c>
      <c r="AJ653" s="19">
        <f t="shared" si="56"/>
        <v>360</v>
      </c>
      <c r="AK653" s="20">
        <f t="shared" si="54"/>
        <v>0</v>
      </c>
      <c r="AL653" s="21">
        <f t="shared" si="57"/>
        <v>0</v>
      </c>
    </row>
    <row r="654" spans="33:38" x14ac:dyDescent="0.25">
      <c r="AG654" s="19">
        <f t="array" ref="AG654">DIASQUIEBRE(Q654:AB654)</f>
        <v>0</v>
      </c>
      <c r="AH654" s="19">
        <f t="array" ref="AH654">DiasMesesGris(Q654:AB654)</f>
        <v>0</v>
      </c>
      <c r="AI654" s="19">
        <f t="shared" si="55"/>
        <v>0</v>
      </c>
      <c r="AJ654" s="19">
        <f t="shared" si="56"/>
        <v>360</v>
      </c>
      <c r="AK654" s="20">
        <f t="shared" si="54"/>
        <v>0</v>
      </c>
      <c r="AL654" s="21">
        <f t="shared" si="57"/>
        <v>0</v>
      </c>
    </row>
    <row r="655" spans="33:38" x14ac:dyDescent="0.25">
      <c r="AG655" s="19">
        <f t="array" ref="AG655">DIASQUIEBRE(Q655:AB655)</f>
        <v>0</v>
      </c>
      <c r="AH655" s="19">
        <f t="array" ref="AH655">DiasMesesGris(Q655:AB655)</f>
        <v>0</v>
      </c>
      <c r="AI655" s="19">
        <f t="shared" si="55"/>
        <v>0</v>
      </c>
      <c r="AJ655" s="19">
        <f t="shared" si="56"/>
        <v>360</v>
      </c>
      <c r="AK655" s="20">
        <f t="shared" si="54"/>
        <v>0</v>
      </c>
      <c r="AL655" s="21">
        <f t="shared" si="57"/>
        <v>0</v>
      </c>
    </row>
    <row r="656" spans="33:38" x14ac:dyDescent="0.25">
      <c r="AG656" s="19">
        <f t="array" ref="AG656">DIASQUIEBRE(Q656:AB656)</f>
        <v>0</v>
      </c>
      <c r="AH656" s="19">
        <f t="array" ref="AH656">DiasMesesGris(Q656:AB656)</f>
        <v>0</v>
      </c>
      <c r="AI656" s="19">
        <f t="shared" si="55"/>
        <v>0</v>
      </c>
      <c r="AJ656" s="19">
        <f t="shared" si="56"/>
        <v>360</v>
      </c>
      <c r="AK656" s="20">
        <f t="shared" si="54"/>
        <v>0</v>
      </c>
      <c r="AL656" s="21">
        <f t="shared" si="57"/>
        <v>0</v>
      </c>
    </row>
    <row r="657" spans="33:38" x14ac:dyDescent="0.25">
      <c r="AG657" s="19">
        <f t="array" ref="AG657">DIASQUIEBRE(Q657:AB657)</f>
        <v>0</v>
      </c>
      <c r="AH657" s="19">
        <f t="array" ref="AH657">DiasMesesGris(Q657:AB657)</f>
        <v>0</v>
      </c>
      <c r="AI657" s="19">
        <f t="shared" si="55"/>
        <v>0</v>
      </c>
      <c r="AJ657" s="19">
        <f t="shared" si="56"/>
        <v>360</v>
      </c>
      <c r="AK657" s="20">
        <f t="shared" si="54"/>
        <v>0</v>
      </c>
      <c r="AL657" s="21">
        <f t="shared" si="57"/>
        <v>0</v>
      </c>
    </row>
    <row r="658" spans="33:38" x14ac:dyDescent="0.25">
      <c r="AG658" s="19">
        <f t="array" ref="AG658">DIASQUIEBRE(Q658:AB658)</f>
        <v>0</v>
      </c>
      <c r="AH658" s="19">
        <f t="array" ref="AH658">DiasMesesGris(Q658:AB658)</f>
        <v>0</v>
      </c>
      <c r="AI658" s="19">
        <f t="shared" si="55"/>
        <v>0</v>
      </c>
      <c r="AJ658" s="19">
        <f t="shared" si="56"/>
        <v>360</v>
      </c>
      <c r="AK658" s="20">
        <f t="shared" si="54"/>
        <v>0</v>
      </c>
      <c r="AL658" s="21">
        <f t="shared" si="57"/>
        <v>0</v>
      </c>
    </row>
    <row r="659" spans="33:38" x14ac:dyDescent="0.25">
      <c r="AG659" s="19">
        <f t="array" ref="AG659">DIASQUIEBRE(Q659:AB659)</f>
        <v>0</v>
      </c>
      <c r="AH659" s="19">
        <f t="array" ref="AH659">DiasMesesGris(Q659:AB659)</f>
        <v>0</v>
      </c>
      <c r="AI659" s="19">
        <f t="shared" si="55"/>
        <v>0</v>
      </c>
      <c r="AJ659" s="19">
        <f t="shared" si="56"/>
        <v>360</v>
      </c>
      <c r="AK659" s="20">
        <f t="shared" si="54"/>
        <v>0</v>
      </c>
      <c r="AL659" s="21">
        <f t="shared" si="57"/>
        <v>0</v>
      </c>
    </row>
    <row r="660" spans="33:38" x14ac:dyDescent="0.25">
      <c r="AG660" s="19">
        <f t="array" ref="AG660">DIASQUIEBRE(Q660:AB660)</f>
        <v>0</v>
      </c>
      <c r="AH660" s="19">
        <f t="array" ref="AH660">DiasMesesGris(Q660:AB660)</f>
        <v>0</v>
      </c>
      <c r="AI660" s="19">
        <f t="shared" si="55"/>
        <v>0</v>
      </c>
      <c r="AJ660" s="19">
        <f t="shared" si="56"/>
        <v>360</v>
      </c>
      <c r="AK660" s="20">
        <f t="shared" si="54"/>
        <v>0</v>
      </c>
      <c r="AL660" s="21">
        <f t="shared" si="57"/>
        <v>0</v>
      </c>
    </row>
    <row r="661" spans="33:38" x14ac:dyDescent="0.25">
      <c r="AG661" s="19">
        <f t="array" ref="AG661">DIASQUIEBRE(Q661:AB661)</f>
        <v>0</v>
      </c>
      <c r="AH661" s="19">
        <f t="array" ref="AH661">DiasMesesGris(Q661:AB661)</f>
        <v>0</v>
      </c>
      <c r="AI661" s="19">
        <f t="shared" si="55"/>
        <v>0</v>
      </c>
      <c r="AJ661" s="19">
        <f t="shared" si="56"/>
        <v>360</v>
      </c>
      <c r="AK661" s="20">
        <f t="shared" si="54"/>
        <v>0</v>
      </c>
      <c r="AL661" s="21">
        <f t="shared" si="57"/>
        <v>0</v>
      </c>
    </row>
    <row r="662" spans="33:38" x14ac:dyDescent="0.25">
      <c r="AG662" s="19">
        <f t="array" ref="AG662">DIASQUIEBRE(Q662:AB662)</f>
        <v>0</v>
      </c>
      <c r="AH662" s="19">
        <f t="array" ref="AH662">DiasMesesGris(Q662:AB662)</f>
        <v>0</v>
      </c>
      <c r="AI662" s="19">
        <f t="shared" si="55"/>
        <v>0</v>
      </c>
      <c r="AJ662" s="19">
        <f t="shared" si="56"/>
        <v>360</v>
      </c>
      <c r="AK662" s="20">
        <f t="shared" ref="AK662:AK669" si="58">SUM(D662:O662)</f>
        <v>0</v>
      </c>
      <c r="AL662" s="21">
        <f t="shared" si="57"/>
        <v>0</v>
      </c>
    </row>
    <row r="663" spans="33:38" x14ac:dyDescent="0.25">
      <c r="AG663" s="19">
        <f t="array" ref="AG663">DIASQUIEBRE(Q663:AB663)</f>
        <v>0</v>
      </c>
      <c r="AH663" s="19">
        <f t="array" ref="AH663">DiasMesesGris(Q663:AB663)</f>
        <v>0</v>
      </c>
      <c r="AI663" s="19">
        <f t="shared" si="55"/>
        <v>0</v>
      </c>
      <c r="AJ663" s="19">
        <f t="shared" si="56"/>
        <v>360</v>
      </c>
      <c r="AK663" s="20">
        <f t="shared" si="58"/>
        <v>0</v>
      </c>
      <c r="AL663" s="21">
        <f t="shared" si="57"/>
        <v>0</v>
      </c>
    </row>
    <row r="664" spans="33:38" x14ac:dyDescent="0.25">
      <c r="AG664" s="19">
        <f t="array" ref="AG664">DIASQUIEBRE(Q664:AB664)</f>
        <v>0</v>
      </c>
      <c r="AH664" s="19">
        <f t="array" ref="AH664">DiasMesesGris(Q664:AB664)</f>
        <v>0</v>
      </c>
      <c r="AI664" s="19">
        <f t="shared" si="55"/>
        <v>0</v>
      </c>
      <c r="AJ664" s="19">
        <f t="shared" si="56"/>
        <v>360</v>
      </c>
      <c r="AK664" s="20">
        <f t="shared" si="58"/>
        <v>0</v>
      </c>
      <c r="AL664" s="21">
        <f t="shared" si="57"/>
        <v>0</v>
      </c>
    </row>
    <row r="665" spans="33:38" x14ac:dyDescent="0.25">
      <c r="AG665" s="19">
        <f t="array" ref="AG665">DIASQUIEBRE(Q665:AB665)</f>
        <v>0</v>
      </c>
      <c r="AH665" s="19">
        <f t="array" ref="AH665">DiasMesesGris(Q665:AB665)</f>
        <v>0</v>
      </c>
      <c r="AI665" s="19">
        <f t="shared" si="55"/>
        <v>0</v>
      </c>
      <c r="AJ665" s="19">
        <f t="shared" si="56"/>
        <v>360</v>
      </c>
      <c r="AK665" s="20">
        <f t="shared" si="58"/>
        <v>0</v>
      </c>
      <c r="AL665" s="21">
        <f t="shared" si="57"/>
        <v>0</v>
      </c>
    </row>
    <row r="666" spans="33:38" x14ac:dyDescent="0.25">
      <c r="AG666" s="19">
        <f t="array" ref="AG666">DIASQUIEBRE(Q666:AB666)</f>
        <v>0</v>
      </c>
      <c r="AH666" s="19">
        <f t="array" ref="AH666">DiasMesesGris(Q666:AB666)</f>
        <v>0</v>
      </c>
      <c r="AI666" s="19">
        <f t="shared" si="55"/>
        <v>0</v>
      </c>
      <c r="AJ666" s="19">
        <f t="shared" si="56"/>
        <v>360</v>
      </c>
      <c r="AK666" s="20">
        <f t="shared" si="58"/>
        <v>0</v>
      </c>
      <c r="AL666" s="21">
        <f t="shared" si="57"/>
        <v>0</v>
      </c>
    </row>
    <row r="667" spans="33:38" x14ac:dyDescent="0.25">
      <c r="AG667" s="19">
        <f t="array" ref="AG667">DIASQUIEBRE(Q667:AB667)</f>
        <v>0</v>
      </c>
      <c r="AH667" s="19">
        <f t="array" ref="AH667">DiasMesesGris(Q667:AB667)</f>
        <v>0</v>
      </c>
      <c r="AI667" s="19">
        <f t="shared" si="55"/>
        <v>0</v>
      </c>
      <c r="AJ667" s="19">
        <f t="shared" si="56"/>
        <v>360</v>
      </c>
      <c r="AK667" s="20">
        <f t="shared" si="58"/>
        <v>0</v>
      </c>
      <c r="AL667" s="21">
        <f t="shared" si="57"/>
        <v>0</v>
      </c>
    </row>
    <row r="668" spans="33:38" x14ac:dyDescent="0.25">
      <c r="AG668" s="19">
        <f t="array" ref="AG668">DIASQUIEBRE(Q668:AB668)</f>
        <v>0</v>
      </c>
      <c r="AH668" s="19">
        <f t="array" ref="AH668">DiasMesesGris(Q668:AB668)</f>
        <v>0</v>
      </c>
      <c r="AI668" s="19">
        <f t="shared" si="55"/>
        <v>0</v>
      </c>
      <c r="AJ668" s="19">
        <f t="shared" si="56"/>
        <v>360</v>
      </c>
      <c r="AK668" s="20">
        <f t="shared" si="58"/>
        <v>0</v>
      </c>
      <c r="AL668" s="21">
        <f t="shared" si="57"/>
        <v>0</v>
      </c>
    </row>
    <row r="669" spans="33:38" x14ac:dyDescent="0.25">
      <c r="AG669" s="19">
        <f t="array" ref="AG669">DIASQUIEBRE(Q669:AB669)</f>
        <v>0</v>
      </c>
      <c r="AH669" s="19">
        <f t="array" ref="AH669">DiasMesesGris(Q669:AB669)</f>
        <v>0</v>
      </c>
      <c r="AI669" s="19">
        <f t="shared" si="55"/>
        <v>0</v>
      </c>
      <c r="AJ669" s="19">
        <f t="shared" si="56"/>
        <v>360</v>
      </c>
      <c r="AK669" s="20">
        <f t="shared" si="58"/>
        <v>0</v>
      </c>
      <c r="AL669" s="21">
        <f t="shared" si="57"/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I309"/>
  <sheetViews>
    <sheetView tabSelected="1" workbookViewId="0">
      <pane xSplit="3" ySplit="4" topLeftCell="V5" activePane="bottomRight" state="frozen"/>
      <selection pane="topRight" activeCell="D1" sqref="D1"/>
      <selection pane="bottomLeft" activeCell="A5" sqref="A5"/>
      <selection pane="bottomRight" activeCell="Y11" sqref="Y11"/>
    </sheetView>
  </sheetViews>
  <sheetFormatPr baseColWidth="10" defaultColWidth="9" defaultRowHeight="14.3" x14ac:dyDescent="0.25"/>
  <cols>
    <col min="1" max="1" width="10.375" customWidth="1"/>
    <col min="2" max="2" width="47.875" customWidth="1"/>
    <col min="3" max="3" width="12" customWidth="1"/>
    <col min="4" max="5" width="12" hidden="1" customWidth="1"/>
    <col min="6" max="6" width="6" hidden="1" customWidth="1"/>
    <col min="7" max="14" width="12" hidden="1" customWidth="1"/>
    <col min="15" max="15" width="6" hidden="1" customWidth="1"/>
    <col min="16" max="20" width="12" hidden="1" customWidth="1"/>
    <col min="21" max="23" width="12" customWidth="1"/>
    <col min="24" max="24" width="6" customWidth="1"/>
    <col min="25" max="34" width="12" customWidth="1"/>
    <col min="35" max="35" width="7.375" customWidth="1"/>
  </cols>
  <sheetData>
    <row r="1" spans="1:35" x14ac:dyDescent="0.25">
      <c r="A1" s="1" t="s">
        <v>0</v>
      </c>
      <c r="B1" s="12">
        <v>46331</v>
      </c>
      <c r="D1" s="1" t="s">
        <v>1</v>
      </c>
      <c r="E1" s="7">
        <v>120</v>
      </c>
      <c r="G1" s="1" t="s">
        <v>2</v>
      </c>
      <c r="H1" s="7">
        <v>60</v>
      </c>
      <c r="J1" s="1" t="s">
        <v>3</v>
      </c>
      <c r="K1" s="13">
        <v>1</v>
      </c>
      <c r="L1" s="13">
        <v>1</v>
      </c>
      <c r="M1" s="13">
        <v>1</v>
      </c>
    </row>
    <row r="3" spans="1:35" x14ac:dyDescent="0.25">
      <c r="E3" s="98" t="s">
        <v>4</v>
      </c>
      <c r="F3" s="99"/>
      <c r="G3" s="99"/>
      <c r="H3" s="99"/>
      <c r="I3" s="99"/>
      <c r="J3" s="99"/>
      <c r="K3" s="99"/>
      <c r="L3" s="99"/>
      <c r="M3" s="99"/>
      <c r="N3" s="100" t="s">
        <v>5</v>
      </c>
      <c r="O3" s="99"/>
      <c r="P3" s="99"/>
      <c r="Q3" s="99"/>
      <c r="R3" s="99"/>
      <c r="S3" s="99"/>
      <c r="T3" s="99"/>
      <c r="U3" s="99"/>
      <c r="V3" s="99"/>
      <c r="W3" s="98" t="s">
        <v>6</v>
      </c>
      <c r="X3" s="99"/>
      <c r="Y3" s="99"/>
      <c r="Z3" s="99"/>
      <c r="AA3" s="99"/>
      <c r="AB3" s="99"/>
      <c r="AC3" s="99"/>
      <c r="AF3" s="100" t="s">
        <v>7</v>
      </c>
      <c r="AG3" s="99"/>
    </row>
    <row r="4" spans="1:35" x14ac:dyDescent="0.25">
      <c r="A4" s="2" t="s">
        <v>8</v>
      </c>
      <c r="B4" s="2" t="s">
        <v>9</v>
      </c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16</v>
      </c>
      <c r="J4" s="2" t="s">
        <v>17</v>
      </c>
      <c r="K4" s="2" t="s">
        <v>18</v>
      </c>
      <c r="L4" s="2" t="s">
        <v>19</v>
      </c>
      <c r="M4" s="2" t="s">
        <v>20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16</v>
      </c>
      <c r="S4" s="2" t="s">
        <v>17</v>
      </c>
      <c r="T4" s="2" t="s">
        <v>18</v>
      </c>
      <c r="U4" s="2" t="s">
        <v>19</v>
      </c>
      <c r="V4" s="2" t="s">
        <v>20</v>
      </c>
      <c r="W4" s="2" t="s">
        <v>21</v>
      </c>
      <c r="X4" s="2" t="s">
        <v>22</v>
      </c>
      <c r="Y4" s="2" t="s">
        <v>14</v>
      </c>
      <c r="Z4" s="2" t="s">
        <v>15</v>
      </c>
      <c r="AA4" s="2" t="s">
        <v>23</v>
      </c>
      <c r="AB4" s="2" t="s">
        <v>24</v>
      </c>
      <c r="AC4" s="2" t="s">
        <v>25</v>
      </c>
      <c r="AD4" s="2" t="s">
        <v>26</v>
      </c>
      <c r="AE4" s="2" t="s">
        <v>27</v>
      </c>
      <c r="AF4" s="2" t="s">
        <v>28</v>
      </c>
      <c r="AG4" s="2" t="s">
        <v>15</v>
      </c>
      <c r="AH4" s="2" t="s">
        <v>29</v>
      </c>
    </row>
    <row r="5" spans="1:35" x14ac:dyDescent="0.25">
      <c r="A5" s="1" t="s">
        <v>415</v>
      </c>
      <c r="B5" s="1" t="s">
        <v>416</v>
      </c>
      <c r="C5" s="14" t="s">
        <v>417</v>
      </c>
      <c r="D5" s="3"/>
      <c r="E5" s="12">
        <v>46238</v>
      </c>
      <c r="F5" s="7">
        <v>1</v>
      </c>
      <c r="G5" s="15">
        <f>(D5-(0)+0-(F5*Ventas!AE213*1))</f>
        <v>-10.8</v>
      </c>
      <c r="H5" s="18">
        <f>(G5/(Ventas!AE213*1)/60)</f>
        <v>-1.6666666666666666E-2</v>
      </c>
      <c r="I5" s="8">
        <v>0</v>
      </c>
      <c r="J5" s="15">
        <f>IF(G5&gt;0,G5+I5,I5)</f>
        <v>0</v>
      </c>
      <c r="K5" s="3"/>
      <c r="L5" s="15">
        <v>52</v>
      </c>
      <c r="M5" s="17">
        <v>6.4899999999999995E-4</v>
      </c>
      <c r="N5" s="12">
        <v>46275</v>
      </c>
      <c r="O5" s="7">
        <v>37</v>
      </c>
      <c r="P5" s="15">
        <f>(IF(G5&gt;0,G5+I5,I5)-(O5*Ventas!AE213*1))</f>
        <v>-399.6</v>
      </c>
      <c r="Q5" s="18">
        <f>(P5/(Ventas!AE213*1)/60)</f>
        <v>-0.6166666666666667</v>
      </c>
      <c r="R5" s="8">
        <v>572</v>
      </c>
      <c r="S5" s="15">
        <f>IF(P5&gt;0,P5+R5,R5)</f>
        <v>572</v>
      </c>
      <c r="T5" s="15">
        <v>1.59</v>
      </c>
      <c r="U5" s="15">
        <v>52</v>
      </c>
      <c r="V5" s="17">
        <v>6.4899999999999995E-4</v>
      </c>
      <c r="W5" s="12">
        <v>46331</v>
      </c>
      <c r="X5" s="7">
        <v>56</v>
      </c>
      <c r="Y5" s="15">
        <f>(IF(P5&gt;0,P5+R5,R5)-(X5*Ventas!AE213*1))</f>
        <v>-32.800000000000068</v>
      </c>
      <c r="Z5" s="18">
        <f>(Y5/(Ventas!AE213*1)/60)</f>
        <v>-5.0617283950617382E-2</v>
      </c>
      <c r="AA5" s="15">
        <f>(120*(Ventas!AE213*1) - IF(Y5&gt;0,Y5,0))</f>
        <v>1296</v>
      </c>
      <c r="AB5" s="15">
        <v>1300</v>
      </c>
      <c r="AC5" s="15">
        <f>IF(Y5&gt;0,Y5+IF(AB5&gt;0,AB5,0),AB5)</f>
        <v>1300</v>
      </c>
      <c r="AD5" s="16">
        <v>1.55</v>
      </c>
      <c r="AE5" s="8">
        <v>3027</v>
      </c>
      <c r="AF5" s="15">
        <f>(AC5-(60*Ventas!AE213*1))</f>
        <v>652</v>
      </c>
      <c r="AG5" s="18">
        <f>(AF5/(Ventas!AE213*1)/60)</f>
        <v>1.0061728395061729</v>
      </c>
      <c r="AH5" s="1" t="s">
        <v>35</v>
      </c>
      <c r="AI5">
        <f>AD5*AB5</f>
        <v>2015</v>
      </c>
    </row>
    <row r="6" spans="1:35" x14ac:dyDescent="0.25">
      <c r="A6" s="1" t="s">
        <v>327</v>
      </c>
      <c r="B6" s="1" t="s">
        <v>372</v>
      </c>
      <c r="C6" s="14" t="s">
        <v>373</v>
      </c>
      <c r="D6" s="3"/>
      <c r="E6" s="12">
        <v>46238</v>
      </c>
      <c r="F6" s="7">
        <v>1</v>
      </c>
      <c r="G6" s="15">
        <f>(D6-(0)+0-(F6*Ventas!AE196*1))</f>
        <v>-8.8000000000000007</v>
      </c>
      <c r="H6" s="18">
        <f>(G6/(Ventas!AE196*1)/60)</f>
        <v>-1.6666666666666666E-2</v>
      </c>
      <c r="I6" s="8">
        <v>156</v>
      </c>
      <c r="J6" s="15">
        <f>IF(G6&gt;0,G6+I6,I6)</f>
        <v>156</v>
      </c>
      <c r="K6" s="15">
        <v>1.58</v>
      </c>
      <c r="L6" s="15">
        <v>52</v>
      </c>
      <c r="M6" s="17">
        <v>6.4899999999999995E-4</v>
      </c>
      <c r="N6" s="12">
        <v>46275</v>
      </c>
      <c r="O6" s="7">
        <v>37</v>
      </c>
      <c r="P6" s="15">
        <f>(IF(G6&gt;0,G6+I6,I6)-(O6*Ventas!AE196*1))</f>
        <v>-169.60000000000002</v>
      </c>
      <c r="Q6" s="18">
        <f>(P6/(Ventas!AE196*1)/60)</f>
        <v>-0.32121212121212123</v>
      </c>
      <c r="R6" s="8">
        <v>832</v>
      </c>
      <c r="S6" s="15">
        <f>IF(P6&gt;0,P6+R6,R6)</f>
        <v>832</v>
      </c>
      <c r="T6" s="15">
        <v>1.59</v>
      </c>
      <c r="U6" s="15">
        <v>52</v>
      </c>
      <c r="V6" s="17">
        <v>6.4899999999999995E-4</v>
      </c>
      <c r="W6" s="12">
        <v>46331</v>
      </c>
      <c r="X6" s="7">
        <v>56</v>
      </c>
      <c r="Y6" s="15">
        <f>(IF(P6&gt;0,P6+R6,R6)-(X6*Ventas!AE196*1))</f>
        <v>339.19999999999993</v>
      </c>
      <c r="Z6" s="18">
        <f>(Y6/(Ventas!AE196*1)/60)</f>
        <v>0.64242424242424223</v>
      </c>
      <c r="AA6" s="15">
        <f>(120*(Ventas!AE196*1) - IF(Y6&gt;0,Y6,0))</f>
        <v>716.80000000000007</v>
      </c>
      <c r="AB6" s="15">
        <v>728</v>
      </c>
      <c r="AC6" s="15">
        <f>IF(Y6&gt;0,Y6+IF(AB6&gt;0,AB6,0),AB6)</f>
        <v>1067.1999999999998</v>
      </c>
      <c r="AD6" s="16">
        <v>1.58</v>
      </c>
      <c r="AE6" s="8">
        <v>3025</v>
      </c>
      <c r="AF6" s="15">
        <f>(AC6-(60*Ventas!AE196*1))</f>
        <v>539.19999999999982</v>
      </c>
      <c r="AG6" s="18">
        <f>(AF6/(Ventas!AE196*1)/60)</f>
        <v>1.0212121212121208</v>
      </c>
      <c r="AH6" s="1" t="s">
        <v>35</v>
      </c>
      <c r="AI6">
        <f t="shared" ref="AI6:AI69" si="0">AD6*AB6</f>
        <v>1150.24</v>
      </c>
    </row>
    <row r="7" spans="1:35" x14ac:dyDescent="0.25">
      <c r="A7" s="1" t="s">
        <v>424</v>
      </c>
      <c r="B7" s="1" t="s">
        <v>425</v>
      </c>
      <c r="C7" s="14" t="s">
        <v>426</v>
      </c>
      <c r="D7" s="3"/>
      <c r="E7" s="12">
        <v>46238</v>
      </c>
      <c r="F7" s="7">
        <v>1</v>
      </c>
      <c r="G7" s="15">
        <f>(D7-(0)+0-(F7*Ventas!AE216*1))</f>
        <v>-7.7</v>
      </c>
      <c r="H7" s="18">
        <f>(G7/(Ventas!AE216*1)/60)</f>
        <v>-1.6666666666666666E-2</v>
      </c>
      <c r="I7" s="8">
        <v>572</v>
      </c>
      <c r="J7" s="15">
        <f>IF(G7&gt;0,G7+I7,I7)</f>
        <v>572</v>
      </c>
      <c r="K7" s="15">
        <v>1.95</v>
      </c>
      <c r="L7" s="15">
        <v>52</v>
      </c>
      <c r="M7" s="17">
        <v>6.4899999999999995E-4</v>
      </c>
      <c r="N7" s="12">
        <v>46275</v>
      </c>
      <c r="O7" s="7">
        <v>37</v>
      </c>
      <c r="P7" s="15">
        <f>(IF(G7&gt;0,G7+I7,I7)-(O7*Ventas!AE216*1))</f>
        <v>287.09999999999997</v>
      </c>
      <c r="Q7" s="18">
        <f>(P7/(Ventas!AE216*1)/60)</f>
        <v>0.62142857142857133</v>
      </c>
      <c r="R7" s="8">
        <v>468</v>
      </c>
      <c r="S7" s="15">
        <f>IF(P7&gt;0,P7+R7,R7)</f>
        <v>755.09999999999991</v>
      </c>
      <c r="T7" s="15">
        <v>1.97</v>
      </c>
      <c r="U7" s="15">
        <v>52</v>
      </c>
      <c r="V7" s="17">
        <v>6.4899999999999995E-4</v>
      </c>
      <c r="W7" s="12">
        <v>46331</v>
      </c>
      <c r="X7" s="7">
        <v>56</v>
      </c>
      <c r="Y7" s="15">
        <f>(IF(P7&gt;0,P7+R7,R7)-(X7*Ventas!AE216*1))</f>
        <v>323.89999999999992</v>
      </c>
      <c r="Z7" s="18">
        <f>(Y7/(Ventas!AE216*1)/60)</f>
        <v>0.70108225108225097</v>
      </c>
      <c r="AA7" s="15">
        <f>(120*(Ventas!AE216*1) - IF(Y7&gt;0,Y7,0))</f>
        <v>600.10000000000014</v>
      </c>
      <c r="AB7" s="15">
        <v>884</v>
      </c>
      <c r="AC7" s="15">
        <f>IF(Y7&gt;0,Y7+IF(AB7&gt;0,AB7,0),AB7)</f>
        <v>1207.8999999999999</v>
      </c>
      <c r="AD7" s="16">
        <v>1.95</v>
      </c>
      <c r="AE7" s="8">
        <v>3025</v>
      </c>
      <c r="AF7" s="15">
        <f>(AC7-(60*Ventas!AE216*1))</f>
        <v>745.89999999999986</v>
      </c>
      <c r="AG7" s="18">
        <f>(AF7/(Ventas!AE216*1)/60)</f>
        <v>1.614502164502164</v>
      </c>
      <c r="AH7" s="1" t="s">
        <v>35</v>
      </c>
      <c r="AI7">
        <f t="shared" si="0"/>
        <v>1723.8</v>
      </c>
    </row>
    <row r="8" spans="1:35" x14ac:dyDescent="0.25">
      <c r="A8" s="1" t="s">
        <v>418</v>
      </c>
      <c r="B8" s="1" t="s">
        <v>419</v>
      </c>
      <c r="C8" s="14" t="s">
        <v>420</v>
      </c>
      <c r="D8" s="3"/>
      <c r="E8" s="12">
        <v>46238</v>
      </c>
      <c r="F8" s="7">
        <v>1</v>
      </c>
      <c r="G8" s="15">
        <f>(D8-(0)+0-(F8*Ventas!AE214*1))</f>
        <v>-5.42</v>
      </c>
      <c r="H8" s="18">
        <f>(G8/(Ventas!AE214*1)/60)</f>
        <v>-1.6666666666666666E-2</v>
      </c>
      <c r="I8" s="8">
        <v>0</v>
      </c>
      <c r="J8" s="15">
        <f>IF(G8&gt;0,G8+I8,I8)</f>
        <v>0</v>
      </c>
      <c r="K8" s="3"/>
      <c r="L8" s="15">
        <v>52</v>
      </c>
      <c r="M8" s="17">
        <v>6.4899999999999995E-4</v>
      </c>
      <c r="N8" s="12">
        <v>46275</v>
      </c>
      <c r="O8" s="7">
        <v>37</v>
      </c>
      <c r="P8" s="15">
        <f>(IF(G8&gt;0,G8+I8,I8)-(O8*Ventas!AE214*1))</f>
        <v>-200.54</v>
      </c>
      <c r="Q8" s="18">
        <f>(P8/(Ventas!AE214*1)/60)</f>
        <v>-0.6166666666666667</v>
      </c>
      <c r="R8" s="8">
        <v>260</v>
      </c>
      <c r="S8" s="15">
        <f>IF(P8&gt;0,P8+R8,R8)</f>
        <v>260</v>
      </c>
      <c r="T8" s="15">
        <v>1.59</v>
      </c>
      <c r="U8" s="15">
        <v>52</v>
      </c>
      <c r="V8" s="17">
        <v>6.4899999999999995E-4</v>
      </c>
      <c r="W8" s="12">
        <v>46331</v>
      </c>
      <c r="X8" s="7">
        <v>56</v>
      </c>
      <c r="Y8" s="15">
        <f>(IF(P8&gt;0,P8+R8,R8)-(X8*Ventas!AE214*1))</f>
        <v>-43.519999999999982</v>
      </c>
      <c r="Z8" s="18">
        <f>(Y8/(Ventas!AE214*1)/60)</f>
        <v>-0.13382533825338247</v>
      </c>
      <c r="AA8" s="15">
        <f>(120*(Ventas!AE214*1) - IF(Y8&gt;0,Y8,0))</f>
        <v>650.4</v>
      </c>
      <c r="AB8" s="15">
        <v>676</v>
      </c>
      <c r="AC8" s="15">
        <f>IF(Y8&gt;0,Y8+IF(AB8&gt;0,AB8,0),AB8)</f>
        <v>676</v>
      </c>
      <c r="AD8" s="16">
        <v>1.48</v>
      </c>
      <c r="AE8" s="8">
        <v>3010</v>
      </c>
      <c r="AF8" s="15">
        <f>(AC8-(60*Ventas!AE214*1))</f>
        <v>350.8</v>
      </c>
      <c r="AG8" s="18">
        <f>(AF8/(Ventas!AE214*1)/60)</f>
        <v>1.0787207872078721</v>
      </c>
      <c r="AH8" s="1" t="s">
        <v>35</v>
      </c>
      <c r="AI8">
        <f t="shared" si="0"/>
        <v>1000.48</v>
      </c>
    </row>
    <row r="9" spans="1:35" x14ac:dyDescent="0.25">
      <c r="A9" s="1" t="s">
        <v>421</v>
      </c>
      <c r="B9" s="1" t="s">
        <v>422</v>
      </c>
      <c r="C9" s="14" t="s">
        <v>423</v>
      </c>
      <c r="D9" s="3"/>
      <c r="E9" s="12">
        <v>46238</v>
      </c>
      <c r="F9" s="7">
        <v>1</v>
      </c>
      <c r="G9" s="15">
        <f>(D9-(0)+0-(F9*Ventas!AE215*1))</f>
        <v>-3.9498722222222225</v>
      </c>
      <c r="H9" s="18">
        <f>(G9/(Ventas!AE215*1)/60)</f>
        <v>-1.6666666666666666E-2</v>
      </c>
      <c r="I9" s="8">
        <v>416</v>
      </c>
      <c r="J9" s="15">
        <f>IF(G9&gt;0,G9+I9,I9)</f>
        <v>416</v>
      </c>
      <c r="K9" s="15">
        <v>2.25</v>
      </c>
      <c r="L9" s="15">
        <v>52</v>
      </c>
      <c r="M9" s="17">
        <v>6.4899999999999995E-4</v>
      </c>
      <c r="N9" s="12">
        <v>46275</v>
      </c>
      <c r="O9" s="7">
        <v>37</v>
      </c>
      <c r="P9" s="15">
        <f>(IF(G9&gt;0,G9+I9,I9)-(O9*Ventas!AE215*1))</f>
        <v>269.85472777777778</v>
      </c>
      <c r="Q9" s="18">
        <f>(P9/(Ventas!AE215*1)/60)</f>
        <v>1.1386643777975003</v>
      </c>
      <c r="R9" s="8">
        <v>260</v>
      </c>
      <c r="S9" s="15">
        <f>IF(P9&gt;0,P9+R9,R9)</f>
        <v>529.85472777777773</v>
      </c>
      <c r="T9" s="15">
        <v>2.27</v>
      </c>
      <c r="U9" s="15">
        <v>52</v>
      </c>
      <c r="V9" s="17">
        <v>6.4899999999999995E-4</v>
      </c>
      <c r="W9" s="12">
        <v>46331</v>
      </c>
      <c r="X9" s="7">
        <v>56</v>
      </c>
      <c r="Y9" s="15">
        <f>(IF(P9&gt;0,P9+R9,R9)-(X9*Ventas!AE215*1))</f>
        <v>308.66188333333326</v>
      </c>
      <c r="Z9" s="18">
        <f>(Y9/(Ventas!AE215*1)/60)</f>
        <v>1.3024129472542709</v>
      </c>
      <c r="AA9" s="15">
        <f>(120*(Ventas!AE215*1) - IF(Y9&gt;0,Y9,0))</f>
        <v>165.3227833333334</v>
      </c>
      <c r="AB9" s="15">
        <v>312</v>
      </c>
      <c r="AC9" s="15">
        <f>IF(Y9&gt;0,Y9+IF(AB9&gt;0,AB9,0),AB9)</f>
        <v>620.66188333333321</v>
      </c>
      <c r="AD9" s="16">
        <v>2.25</v>
      </c>
      <c r="AE9" s="8">
        <v>3025</v>
      </c>
      <c r="AF9" s="15">
        <f>(AC9-(60*Ventas!AE215*1))</f>
        <v>383.66954999999984</v>
      </c>
      <c r="AG9" s="18">
        <f>(AF9/(Ventas!AE215*1)/60)</f>
        <v>1.6189112306023958</v>
      </c>
      <c r="AH9" s="1" t="s">
        <v>35</v>
      </c>
      <c r="AI9">
        <f t="shared" si="0"/>
        <v>702</v>
      </c>
    </row>
    <row r="10" spans="1:35" x14ac:dyDescent="0.25">
      <c r="A10" s="1"/>
      <c r="B10" s="60" t="s">
        <v>242</v>
      </c>
      <c r="C10" s="14" t="s">
        <v>243</v>
      </c>
      <c r="D10" s="3"/>
      <c r="E10" s="12">
        <v>46238</v>
      </c>
      <c r="F10" s="7">
        <v>1</v>
      </c>
      <c r="G10" s="15">
        <f>(D10-(0)+0-(F10*Ventas!AE145*1))</f>
        <v>-4.1900000000000004</v>
      </c>
      <c r="H10" s="18">
        <f>(G10/(Ventas!AE145*1)/60)</f>
        <v>-1.6666666666666666E-2</v>
      </c>
      <c r="I10" s="8">
        <v>0</v>
      </c>
      <c r="J10" s="15">
        <f>IF(G10&gt;0,G10+I10,I10)</f>
        <v>0</v>
      </c>
      <c r="K10" s="3"/>
      <c r="L10" s="3">
        <v>84</v>
      </c>
      <c r="M10" s="3"/>
      <c r="N10" s="12">
        <v>46275</v>
      </c>
      <c r="O10" s="7">
        <v>37</v>
      </c>
      <c r="P10" s="15">
        <f>(IF(G10&gt;0,G10+I10,I10)-(O10*Ventas!AE145*1))</f>
        <v>-155.03</v>
      </c>
      <c r="Q10" s="18">
        <f>(P10/(Ventas!AE145*1)/60)</f>
        <v>-0.6166666666666667</v>
      </c>
      <c r="R10" s="8">
        <v>1260</v>
      </c>
      <c r="S10" s="15">
        <f>IF(P10&gt;0,P10+R10,R10)</f>
        <v>1260</v>
      </c>
      <c r="T10" s="15">
        <v>0.83</v>
      </c>
      <c r="U10" s="86">
        <v>84</v>
      </c>
      <c r="V10" s="3"/>
      <c r="W10" s="12">
        <v>46331</v>
      </c>
      <c r="X10" s="7">
        <v>56</v>
      </c>
      <c r="Y10" s="15">
        <f>(IF(P10&gt;0,P10+R10,R10)-(X10*Ventas!AE145*1))</f>
        <v>1025.3599999999999</v>
      </c>
      <c r="Z10" s="18">
        <f>(Y10/(Ventas!AE145*1)/60)</f>
        <v>4.0785998408910098</v>
      </c>
      <c r="AA10" s="15">
        <f>(120*(Ventas!AE145*1) - IF(Y10&gt;0,Y10,0))</f>
        <v>-522.55999999999983</v>
      </c>
      <c r="AB10" s="15">
        <v>588</v>
      </c>
      <c r="AC10" s="15">
        <f>IF(Y10&gt;0,Y10+IF(AB10&gt;0,AB10,0),AB10)</f>
        <v>1613.36</v>
      </c>
      <c r="AD10" s="16">
        <v>0.77</v>
      </c>
      <c r="AE10" s="8">
        <v>3027</v>
      </c>
      <c r="AF10" s="15">
        <f>(AC10-(60*Ventas!AE145*1))</f>
        <v>1361.9599999999998</v>
      </c>
      <c r="AG10" s="18">
        <f>(AF10/(Ventas!AE145*1)/60)</f>
        <v>5.4175019888623694</v>
      </c>
      <c r="AH10" s="1" t="s">
        <v>35</v>
      </c>
      <c r="AI10">
        <f t="shared" si="0"/>
        <v>452.76</v>
      </c>
    </row>
    <row r="11" spans="1:35" x14ac:dyDescent="0.25">
      <c r="A11" s="1"/>
      <c r="B11" s="67" t="s">
        <v>516</v>
      </c>
      <c r="C11" s="14" t="s">
        <v>517</v>
      </c>
      <c r="D11" s="3"/>
      <c r="E11" s="12">
        <v>46238</v>
      </c>
      <c r="F11" s="7">
        <v>1</v>
      </c>
      <c r="G11" s="15">
        <f>(D11-(0)+0-(F11*Ventas!AE20*1))</f>
        <v>-3.53</v>
      </c>
      <c r="H11" s="18">
        <f>(G11/(Ventas!AE20*1)/60)</f>
        <v>-1.6666666666666666E-2</v>
      </c>
      <c r="I11" s="8">
        <v>0</v>
      </c>
      <c r="J11" s="15">
        <f>IF(G11&gt;0,G11+I11,I11)</f>
        <v>0</v>
      </c>
      <c r="K11" s="3"/>
      <c r="L11" s="15">
        <v>52</v>
      </c>
      <c r="M11" s="17">
        <v>8.3699999999999996E-4</v>
      </c>
      <c r="N11" s="12">
        <v>46275</v>
      </c>
      <c r="O11" s="7">
        <v>37</v>
      </c>
      <c r="P11" s="15">
        <f>(IF(G11&gt;0,G11+I11,I11)-(O11*Ventas!AE20*0.9189))</f>
        <v>-120.017529</v>
      </c>
      <c r="Q11" s="18">
        <f>(P11/(Ventas!AE20*0.9189)/60)</f>
        <v>-0.6166666666666667</v>
      </c>
      <c r="R11" s="8">
        <v>0</v>
      </c>
      <c r="S11" s="15">
        <f>IF(P11&gt;0,P11+R11,R11)</f>
        <v>0</v>
      </c>
      <c r="T11" s="3"/>
      <c r="U11" s="15">
        <v>52</v>
      </c>
      <c r="V11" s="17">
        <v>8.3699999999999996E-4</v>
      </c>
      <c r="W11" s="12">
        <v>46331</v>
      </c>
      <c r="X11" s="7">
        <v>56</v>
      </c>
      <c r="Y11" s="15">
        <f>(IF(P11&gt;0,P11+R11,R11)-(X11*Ventas!AE20*0.925))</f>
        <v>-182.85399999999998</v>
      </c>
      <c r="Z11" s="18">
        <f>(Y11/(Ventas!AE20*0.925)/60)</f>
        <v>-0.93333333333333324</v>
      </c>
      <c r="AA11" s="15">
        <f>(120*(Ventas!AE20*1.485) - IF(Y11&gt;0,Y11,0))</f>
        <v>629.04599999999994</v>
      </c>
      <c r="AB11" s="15">
        <v>0</v>
      </c>
      <c r="AC11" s="15">
        <f>IF(Y11&gt;0,Y11+IF(AB11&gt;0,AB11,0),AB11)</f>
        <v>0</v>
      </c>
      <c r="AD11" s="16">
        <v>1.27</v>
      </c>
      <c r="AE11" s="8">
        <v>3010</v>
      </c>
      <c r="AF11" s="15">
        <f>(AC11-(60*Ventas!AE20*1.485))</f>
        <v>-314.52299999999997</v>
      </c>
      <c r="AG11" s="18">
        <f>(AF11/(Ventas!AE20*1.485)/60)</f>
        <v>-0.99999999999999989</v>
      </c>
      <c r="AH11" s="1" t="s">
        <v>35</v>
      </c>
      <c r="AI11">
        <f t="shared" si="0"/>
        <v>0</v>
      </c>
    </row>
    <row r="12" spans="1:35" x14ac:dyDescent="0.25">
      <c r="A12" s="1"/>
      <c r="B12" s="1" t="s">
        <v>192</v>
      </c>
      <c r="C12" s="14" t="s">
        <v>193</v>
      </c>
      <c r="D12" s="3"/>
      <c r="E12" s="12">
        <v>46238</v>
      </c>
      <c r="F12" s="7">
        <v>1</v>
      </c>
      <c r="G12" s="15">
        <f>(D12-(0)+0-(F12*Ventas!AE120*1))</f>
        <v>-2.7</v>
      </c>
      <c r="H12" s="18">
        <f>(G12/(Ventas!AE120*1)/60)</f>
        <v>-1.6666666666666666E-2</v>
      </c>
      <c r="I12" s="8">
        <v>168</v>
      </c>
      <c r="J12" s="15">
        <f>IF(G12&gt;0,G12+I12,I12)</f>
        <v>168</v>
      </c>
      <c r="K12" s="15">
        <v>0.75</v>
      </c>
      <c r="L12" s="15">
        <v>84</v>
      </c>
      <c r="M12" s="17">
        <v>3.57E-4</v>
      </c>
      <c r="N12" s="12">
        <v>46275</v>
      </c>
      <c r="O12" s="7">
        <v>37</v>
      </c>
      <c r="P12" s="15">
        <f>(IF(G12&gt;0,G12+I12,I12)-(O12*Ventas!AE120*1))</f>
        <v>68.099999999999994</v>
      </c>
      <c r="Q12" s="18">
        <f>(P12/(Ventas!AE120*1)/60)</f>
        <v>0.42037037037037028</v>
      </c>
      <c r="R12" s="8">
        <v>168</v>
      </c>
      <c r="S12" s="15">
        <f>IF(P12&gt;0,P12+R12,R12)</f>
        <v>236.1</v>
      </c>
      <c r="T12" s="15">
        <v>0.76</v>
      </c>
      <c r="U12" s="15">
        <v>84</v>
      </c>
      <c r="V12" s="17">
        <v>3.57E-4</v>
      </c>
      <c r="W12" s="12">
        <v>46331</v>
      </c>
      <c r="X12" s="7">
        <v>56</v>
      </c>
      <c r="Y12" s="15">
        <f>(IF(P12&gt;0,P12+R12,R12)-(X12*Ventas!AE120*1))</f>
        <v>84.899999999999977</v>
      </c>
      <c r="Z12" s="18">
        <f>(Y12/(Ventas!AE120*1)/60)</f>
        <v>0.52407407407407391</v>
      </c>
      <c r="AA12" s="15">
        <f>(120*(Ventas!AE120*1) - IF(Y12&gt;0,Y12,0))</f>
        <v>239.10000000000002</v>
      </c>
      <c r="AB12" s="15">
        <v>252</v>
      </c>
      <c r="AC12" s="15">
        <f>IF(Y12&gt;0,Y12+IF(AB12&gt;0,AB12,0),AB12)</f>
        <v>336.9</v>
      </c>
      <c r="AD12" s="16">
        <v>0.75</v>
      </c>
      <c r="AE12" s="8">
        <v>3025</v>
      </c>
      <c r="AF12" s="15">
        <f>(AC12-(60*Ventas!AE120*1))</f>
        <v>174.89999999999998</v>
      </c>
      <c r="AG12" s="18">
        <f>(AF12/(Ventas!AE120*1)/60)</f>
        <v>1.0796296296296295</v>
      </c>
      <c r="AH12" s="1" t="s">
        <v>35</v>
      </c>
      <c r="AI12">
        <f t="shared" si="0"/>
        <v>189</v>
      </c>
    </row>
    <row r="13" spans="1:35" x14ac:dyDescent="0.25">
      <c r="A13" s="1"/>
      <c r="B13" s="59" t="s">
        <v>130</v>
      </c>
      <c r="C13" s="14" t="s">
        <v>131</v>
      </c>
      <c r="D13" s="3"/>
      <c r="E13" s="12">
        <v>46238</v>
      </c>
      <c r="F13" s="7">
        <v>1</v>
      </c>
      <c r="G13" s="15">
        <f>(D13-(0)+0-(F13*Ventas!AE92*1))</f>
        <v>-2.65</v>
      </c>
      <c r="H13" s="18">
        <f>(G13/(Ventas!AE92*1)/60)</f>
        <v>-1.6666666666666666E-2</v>
      </c>
      <c r="I13" s="8">
        <v>0</v>
      </c>
      <c r="J13" s="15">
        <f>IF(G13&gt;0,G13+I13,I13)</f>
        <v>0</v>
      </c>
      <c r="K13" s="3"/>
      <c r="L13" s="15">
        <v>84</v>
      </c>
      <c r="M13" s="17">
        <v>4.0200000000000001E-4</v>
      </c>
      <c r="N13" s="12">
        <v>46275</v>
      </c>
      <c r="O13" s="7">
        <v>37</v>
      </c>
      <c r="P13" s="15">
        <f>(IF(G13&gt;0,G13+I13,I13)-(O13*Ventas!AE92*1))</f>
        <v>-98.05</v>
      </c>
      <c r="Q13" s="18">
        <f>(P13/(Ventas!AE92*1)/60)</f>
        <v>-0.6166666666666667</v>
      </c>
      <c r="R13" s="8">
        <v>0</v>
      </c>
      <c r="S13" s="15">
        <f>IF(P13&gt;0,P13+R13,R13)</f>
        <v>0</v>
      </c>
      <c r="T13" s="3"/>
      <c r="U13" s="15">
        <v>84</v>
      </c>
      <c r="V13" s="17">
        <v>4.0200000000000001E-4</v>
      </c>
      <c r="W13" s="12">
        <v>46331</v>
      </c>
      <c r="X13" s="7">
        <v>56</v>
      </c>
      <c r="Y13" s="15">
        <f>(IF(P13&gt;0,P13+R13,R13)-(X13*Ventas!AE92*1))</f>
        <v>-148.4</v>
      </c>
      <c r="Z13" s="18">
        <f>(Y13/(Ventas!AE92*1)/60)</f>
        <v>-0.93333333333333346</v>
      </c>
      <c r="AA13" s="15">
        <f>(120*(Ventas!AE92*1) - IF(Y13&gt;0,Y13,0))</f>
        <v>318</v>
      </c>
      <c r="AB13" s="15">
        <v>0</v>
      </c>
      <c r="AC13" s="15">
        <f>IF(Y13&gt;0,Y13+IF(AB13&gt;0,AB13,0),AB13)</f>
        <v>0</v>
      </c>
      <c r="AD13" s="16">
        <v>0.77</v>
      </c>
      <c r="AE13" s="8">
        <v>3010</v>
      </c>
      <c r="AF13" s="15">
        <f>(AC13-(60*Ventas!AE92*1))</f>
        <v>-159</v>
      </c>
      <c r="AG13" s="18">
        <f>(AF13/(Ventas!AE92*1)/60)</f>
        <v>-1</v>
      </c>
      <c r="AH13" s="1" t="s">
        <v>32</v>
      </c>
      <c r="AI13">
        <f t="shared" si="0"/>
        <v>0</v>
      </c>
    </row>
    <row r="14" spans="1:35" x14ac:dyDescent="0.25">
      <c r="A14" s="1"/>
      <c r="B14" s="67" t="s">
        <v>512</v>
      </c>
      <c r="C14" s="14" t="s">
        <v>513</v>
      </c>
      <c r="D14" s="3"/>
      <c r="E14" s="12">
        <v>46238</v>
      </c>
      <c r="F14" s="7">
        <v>1</v>
      </c>
      <c r="G14" s="15">
        <f>(D14-(0)+0-(F14*Ventas!AE16*1))</f>
        <v>-2.6</v>
      </c>
      <c r="H14" s="18">
        <f>(G14/(Ventas!AE16*1)/60)</f>
        <v>-1.6666666666666666E-2</v>
      </c>
      <c r="I14" s="8">
        <v>0</v>
      </c>
      <c r="J14" s="15">
        <f>IF(G14&gt;0,G14+I14,I14)</f>
        <v>0</v>
      </c>
      <c r="K14" s="3"/>
      <c r="L14" s="15">
        <v>120</v>
      </c>
      <c r="M14" s="17">
        <v>3.3100000000000002E-4</v>
      </c>
      <c r="N14" s="12">
        <v>46275</v>
      </c>
      <c r="O14" s="7">
        <v>37</v>
      </c>
      <c r="P14" s="15">
        <f>(IF(G14&gt;0,G14+I14,I14)-(O14*Ventas!AE16*0.9189))</f>
        <v>-88.398180000000011</v>
      </c>
      <c r="Q14" s="18">
        <f>(P14/(Ventas!AE16*0.9189)/60)</f>
        <v>-0.6166666666666667</v>
      </c>
      <c r="R14" s="8">
        <v>0</v>
      </c>
      <c r="S14" s="15">
        <f>IF(P14&gt;0,P14+R14,R14)</f>
        <v>0</v>
      </c>
      <c r="T14" s="3"/>
      <c r="U14" s="15">
        <v>120</v>
      </c>
      <c r="V14" s="17">
        <v>3.3100000000000002E-4</v>
      </c>
      <c r="W14" s="12">
        <v>46331</v>
      </c>
      <c r="X14" s="7">
        <v>56</v>
      </c>
      <c r="Y14" s="15">
        <f>(IF(P14&gt;0,P14+R14,R14)-(X14*Ventas!AE16*0.925))</f>
        <v>-134.68</v>
      </c>
      <c r="Z14" s="18">
        <f>(Y14/(Ventas!AE16*0.925)/60)</f>
        <v>-0.93333333333333335</v>
      </c>
      <c r="AA14" s="15">
        <f>(120*(Ventas!AE16*1.485) - IF(Y14&gt;0,Y14,0))</f>
        <v>463.32000000000005</v>
      </c>
      <c r="AB14" s="15">
        <v>0</v>
      </c>
      <c r="AC14" s="15">
        <f>IF(Y14&gt;0,Y14+IF(AB14&gt;0,AB14,0),AB14)</f>
        <v>0</v>
      </c>
      <c r="AD14" s="16">
        <v>1.08</v>
      </c>
      <c r="AE14" s="8">
        <v>3027</v>
      </c>
      <c r="AF14" s="15">
        <f>(AC14-(60*Ventas!AE16*1.485))</f>
        <v>-231.66000000000003</v>
      </c>
      <c r="AG14" s="18">
        <f>(AF14/(Ventas!AE16*1.485)/60)</f>
        <v>-1</v>
      </c>
      <c r="AH14" s="1" t="s">
        <v>32</v>
      </c>
      <c r="AI14">
        <f t="shared" si="0"/>
        <v>0</v>
      </c>
    </row>
    <row r="15" spans="1:35" x14ac:dyDescent="0.25">
      <c r="A15" s="1" t="s">
        <v>441</v>
      </c>
      <c r="B15" s="1" t="s">
        <v>442</v>
      </c>
      <c r="C15" s="14" t="s">
        <v>443</v>
      </c>
      <c r="D15" s="3"/>
      <c r="E15" s="12">
        <v>46238</v>
      </c>
      <c r="F15" s="7">
        <v>1</v>
      </c>
      <c r="G15" s="15">
        <f>(D15-(0)+0-(F15*Ventas!AE224*1))</f>
        <v>-2.51105</v>
      </c>
      <c r="H15" s="18">
        <f>(G15/(Ventas!AE224*1)/60)</f>
        <v>-1.6666666666666666E-2</v>
      </c>
      <c r="I15" s="8">
        <v>208</v>
      </c>
      <c r="J15" s="15">
        <f>IF(G15&gt;0,G15+I15,I15)</f>
        <v>208</v>
      </c>
      <c r="K15" s="15">
        <v>3.23</v>
      </c>
      <c r="L15" s="15">
        <v>52</v>
      </c>
      <c r="M15" s="17">
        <v>5.7700000000000004E-4</v>
      </c>
      <c r="N15" s="12">
        <v>46275</v>
      </c>
      <c r="O15" s="7">
        <v>37</v>
      </c>
      <c r="P15" s="15">
        <f>(IF(G15&gt;0,G15+I15,I15)-(O15*Ventas!AE224*1))</f>
        <v>115.09115</v>
      </c>
      <c r="Q15" s="18">
        <f>(P15/(Ventas!AE224*1)/60)</f>
        <v>0.76389790459502327</v>
      </c>
      <c r="R15" s="8">
        <v>312</v>
      </c>
      <c r="S15" s="15">
        <f>IF(P15&gt;0,P15+R15,R15)</f>
        <v>427.09114999999997</v>
      </c>
      <c r="T15" s="15">
        <v>3.26</v>
      </c>
      <c r="U15" s="15">
        <v>52</v>
      </c>
      <c r="V15" s="17">
        <v>5.7700000000000004E-4</v>
      </c>
      <c r="W15" s="12">
        <v>46331</v>
      </c>
      <c r="X15" s="7">
        <v>56</v>
      </c>
      <c r="Y15" s="15">
        <f>(IF(P15&gt;0,P15+R15,R15)-(X15*Ventas!AE224*1))</f>
        <v>286.47235000000001</v>
      </c>
      <c r="Z15" s="18">
        <f>(Y15/(Ventas!AE224*1)/60)</f>
        <v>1.9014114281542251</v>
      </c>
      <c r="AA15" s="15">
        <f>(120*(Ventas!AE224*1) - IF(Y15&gt;0,Y15,0))</f>
        <v>14.853650000000016</v>
      </c>
      <c r="AB15" s="96">
        <v>156</v>
      </c>
      <c r="AC15" s="15">
        <f>IF(Y15&gt;0,Y15+IF(AB15&gt;0,AB15,0),AB15)</f>
        <v>442.47235000000001</v>
      </c>
      <c r="AD15" s="16">
        <v>3.23</v>
      </c>
      <c r="AE15" s="8">
        <v>3025</v>
      </c>
      <c r="AF15" s="15">
        <f>(AC15-(60*Ventas!AE224*1))</f>
        <v>291.80934999999999</v>
      </c>
      <c r="AG15" s="18">
        <f>(AF15/(Ventas!AE224*1)/60)</f>
        <v>1.9368348566004923</v>
      </c>
      <c r="AH15" s="1" t="s">
        <v>35</v>
      </c>
      <c r="AI15">
        <f t="shared" si="0"/>
        <v>503.88</v>
      </c>
    </row>
    <row r="16" spans="1:35" x14ac:dyDescent="0.25">
      <c r="A16" s="1"/>
      <c r="B16" s="66" t="s">
        <v>552</v>
      </c>
      <c r="C16" s="14" t="s">
        <v>553</v>
      </c>
      <c r="D16" s="3"/>
      <c r="E16" s="12">
        <v>46238</v>
      </c>
      <c r="F16" s="7">
        <v>1</v>
      </c>
      <c r="G16" s="15">
        <f>(D16-(0)+0-(F16*Ventas!AE50*1))</f>
        <v>-2.17</v>
      </c>
      <c r="H16" s="18">
        <f>(G16/(Ventas!AE50*1)/60)</f>
        <v>-1.6666666666666666E-2</v>
      </c>
      <c r="I16" s="8">
        <v>0</v>
      </c>
      <c r="J16" s="15">
        <f>IF(G16&gt;0,G16+I16,I16)</f>
        <v>0</v>
      </c>
      <c r="K16" s="3"/>
      <c r="L16" s="15">
        <v>120</v>
      </c>
      <c r="M16" s="17">
        <v>2.9999999999999997E-4</v>
      </c>
      <c r="N16" s="12">
        <v>46275</v>
      </c>
      <c r="O16" s="7">
        <v>37</v>
      </c>
      <c r="P16" s="15">
        <f>(IF(G16&gt;0,G16+I16,I16)-(O16*Ventas!AE50*0.9189))</f>
        <v>-73.778480999999999</v>
      </c>
      <c r="Q16" s="18">
        <f>(P16/(Ventas!AE50*0.9189)/60)</f>
        <v>-0.6166666666666667</v>
      </c>
      <c r="R16" s="8">
        <v>0</v>
      </c>
      <c r="S16" s="15">
        <f>IF(P16&gt;0,P16+R16,R16)</f>
        <v>0</v>
      </c>
      <c r="T16" s="3"/>
      <c r="U16" s="15">
        <v>120</v>
      </c>
      <c r="V16" s="17">
        <v>2.9999999999999997E-4</v>
      </c>
      <c r="W16" s="12">
        <v>46331</v>
      </c>
      <c r="X16" s="7">
        <v>56</v>
      </c>
      <c r="Y16" s="15">
        <f>(IF(P16&gt;0,P16+R16,R16)-(X16*Ventas!AE50*0.925))</f>
        <v>-112.40600000000001</v>
      </c>
      <c r="Z16" s="18">
        <f>(Y16/(Ventas!AE50*0.925)/60)</f>
        <v>-0.93333333333333335</v>
      </c>
      <c r="AA16" s="15">
        <f>(120*(Ventas!AE50*1.485) - IF(Y16&gt;0,Y16,0))</f>
        <v>386.69400000000002</v>
      </c>
      <c r="AB16" s="15">
        <v>120</v>
      </c>
      <c r="AC16" s="15">
        <f>IF(Y16&gt;0,Y16+IF(AB16&gt;0,AB16,0),AB16)</f>
        <v>120</v>
      </c>
      <c r="AD16" s="16">
        <v>0.56000000000000005</v>
      </c>
      <c r="AE16" s="8">
        <v>3027</v>
      </c>
      <c r="AF16" s="15">
        <f>(AC16-(60*Ventas!AE50*1.485))</f>
        <v>-73.347000000000008</v>
      </c>
      <c r="AG16" s="18">
        <f>(AF16/(Ventas!AE50*1.485)/60)</f>
        <v>-0.37935421806389547</v>
      </c>
      <c r="AH16" s="1" t="s">
        <v>35</v>
      </c>
      <c r="AI16">
        <f t="shared" si="0"/>
        <v>67.2</v>
      </c>
    </row>
    <row r="17" spans="1:35" x14ac:dyDescent="0.25">
      <c r="A17" s="1"/>
      <c r="B17" s="1" t="s">
        <v>252</v>
      </c>
      <c r="C17" s="14" t="s">
        <v>253</v>
      </c>
      <c r="D17" s="3"/>
      <c r="E17" s="12">
        <v>46238</v>
      </c>
      <c r="F17" s="7">
        <v>1</v>
      </c>
      <c r="G17" s="15">
        <f>(D17-(0)+0-(F17*Ventas!AE150*1))</f>
        <v>-1.93</v>
      </c>
      <c r="H17" s="18">
        <f>(G17/(Ventas!AE150*1)/60)</f>
        <v>-1.6666666666666666E-2</v>
      </c>
      <c r="I17" s="8">
        <v>0</v>
      </c>
      <c r="J17" s="15">
        <f>IF(G17&gt;0,G17+I17,I17)</f>
        <v>0</v>
      </c>
      <c r="K17" s="3"/>
      <c r="L17" s="3">
        <v>84</v>
      </c>
      <c r="M17" s="3"/>
      <c r="N17" s="12">
        <v>46275</v>
      </c>
      <c r="O17" s="7">
        <v>37</v>
      </c>
      <c r="P17" s="15">
        <f>(IF(G17&gt;0,G17+I17,I17)-(O17*Ventas!AE150*1))</f>
        <v>-71.41</v>
      </c>
      <c r="Q17" s="18">
        <f>(P17/(Ventas!AE150*1)/60)</f>
        <v>-0.6166666666666667</v>
      </c>
      <c r="R17" s="8">
        <v>168</v>
      </c>
      <c r="S17" s="15">
        <f>IF(P17&gt;0,P17+R17,R17)</f>
        <v>168</v>
      </c>
      <c r="T17" s="15">
        <v>0.98</v>
      </c>
      <c r="U17" s="3">
        <v>84</v>
      </c>
      <c r="V17" s="3"/>
      <c r="W17" s="12">
        <v>46331</v>
      </c>
      <c r="X17" s="7">
        <v>56</v>
      </c>
      <c r="Y17" s="15">
        <f>(IF(P17&gt;0,P17+R17,R17)-(X17*Ventas!AE150*1))</f>
        <v>59.92</v>
      </c>
      <c r="Z17" s="18">
        <f>(Y17/(Ventas!AE150*1)/60)</f>
        <v>0.51744386873920556</v>
      </c>
      <c r="AA17" s="15">
        <f>(120*(Ventas!AE150*1) - IF(Y17&gt;0,Y17,0))</f>
        <v>171.68</v>
      </c>
      <c r="AB17" s="15">
        <v>252</v>
      </c>
      <c r="AC17" s="15">
        <f>IF(Y17&gt;0,Y17+IF(AB17&gt;0,AB17,0),AB17)</f>
        <v>311.92</v>
      </c>
      <c r="AD17" s="16">
        <v>0.96</v>
      </c>
      <c r="AE17" s="8">
        <v>3027</v>
      </c>
      <c r="AF17" s="15">
        <f>(AC17-(60*Ventas!AE150*1))</f>
        <v>196.12</v>
      </c>
      <c r="AG17" s="18">
        <f>(AF17/(Ventas!AE150*1)/60)</f>
        <v>1.6936096718480138</v>
      </c>
      <c r="AH17" s="1" t="s">
        <v>35</v>
      </c>
      <c r="AI17">
        <f t="shared" si="0"/>
        <v>241.92</v>
      </c>
    </row>
    <row r="18" spans="1:35" x14ac:dyDescent="0.25">
      <c r="A18" s="1"/>
      <c r="B18" s="1" t="s">
        <v>250</v>
      </c>
      <c r="C18" s="14" t="s">
        <v>251</v>
      </c>
      <c r="D18" s="3"/>
      <c r="E18" s="12">
        <v>46238</v>
      </c>
      <c r="F18" s="7">
        <v>1</v>
      </c>
      <c r="G18" s="15">
        <f>(D18-(0)+0-(F18*Ventas!AE149*1))</f>
        <v>-1.85</v>
      </c>
      <c r="H18" s="18">
        <f>(G18/(Ventas!AE149*1)/60)</f>
        <v>-1.6666666666666666E-2</v>
      </c>
      <c r="I18" s="8">
        <v>0</v>
      </c>
      <c r="J18" s="15">
        <f>IF(G18&gt;0,G18+I18,I18)</f>
        <v>0</v>
      </c>
      <c r="K18" s="3"/>
      <c r="L18" s="3">
        <v>84</v>
      </c>
      <c r="M18" s="3"/>
      <c r="N18" s="12">
        <v>46275</v>
      </c>
      <c r="O18" s="7">
        <v>37</v>
      </c>
      <c r="P18" s="15">
        <f>(IF(G18&gt;0,G18+I18,I18)-(O18*Ventas!AE149*1))</f>
        <v>-68.45</v>
      </c>
      <c r="Q18" s="18">
        <f>(P18/(Ventas!AE149*1)/60)</f>
        <v>-0.6166666666666667</v>
      </c>
      <c r="R18" s="8">
        <v>84</v>
      </c>
      <c r="S18" s="15">
        <f>IF(P18&gt;0,P18+R18,R18)</f>
        <v>84</v>
      </c>
      <c r="T18" s="15">
        <v>0.98</v>
      </c>
      <c r="U18" s="3">
        <v>84</v>
      </c>
      <c r="V18" s="3"/>
      <c r="W18" s="12">
        <v>46331</v>
      </c>
      <c r="X18" s="7">
        <v>56</v>
      </c>
      <c r="Y18" s="15">
        <f>(IF(P18&gt;0,P18+R18,R18)-(X18*Ventas!AE149*1))</f>
        <v>-19.600000000000009</v>
      </c>
      <c r="Z18" s="18">
        <f>(Y18/(Ventas!AE149*1)/60)</f>
        <v>-0.17657657657657663</v>
      </c>
      <c r="AA18" s="15">
        <f>(120*(Ventas!AE149*1) - IF(Y18&gt;0,Y18,0))</f>
        <v>222</v>
      </c>
      <c r="AB18" s="15">
        <v>252</v>
      </c>
      <c r="AC18" s="15">
        <f>IF(Y18&gt;0,Y18+IF(AB18&gt;0,AB18,0),AB18)</f>
        <v>252</v>
      </c>
      <c r="AD18" s="16">
        <v>0.96</v>
      </c>
      <c r="AE18" s="8">
        <v>3027</v>
      </c>
      <c r="AF18" s="15">
        <f>(AC18-(60*Ventas!AE149*1))</f>
        <v>141</v>
      </c>
      <c r="AG18" s="18">
        <f>(AF18/(Ventas!AE149*1)/60)</f>
        <v>1.2702702702702702</v>
      </c>
      <c r="AH18" s="1" t="s">
        <v>35</v>
      </c>
      <c r="AI18">
        <f t="shared" si="0"/>
        <v>241.92</v>
      </c>
    </row>
    <row r="19" spans="1:35" x14ac:dyDescent="0.25">
      <c r="A19" s="1" t="s">
        <v>449</v>
      </c>
      <c r="B19" s="1" t="s">
        <v>450</v>
      </c>
      <c r="C19" s="14" t="s">
        <v>451</v>
      </c>
      <c r="D19" s="3"/>
      <c r="E19" s="12">
        <v>46238</v>
      </c>
      <c r="F19" s="7">
        <v>1</v>
      </c>
      <c r="G19" s="15">
        <f>(D19-(0)+0-(F19*Ventas!AE227*1))</f>
        <v>-1.7851166666666669</v>
      </c>
      <c r="H19" s="18">
        <f>(G19/(Ventas!AE227*1)/60)</f>
        <v>-1.6666666666666666E-2</v>
      </c>
      <c r="I19" s="8">
        <v>156</v>
      </c>
      <c r="J19" s="15">
        <f>IF(G19&gt;0,G19+I19,I19)</f>
        <v>156</v>
      </c>
      <c r="K19" s="15">
        <v>2.85</v>
      </c>
      <c r="L19" s="15">
        <v>52</v>
      </c>
      <c r="M19" s="17">
        <v>5.7700000000000004E-4</v>
      </c>
      <c r="N19" s="12">
        <v>46275</v>
      </c>
      <c r="O19" s="7">
        <v>37</v>
      </c>
      <c r="P19" s="15">
        <f>(IF(G19&gt;0,G19+I19,I19)-(O19*Ventas!AE227*1))</f>
        <v>89.95068333333333</v>
      </c>
      <c r="Q19" s="18">
        <f>(P19/(Ventas!AE227*1)/60)</f>
        <v>0.83982077112918219</v>
      </c>
      <c r="R19" s="8">
        <v>156</v>
      </c>
      <c r="S19" s="15">
        <f>IF(P19&gt;0,P19+R19,R19)</f>
        <v>245.95068333333333</v>
      </c>
      <c r="T19" s="15">
        <v>2.88</v>
      </c>
      <c r="U19" s="15">
        <v>52</v>
      </c>
      <c r="V19" s="17">
        <v>5.7700000000000004E-4</v>
      </c>
      <c r="W19" s="12">
        <v>46331</v>
      </c>
      <c r="X19" s="7">
        <v>56</v>
      </c>
      <c r="Y19" s="15">
        <f>(IF(P19&gt;0,P19+R19,R19)-(X19*Ventas!AE227*1))</f>
        <v>145.98415</v>
      </c>
      <c r="Z19" s="18">
        <f>(Y19/(Ventas!AE227*1)/60)</f>
        <v>1.3629748755916977</v>
      </c>
      <c r="AA19" s="15">
        <f>(120*(Ventas!AE227*1) - IF(Y19&gt;0,Y19,0))</f>
        <v>68.229850000000027</v>
      </c>
      <c r="AB19" s="96">
        <v>410</v>
      </c>
      <c r="AC19" s="15">
        <f>IF(Y19&gt;0,Y19+IF(AB19&gt;0,AB19,0),AB19)</f>
        <v>555.98415</v>
      </c>
      <c r="AD19" s="16">
        <v>2.85</v>
      </c>
      <c r="AE19" s="8">
        <v>3025</v>
      </c>
      <c r="AF19" s="15">
        <f>(AC19-(60*Ventas!AE227*1))</f>
        <v>448.87714999999997</v>
      </c>
      <c r="AG19" s="18">
        <f>(AF19/(Ventas!AE227*1)/60)</f>
        <v>4.1909226287730954</v>
      </c>
      <c r="AH19" s="1" t="s">
        <v>35</v>
      </c>
      <c r="AI19">
        <f t="shared" si="0"/>
        <v>1168.5</v>
      </c>
    </row>
    <row r="20" spans="1:35" x14ac:dyDescent="0.25">
      <c r="A20" s="1"/>
      <c r="B20" s="59" t="s">
        <v>126</v>
      </c>
      <c r="C20" s="14" t="s">
        <v>127</v>
      </c>
      <c r="D20" s="3"/>
      <c r="E20" s="12">
        <v>46238</v>
      </c>
      <c r="F20" s="7">
        <v>1</v>
      </c>
      <c r="G20" s="15">
        <f>(D20-(0)+0-(F20*Ventas!AE90*1))</f>
        <v>-1.71</v>
      </c>
      <c r="H20" s="18">
        <f>(G20/(Ventas!AE90*1)/60)</f>
        <v>-1.6666666666666666E-2</v>
      </c>
      <c r="I20" s="8">
        <v>0</v>
      </c>
      <c r="J20" s="15">
        <f>IF(G20&gt;0,G20+I20,I20)</f>
        <v>0</v>
      </c>
      <c r="K20" s="3"/>
      <c r="L20" s="15">
        <v>84</v>
      </c>
      <c r="M20" s="17">
        <v>4.0200000000000001E-4</v>
      </c>
      <c r="N20" s="12">
        <v>46275</v>
      </c>
      <c r="O20" s="7">
        <v>37</v>
      </c>
      <c r="P20" s="15">
        <f>(IF(G20&gt;0,G20+I20,I20)-(O20*Ventas!AE90*1))</f>
        <v>-63.269999999999996</v>
      </c>
      <c r="Q20" s="18">
        <f>(P20/(Ventas!AE90*1)/60)</f>
        <v>-0.6166666666666667</v>
      </c>
      <c r="R20" s="8">
        <v>0</v>
      </c>
      <c r="S20" s="15">
        <f>IF(P20&gt;0,P20+R20,R20)</f>
        <v>0</v>
      </c>
      <c r="T20" s="3"/>
      <c r="U20" s="15">
        <v>84</v>
      </c>
      <c r="V20" s="17">
        <v>4.0200000000000001E-4</v>
      </c>
      <c r="W20" s="12">
        <v>46331</v>
      </c>
      <c r="X20" s="7">
        <v>56</v>
      </c>
      <c r="Y20" s="15">
        <f>(IF(P20&gt;0,P20+R20,R20)-(X20*Ventas!AE90*1))</f>
        <v>-95.759999999999991</v>
      </c>
      <c r="Z20" s="18">
        <f>(Y20/(Ventas!AE90*1)/60)</f>
        <v>-0.93333333333333324</v>
      </c>
      <c r="AA20" s="15">
        <f>(120*(Ventas!AE90*1) - IF(Y20&gt;0,Y20,0))</f>
        <v>205.2</v>
      </c>
      <c r="AB20" s="15">
        <v>0</v>
      </c>
      <c r="AC20" s="15">
        <f>IF(Y20&gt;0,Y20+IF(AB20&gt;0,AB20,0),AB20)</f>
        <v>0</v>
      </c>
      <c r="AD20" s="16">
        <v>1.26</v>
      </c>
      <c r="AE20" s="8">
        <v>3027</v>
      </c>
      <c r="AF20" s="15">
        <f>(AC20-(60*Ventas!AE90*1))</f>
        <v>-102.6</v>
      </c>
      <c r="AG20" s="18">
        <f>(AF20/(Ventas!AE90*1)/60)</f>
        <v>-1</v>
      </c>
      <c r="AH20" s="1" t="s">
        <v>32</v>
      </c>
      <c r="AI20">
        <f t="shared" si="0"/>
        <v>0</v>
      </c>
    </row>
    <row r="21" spans="1:35" x14ac:dyDescent="0.25">
      <c r="A21" s="1" t="s">
        <v>366</v>
      </c>
      <c r="B21" s="85" t="s">
        <v>380</v>
      </c>
      <c r="C21" s="14" t="s">
        <v>381</v>
      </c>
      <c r="D21" s="3"/>
      <c r="E21" s="12">
        <v>46238</v>
      </c>
      <c r="F21" s="7">
        <v>1</v>
      </c>
      <c r="G21" s="15">
        <f>(D21-(0)+0-(F21*Ventas!AE200*1))</f>
        <v>-1.6959833333333332</v>
      </c>
      <c r="H21" s="18">
        <f>(G21/(Ventas!AE200*1)/60)</f>
        <v>-1.6666666666666666E-2</v>
      </c>
      <c r="I21" s="8">
        <v>312</v>
      </c>
      <c r="J21" s="15">
        <f>IF(G21&gt;0,G21+I21,I21)</f>
        <v>312</v>
      </c>
      <c r="K21" s="15">
        <v>1.34</v>
      </c>
      <c r="L21" s="15">
        <v>52</v>
      </c>
      <c r="M21" s="17">
        <v>6.4899999999999995E-4</v>
      </c>
      <c r="N21" s="12">
        <v>46275</v>
      </c>
      <c r="O21" s="7">
        <v>37</v>
      </c>
      <c r="P21" s="15">
        <f>(IF(G21&gt;0,G21+I21,I21)-(O21*Ventas!AE200*1))</f>
        <v>249.24861666666666</v>
      </c>
      <c r="Q21" s="18">
        <f>(P21/(Ventas!AE200*1)/60)</f>
        <v>2.4494011995662959</v>
      </c>
      <c r="R21" s="8">
        <v>52</v>
      </c>
      <c r="S21" s="15">
        <f>IF(P21&gt;0,P21+R21,R21)</f>
        <v>301.24861666666663</v>
      </c>
      <c r="T21" s="15">
        <v>1.35</v>
      </c>
      <c r="U21" s="15">
        <v>52</v>
      </c>
      <c r="V21" s="17">
        <v>6.4899999999999995E-4</v>
      </c>
      <c r="W21" s="12">
        <v>46331</v>
      </c>
      <c r="X21" s="7">
        <v>56</v>
      </c>
      <c r="Y21" s="15">
        <f>(IF(P21&gt;0,P21+R21,R21)-(X21*Ventas!AE200*1))</f>
        <v>206.27354999999997</v>
      </c>
      <c r="Z21" s="18">
        <f>(Y21/(Ventas!AE200*1)/60)</f>
        <v>2.0270791772717893</v>
      </c>
      <c r="AA21" s="15">
        <f>(120*(Ventas!AE200*1) - IF(Y21&gt;0,Y21,0))</f>
        <v>-2.7555499999999995</v>
      </c>
      <c r="AB21" s="15">
        <v>0</v>
      </c>
      <c r="AC21" s="15">
        <f>IF(Y21&gt;0,Y21+IF(AB21&gt;0,AB21,0),AB21)</f>
        <v>206.27354999999997</v>
      </c>
      <c r="AD21" s="16">
        <v>1.34</v>
      </c>
      <c r="AE21" s="8">
        <v>3025</v>
      </c>
      <c r="AF21" s="15">
        <f>(AC21-(60*Ventas!AE200*1))</f>
        <v>104.51454999999999</v>
      </c>
      <c r="AG21" s="18">
        <f>(AF21/(Ventas!AE200*1)/60)</f>
        <v>1.0270791772717893</v>
      </c>
      <c r="AH21" s="1" t="s">
        <v>35</v>
      </c>
      <c r="AI21">
        <f t="shared" si="0"/>
        <v>0</v>
      </c>
    </row>
    <row r="22" spans="1:35" x14ac:dyDescent="0.25">
      <c r="A22" s="1" t="s">
        <v>444</v>
      </c>
      <c r="B22" s="33" t="s">
        <v>445</v>
      </c>
      <c r="C22" s="14" t="s">
        <v>446</v>
      </c>
      <c r="D22" s="3"/>
      <c r="E22" s="12">
        <v>46238</v>
      </c>
      <c r="F22" s="7">
        <v>1</v>
      </c>
      <c r="G22" s="15">
        <f>(D22-(0)+0-(F22*Ventas!AE225*1))</f>
        <v>-1.6270333333333333</v>
      </c>
      <c r="H22" s="18">
        <f>(G22/(Ventas!AE225*1)/60)</f>
        <v>-1.6666666666666666E-2</v>
      </c>
      <c r="I22" s="8">
        <v>0</v>
      </c>
      <c r="J22" s="15">
        <f>IF(G22&gt;0,G22+I22,I22)</f>
        <v>0</v>
      </c>
      <c r="K22" s="3"/>
      <c r="L22" s="15">
        <v>10</v>
      </c>
      <c r="M22" s="17">
        <v>1.08E-3</v>
      </c>
      <c r="N22" s="12">
        <v>46275</v>
      </c>
      <c r="O22" s="7">
        <v>37</v>
      </c>
      <c r="P22" s="15">
        <f>(IF(G22&gt;0,G22+I22,I22)-(O22*Ventas!AE225*1))</f>
        <v>-60.20023333333333</v>
      </c>
      <c r="Q22" s="18">
        <f>(P22/(Ventas!AE225*1)/60)</f>
        <v>-0.6166666666666667</v>
      </c>
      <c r="R22" s="8">
        <v>0</v>
      </c>
      <c r="S22" s="15">
        <f>IF(P22&gt;0,P22+R22,R22)</f>
        <v>0</v>
      </c>
      <c r="T22" s="3"/>
      <c r="U22" s="15">
        <v>10</v>
      </c>
      <c r="V22" s="17">
        <v>1.08E-3</v>
      </c>
      <c r="W22" s="12">
        <v>46331</v>
      </c>
      <c r="X22" s="7">
        <v>56</v>
      </c>
      <c r="Y22" s="15">
        <f>(IF(P22&gt;0,P22+R22,R22)-(X22*Ventas!AE225*1))</f>
        <v>-91.113866666666667</v>
      </c>
      <c r="Z22" s="18">
        <f>(Y22/(Ventas!AE225*1)/60)</f>
        <v>-0.93333333333333335</v>
      </c>
      <c r="AA22" s="15">
        <f>(120*(Ventas!AE225*1) - IF(Y22&gt;0,Y22,0))</f>
        <v>195.244</v>
      </c>
      <c r="AB22" s="15">
        <v>0</v>
      </c>
      <c r="AC22" s="15">
        <f>IF(Y22&gt;0,Y22+IF(AB22&gt;0,AB22,0),AB22)</f>
        <v>0</v>
      </c>
      <c r="AD22" s="16">
        <v>6.83</v>
      </c>
      <c r="AE22" s="8">
        <v>3010</v>
      </c>
      <c r="AF22" s="15">
        <f>(AC22-(60*Ventas!AE225*1))</f>
        <v>-97.622</v>
      </c>
      <c r="AG22" s="18">
        <f>(AF22/(Ventas!AE225*1)/60)</f>
        <v>-1</v>
      </c>
      <c r="AH22" s="1" t="s">
        <v>32</v>
      </c>
      <c r="AI22">
        <f t="shared" si="0"/>
        <v>0</v>
      </c>
    </row>
    <row r="23" spans="1:35" x14ac:dyDescent="0.25">
      <c r="A23" s="1"/>
      <c r="B23" s="1" t="s">
        <v>94</v>
      </c>
      <c r="C23" s="14" t="s">
        <v>95</v>
      </c>
      <c r="D23" s="3"/>
      <c r="E23" s="12">
        <v>46238</v>
      </c>
      <c r="F23" s="7">
        <v>1</v>
      </c>
      <c r="G23" s="15">
        <f>(D23-(0)+0-(F23*Ventas!AE74*1))</f>
        <v>-1.51</v>
      </c>
      <c r="H23" s="18">
        <f>(G23/(Ventas!AE74*1)/60)</f>
        <v>-1.6666666666666666E-2</v>
      </c>
      <c r="I23" s="8">
        <v>252</v>
      </c>
      <c r="J23" s="15">
        <f>IF(G23&gt;0,G23+I23,I23)</f>
        <v>252</v>
      </c>
      <c r="K23" s="15">
        <v>1.2</v>
      </c>
      <c r="L23" s="15">
        <v>84</v>
      </c>
      <c r="M23" s="17">
        <v>4.0200000000000001E-4</v>
      </c>
      <c r="N23" s="12">
        <v>46275</v>
      </c>
      <c r="O23" s="7">
        <v>37</v>
      </c>
      <c r="P23" s="15">
        <f>(IF(G23&gt;0,G23+I23,I23)-(O23*Ventas!AE74*1))</f>
        <v>196.13</v>
      </c>
      <c r="Q23" s="18">
        <f>(P23/(Ventas!AE74*1)/60)</f>
        <v>2.1647902869757174</v>
      </c>
      <c r="R23" s="8">
        <v>0</v>
      </c>
      <c r="S23" s="15">
        <f>IF(P23&gt;0,P23+R23,R23)</f>
        <v>196.13</v>
      </c>
      <c r="T23" s="3"/>
      <c r="U23" s="15">
        <v>84</v>
      </c>
      <c r="V23" s="17">
        <v>4.0200000000000001E-4</v>
      </c>
      <c r="W23" s="12">
        <v>46331</v>
      </c>
      <c r="X23" s="7">
        <v>56</v>
      </c>
      <c r="Y23" s="15">
        <f>(IF(P23&gt;0,P23+R23,R23)-(X23*Ventas!AE74*1))</f>
        <v>111.57</v>
      </c>
      <c r="Z23" s="18">
        <f>(Y23/(Ventas!AE74*1)/60)</f>
        <v>1.2314569536423838</v>
      </c>
      <c r="AA23" s="15">
        <f>(120*(Ventas!AE74*1) - IF(Y23&gt;0,Y23,0))</f>
        <v>69.63</v>
      </c>
      <c r="AB23" s="89">
        <v>0</v>
      </c>
      <c r="AC23" s="15">
        <f>IF(Y23&gt;0,Y23+IF(AB23&gt;0,AB23,0),AB23)</f>
        <v>111.57</v>
      </c>
      <c r="AD23" s="16">
        <v>1.2</v>
      </c>
      <c r="AE23" s="8">
        <v>3025</v>
      </c>
      <c r="AF23" s="15">
        <f>(AC23-(60*Ventas!AE74*1))</f>
        <v>20.97</v>
      </c>
      <c r="AG23" s="18">
        <f>(AF23/(Ventas!AE74*1)/60)</f>
        <v>0.23145695364238411</v>
      </c>
      <c r="AH23" s="1" t="s">
        <v>35</v>
      </c>
      <c r="AI23">
        <f t="shared" si="0"/>
        <v>0</v>
      </c>
    </row>
    <row r="24" spans="1:35" x14ac:dyDescent="0.25">
      <c r="A24" s="1"/>
      <c r="B24" s="46" t="s">
        <v>186</v>
      </c>
      <c r="C24" s="14" t="s">
        <v>187</v>
      </c>
      <c r="D24" s="3"/>
      <c r="E24" s="12">
        <v>46238</v>
      </c>
      <c r="F24" s="7">
        <v>1</v>
      </c>
      <c r="G24" s="15">
        <f>(D24-(0)+0-(F24*Ventas!AE117*1))</f>
        <v>-1.7</v>
      </c>
      <c r="H24" s="18">
        <f>(G24/(Ventas!AE117*1)/60)</f>
        <v>-1.6666666666666666E-2</v>
      </c>
      <c r="I24" s="8">
        <v>420</v>
      </c>
      <c r="J24" s="15">
        <f>IF(G24&gt;0,G24+I24,I24)</f>
        <v>420</v>
      </c>
      <c r="K24" s="15">
        <v>0.6</v>
      </c>
      <c r="L24" s="15">
        <v>84</v>
      </c>
      <c r="M24" s="17">
        <v>3.57E-4</v>
      </c>
      <c r="N24" s="12">
        <v>46275</v>
      </c>
      <c r="O24" s="7">
        <v>37</v>
      </c>
      <c r="P24" s="15">
        <f>(IF(G24&gt;0,G24+I24,I24)-(O24*Ventas!AE117*1))</f>
        <v>357.1</v>
      </c>
      <c r="Q24" s="18">
        <f>(P24/(Ventas!AE117*1)/60)</f>
        <v>3.5009803921568632</v>
      </c>
      <c r="R24" s="8">
        <v>84</v>
      </c>
      <c r="S24" s="15">
        <f>IF(P24&gt;0,P24+R24,R24)</f>
        <v>441.1</v>
      </c>
      <c r="T24" s="15">
        <v>0.61</v>
      </c>
      <c r="U24" s="15">
        <v>84</v>
      </c>
      <c r="V24" s="17">
        <v>3.57E-4</v>
      </c>
      <c r="W24" s="12">
        <v>46331</v>
      </c>
      <c r="X24" s="7">
        <v>56</v>
      </c>
      <c r="Y24" s="15">
        <f>(IF(P24&gt;0,P24+R24,R24)-(X24*Ventas!AE117*1))</f>
        <v>345.90000000000003</v>
      </c>
      <c r="Z24" s="18">
        <f>(Y24/(Ventas!AE117*1)/60)</f>
        <v>3.3911764705882357</v>
      </c>
      <c r="AA24" s="15">
        <f>(120*(Ventas!AE117*1) - IF(Y24&gt;0,Y24,0))</f>
        <v>-141.90000000000003</v>
      </c>
      <c r="AB24" s="15">
        <v>0</v>
      </c>
      <c r="AC24" s="15">
        <f>IF(Y24&gt;0,Y24+IF(AB24&gt;0,AB24,0),AB24)</f>
        <v>345.90000000000003</v>
      </c>
      <c r="AD24" s="16">
        <v>0.6</v>
      </c>
      <c r="AE24" s="8">
        <v>3025</v>
      </c>
      <c r="AF24" s="15">
        <f>(AC24-(60*Ventas!AE117*1))</f>
        <v>243.90000000000003</v>
      </c>
      <c r="AG24" s="18">
        <f>(AF24/(Ventas!AE117*1)/60)</f>
        <v>2.3911764705882357</v>
      </c>
      <c r="AH24" s="1" t="s">
        <v>35</v>
      </c>
      <c r="AI24">
        <f t="shared" si="0"/>
        <v>0</v>
      </c>
    </row>
    <row r="25" spans="1:35" x14ac:dyDescent="0.25">
      <c r="A25" s="1"/>
      <c r="B25" s="55" t="s">
        <v>128</v>
      </c>
      <c r="C25" s="14" t="s">
        <v>129</v>
      </c>
      <c r="D25" s="3"/>
      <c r="E25" s="12">
        <v>46238</v>
      </c>
      <c r="F25" s="7">
        <v>1</v>
      </c>
      <c r="G25" s="15">
        <f>(D25-(0)+0-(F25*Ventas!AE91*1))</f>
        <v>-1.36</v>
      </c>
      <c r="H25" s="18">
        <f>(G25/(Ventas!AE91*1)/60)</f>
        <v>-1.6666666666666666E-2</v>
      </c>
      <c r="I25" s="8">
        <v>0</v>
      </c>
      <c r="J25" s="15">
        <f>IF(G25&gt;0,G25+I25,I25)</f>
        <v>0</v>
      </c>
      <c r="K25" s="3"/>
      <c r="L25" s="15">
        <v>60</v>
      </c>
      <c r="M25" s="17">
        <v>3.9399999999999998E-4</v>
      </c>
      <c r="N25" s="12">
        <v>46275</v>
      </c>
      <c r="O25" s="7">
        <v>37</v>
      </c>
      <c r="P25" s="15">
        <f>(IF(G25&gt;0,G25+I25,I25)-(O25*Ventas!AE91*1))</f>
        <v>-50.32</v>
      </c>
      <c r="Q25" s="18">
        <f>(P25/(Ventas!AE91*1)/60)</f>
        <v>-0.6166666666666667</v>
      </c>
      <c r="R25" s="8">
        <v>0</v>
      </c>
      <c r="S25" s="15">
        <f>IF(P25&gt;0,P25+R25,R25)</f>
        <v>0</v>
      </c>
      <c r="T25" s="3"/>
      <c r="U25" s="15">
        <v>60</v>
      </c>
      <c r="V25" s="17">
        <v>3.9399999999999998E-4</v>
      </c>
      <c r="W25" s="12">
        <v>46331</v>
      </c>
      <c r="X25" s="7">
        <v>56</v>
      </c>
      <c r="Y25" s="15">
        <f>(IF(P25&gt;0,P25+R25,R25)-(X25*Ventas!AE91*1))</f>
        <v>-76.160000000000011</v>
      </c>
      <c r="Z25" s="18">
        <f>(Y25/(Ventas!AE91*1)/60)</f>
        <v>-0.93333333333333346</v>
      </c>
      <c r="AA25" s="15">
        <f>(120*(Ventas!AE91*1) - IF(Y25&gt;0,Y25,0))</f>
        <v>163.20000000000002</v>
      </c>
      <c r="AB25" s="15">
        <v>0</v>
      </c>
      <c r="AC25" s="15">
        <f>IF(Y25&gt;0,Y25+IF(AB25&gt;0,AB25,0),AB25)</f>
        <v>0</v>
      </c>
      <c r="AD25" s="16">
        <v>1.47</v>
      </c>
      <c r="AE25" s="8">
        <v>3027</v>
      </c>
      <c r="AF25" s="15">
        <f>(AC25-(60*Ventas!AE91*1))</f>
        <v>-81.600000000000009</v>
      </c>
      <c r="AG25" s="18">
        <f>(AF25/(Ventas!AE91*1)/60)</f>
        <v>-1</v>
      </c>
      <c r="AH25" s="1" t="s">
        <v>32</v>
      </c>
      <c r="AI25">
        <f t="shared" si="0"/>
        <v>0</v>
      </c>
    </row>
    <row r="26" spans="1:35" x14ac:dyDescent="0.25">
      <c r="A26" s="1"/>
      <c r="B26" s="1" t="s">
        <v>144</v>
      </c>
      <c r="C26" s="14" t="s">
        <v>145</v>
      </c>
      <c r="D26" s="3"/>
      <c r="E26" s="12">
        <v>46238</v>
      </c>
      <c r="F26" s="7">
        <v>1</v>
      </c>
      <c r="G26" s="15">
        <f>(D26-(0)+0-(F26*Ventas!AE99*1))</f>
        <v>-1.33</v>
      </c>
      <c r="H26" s="18">
        <f>(G26/(Ventas!AE99*1)/60)</f>
        <v>-1.6666666666666666E-2</v>
      </c>
      <c r="I26" s="8">
        <v>84</v>
      </c>
      <c r="J26" s="15">
        <f>IF(G26&gt;0,G26+I26,I26)</f>
        <v>84</v>
      </c>
      <c r="K26" s="15">
        <v>1.2</v>
      </c>
      <c r="L26" s="15">
        <v>84</v>
      </c>
      <c r="M26" s="17">
        <v>4.0200000000000001E-4</v>
      </c>
      <c r="N26" s="12">
        <v>46275</v>
      </c>
      <c r="O26" s="7">
        <v>37</v>
      </c>
      <c r="P26" s="15">
        <f>(IF(G26&gt;0,G26+I26,I26)-(O26*Ventas!AE99*1))</f>
        <v>34.79</v>
      </c>
      <c r="Q26" s="18">
        <f>(P26/(Ventas!AE99*1)/60)</f>
        <v>0.43596491228070172</v>
      </c>
      <c r="R26" s="8">
        <v>0</v>
      </c>
      <c r="S26" s="15">
        <f>IF(P26&gt;0,P26+R26,R26)</f>
        <v>34.79</v>
      </c>
      <c r="T26" s="3"/>
      <c r="U26" s="15">
        <v>84</v>
      </c>
      <c r="V26" s="17">
        <v>4.0200000000000001E-4</v>
      </c>
      <c r="W26" s="12">
        <v>46331</v>
      </c>
      <c r="X26" s="7">
        <v>56</v>
      </c>
      <c r="Y26" s="15">
        <f>(IF(P26&gt;0,P26+R26,R26)-(X26*Ventas!AE99*1))</f>
        <v>-39.690000000000005</v>
      </c>
      <c r="Z26" s="18">
        <f>(Y26/(Ventas!AE99*1)/60)</f>
        <v>-0.49736842105263163</v>
      </c>
      <c r="AA26" s="15">
        <f>(120*(Ventas!AE99*1) - IF(Y26&gt;0,Y26,0))</f>
        <v>159.60000000000002</v>
      </c>
      <c r="AB26" s="15">
        <v>168</v>
      </c>
      <c r="AC26" s="15">
        <f>IF(Y26&gt;0,Y26+IF(AB26&gt;0,AB26,0),AB26)</f>
        <v>168</v>
      </c>
      <c r="AD26" s="16">
        <v>1.2</v>
      </c>
      <c r="AE26" s="8">
        <v>3025</v>
      </c>
      <c r="AF26" s="15">
        <f>(AC26-(60*Ventas!AE99*1))</f>
        <v>88.199999999999989</v>
      </c>
      <c r="AG26" s="18">
        <f>(AF26/(Ventas!AE99*1)/60)</f>
        <v>1.1052631578947367</v>
      </c>
      <c r="AH26" s="1" t="s">
        <v>35</v>
      </c>
      <c r="AI26">
        <f t="shared" si="0"/>
        <v>201.6</v>
      </c>
    </row>
    <row r="27" spans="1:35" x14ac:dyDescent="0.25">
      <c r="A27" s="1"/>
      <c r="B27" s="1" t="s">
        <v>244</v>
      </c>
      <c r="C27" s="14" t="s">
        <v>245</v>
      </c>
      <c r="D27" s="3"/>
      <c r="E27" s="12">
        <v>46238</v>
      </c>
      <c r="F27" s="7">
        <v>1</v>
      </c>
      <c r="G27" s="15">
        <f>(D27-(0)+0-(F27*Ventas!AE146*1))</f>
        <v>-1.2</v>
      </c>
      <c r="H27" s="18">
        <f>(G27/(Ventas!AE146*1)/60)</f>
        <v>-1.6666666666666666E-2</v>
      </c>
      <c r="I27" s="8">
        <v>0</v>
      </c>
      <c r="J27" s="15">
        <f>IF(G27&gt;0,G27+I27,I27)</f>
        <v>0</v>
      </c>
      <c r="K27" s="3"/>
      <c r="L27" s="3">
        <v>84</v>
      </c>
      <c r="M27" s="3"/>
      <c r="N27" s="12">
        <v>46275</v>
      </c>
      <c r="O27" s="7">
        <v>37</v>
      </c>
      <c r="P27" s="15">
        <f>(IF(G27&gt;0,G27+I27,I27)-(O27*Ventas!AE146*1))</f>
        <v>-44.4</v>
      </c>
      <c r="Q27" s="18">
        <f>(P27/(Ventas!AE146*1)/60)</f>
        <v>-0.6166666666666667</v>
      </c>
      <c r="R27" s="8">
        <v>84</v>
      </c>
      <c r="S27" s="15">
        <f>IF(P27&gt;0,P27+R27,R27)</f>
        <v>84</v>
      </c>
      <c r="T27" s="15">
        <v>1.1399999999999999</v>
      </c>
      <c r="U27" s="3">
        <v>84</v>
      </c>
      <c r="V27" s="3"/>
      <c r="W27" s="12">
        <v>46331</v>
      </c>
      <c r="X27" s="7">
        <v>56</v>
      </c>
      <c r="Y27" s="15">
        <f>(IF(P27&gt;0,P27+R27,R27)-(X27*Ventas!AE146*1))</f>
        <v>16.799999999999997</v>
      </c>
      <c r="Z27" s="18">
        <f>(Y27/(Ventas!AE146*1)/60)</f>
        <v>0.23333333333333331</v>
      </c>
      <c r="AA27" s="15">
        <f>(120*(Ventas!AE146*1) - IF(Y27&gt;0,Y27,0))</f>
        <v>127.2</v>
      </c>
      <c r="AB27" s="15">
        <v>168</v>
      </c>
      <c r="AC27" s="15">
        <f>IF(Y27&gt;0,Y27+IF(AB27&gt;0,AB27,0),AB27)</f>
        <v>184.8</v>
      </c>
      <c r="AD27" s="16">
        <v>1.08</v>
      </c>
      <c r="AE27" s="8">
        <v>3027</v>
      </c>
      <c r="AF27" s="15">
        <f>(AC27-(60*Ventas!AE146*1))</f>
        <v>112.80000000000001</v>
      </c>
      <c r="AG27" s="18">
        <f>(AF27/(Ventas!AE146*1)/60)</f>
        <v>1.5666666666666669</v>
      </c>
      <c r="AH27" s="1" t="s">
        <v>35</v>
      </c>
      <c r="AI27">
        <f t="shared" si="0"/>
        <v>181.44</v>
      </c>
    </row>
    <row r="28" spans="1:35" x14ac:dyDescent="0.25">
      <c r="A28" s="1"/>
      <c r="B28" s="1" t="s">
        <v>558</v>
      </c>
      <c r="C28" s="14" t="s">
        <v>559</v>
      </c>
      <c r="D28" s="3"/>
      <c r="E28" s="12">
        <v>46238</v>
      </c>
      <c r="F28" s="7">
        <v>1</v>
      </c>
      <c r="G28" s="15">
        <f>(D28-(0)+0-(F28*Ventas!AE53*1))</f>
        <v>-1.1000000000000001</v>
      </c>
      <c r="H28" s="18">
        <f>(G28/(Ventas!AE53*1)/60)</f>
        <v>-1.6666666666666666E-2</v>
      </c>
      <c r="I28" s="8">
        <v>0</v>
      </c>
      <c r="J28" s="15">
        <f>IF(G28&gt;0,G28+I28,I28)</f>
        <v>0</v>
      </c>
      <c r="K28" s="3"/>
      <c r="L28" s="3">
        <v>52</v>
      </c>
      <c r="M28" s="3"/>
      <c r="N28" s="12">
        <v>46275</v>
      </c>
      <c r="O28" s="7">
        <v>37</v>
      </c>
      <c r="P28" s="15">
        <f>(IF(G28&gt;0,G28+I28,I28)-(O28*Ventas!AE53*0.9189))</f>
        <v>-37.399230000000003</v>
      </c>
      <c r="Q28" s="18">
        <f>(P28/(Ventas!AE53*0.9189)/60)</f>
        <v>-0.6166666666666667</v>
      </c>
      <c r="R28" s="8">
        <v>52</v>
      </c>
      <c r="S28" s="15">
        <f>IF(P28&gt;0,P28+R28,R28)</f>
        <v>52</v>
      </c>
      <c r="T28" s="15">
        <v>1.35</v>
      </c>
      <c r="U28" s="3">
        <v>52</v>
      </c>
      <c r="V28" s="3"/>
      <c r="W28" s="12">
        <v>46331</v>
      </c>
      <c r="X28" s="7">
        <v>56</v>
      </c>
      <c r="Y28" s="15">
        <f>(IF(P28&gt;0,P28+R28,R28)-(X28*Ventas!AE53*0.925))</f>
        <v>-4.9800000000000111</v>
      </c>
      <c r="Z28" s="18">
        <f>(Y28/(Ventas!AE53*0.925)/60)</f>
        <v>-8.1572481572481745E-2</v>
      </c>
      <c r="AA28" s="15">
        <f>(120*(Ventas!AE53*1.485) - IF(Y28&gt;0,Y28,0))</f>
        <v>196.02</v>
      </c>
      <c r="AB28" s="15">
        <v>208</v>
      </c>
      <c r="AC28" s="15">
        <f>IF(Y28&gt;0,Y28+IF(AB28&gt;0,AB28,0),AB28)</f>
        <v>208</v>
      </c>
      <c r="AD28" s="16">
        <v>1.26</v>
      </c>
      <c r="AE28" s="8">
        <v>3010</v>
      </c>
      <c r="AF28" s="15">
        <f>(AC28-(60*Ventas!AE53*1.485))</f>
        <v>109.99</v>
      </c>
      <c r="AG28" s="18">
        <f>(AF28/(Ventas!AE53*1.485)/60)</f>
        <v>1.122232425262728</v>
      </c>
      <c r="AH28" s="1" t="s">
        <v>35</v>
      </c>
      <c r="AI28">
        <f t="shared" si="0"/>
        <v>262.08</v>
      </c>
    </row>
    <row r="29" spans="1:35" x14ac:dyDescent="0.25">
      <c r="A29" s="1" t="s">
        <v>393</v>
      </c>
      <c r="B29" s="35" t="s">
        <v>394</v>
      </c>
      <c r="C29" s="14" t="s">
        <v>395</v>
      </c>
      <c r="D29" s="3"/>
      <c r="E29" s="12">
        <v>46238</v>
      </c>
      <c r="F29" s="7">
        <v>1</v>
      </c>
      <c r="G29" s="15">
        <f>(D29-(0)+0-(F29*Ventas!AE205*1))</f>
        <v>-1.0620000000000001</v>
      </c>
      <c r="H29" s="18">
        <f>(G29/(Ventas!AE205*1)/60)</f>
        <v>-1.6666666666666666E-2</v>
      </c>
      <c r="I29" s="8">
        <v>0</v>
      </c>
      <c r="J29" s="15">
        <f>IF(G29&gt;0,G29+I29,I29)</f>
        <v>0</v>
      </c>
      <c r="K29" s="3"/>
      <c r="L29" s="15">
        <v>52</v>
      </c>
      <c r="M29" s="17">
        <v>6.4899999999999995E-4</v>
      </c>
      <c r="N29" s="12">
        <v>46275</v>
      </c>
      <c r="O29" s="7">
        <v>37</v>
      </c>
      <c r="P29" s="15">
        <f>(IF(G29&gt;0,G29+I29,I29)-(O29*Ventas!AE205*1))</f>
        <v>-39.294000000000004</v>
      </c>
      <c r="Q29" s="18">
        <f>(P29/(Ventas!AE205*1)/60)</f>
        <v>-0.6166666666666667</v>
      </c>
      <c r="R29" s="8">
        <v>0</v>
      </c>
      <c r="S29" s="15">
        <f>IF(P29&gt;0,P29+R29,R29)</f>
        <v>0</v>
      </c>
      <c r="T29" s="3"/>
      <c r="U29" s="15">
        <v>52</v>
      </c>
      <c r="V29" s="17">
        <v>6.4899999999999995E-4</v>
      </c>
      <c r="W29" s="12">
        <v>46331</v>
      </c>
      <c r="X29" s="7">
        <v>56</v>
      </c>
      <c r="Y29" s="15">
        <f>(IF(P29&gt;0,P29+R29,R29)-(X29*Ventas!AE205*1))</f>
        <v>-59.472000000000001</v>
      </c>
      <c r="Z29" s="18">
        <f>(Y29/(Ventas!AE205*1)/60)</f>
        <v>-0.93333333333333335</v>
      </c>
      <c r="AA29" s="15">
        <f>(120*(Ventas!AE205*1) - IF(Y29&gt;0,Y29,0))</f>
        <v>127.44000000000001</v>
      </c>
      <c r="AB29" s="15">
        <v>0</v>
      </c>
      <c r="AC29" s="15">
        <f>IF(Y29&gt;0,Y29+IF(AB29&gt;0,AB29,0),AB29)</f>
        <v>0</v>
      </c>
      <c r="AD29" s="16">
        <v>3.35</v>
      </c>
      <c r="AE29" s="8">
        <v>3027</v>
      </c>
      <c r="AF29" s="15">
        <f>(AC29-(60*Ventas!AE205*1))</f>
        <v>-63.720000000000006</v>
      </c>
      <c r="AG29" s="18">
        <f>(AF29/(Ventas!AE205*1)/60)</f>
        <v>-1</v>
      </c>
      <c r="AH29" s="1" t="s">
        <v>32</v>
      </c>
      <c r="AI29">
        <f t="shared" si="0"/>
        <v>0</v>
      </c>
    </row>
    <row r="30" spans="1:35" x14ac:dyDescent="0.25">
      <c r="A30" s="1"/>
      <c r="B30" s="34" t="s">
        <v>466</v>
      </c>
      <c r="C30" s="14" t="s">
        <v>467</v>
      </c>
      <c r="D30" s="3"/>
      <c r="E30" s="12">
        <v>46238</v>
      </c>
      <c r="F30" s="7">
        <v>1</v>
      </c>
      <c r="G30" s="15">
        <f>(D30-(0)+0-(F30*Ventas!AE235*1))</f>
        <v>-1.06</v>
      </c>
      <c r="H30" s="18">
        <f>(G30/(Ventas!AE235*1)/60)</f>
        <v>-1.6666666666666666E-2</v>
      </c>
      <c r="I30" s="8">
        <v>0</v>
      </c>
      <c r="J30" s="15">
        <f>IF(G30&gt;0,G30+I30,I30)</f>
        <v>0</v>
      </c>
      <c r="K30" s="3"/>
      <c r="L30" s="3"/>
      <c r="M30" s="3"/>
      <c r="N30" s="12">
        <v>46275</v>
      </c>
      <c r="O30" s="7">
        <v>37</v>
      </c>
      <c r="P30" s="15">
        <f>(IF(G30&gt;0,G30+I30,I30)-(O30*Ventas!AE235*1))</f>
        <v>-39.22</v>
      </c>
      <c r="Q30" s="18">
        <f>(P30/(Ventas!AE235*1)/60)</f>
        <v>-0.6166666666666667</v>
      </c>
      <c r="R30" s="8">
        <v>220</v>
      </c>
      <c r="S30" s="15">
        <f>IF(P30&gt;0,P30+R30,R30)</f>
        <v>220</v>
      </c>
      <c r="T30" s="15">
        <v>5.91</v>
      </c>
      <c r="U30" s="86"/>
      <c r="V30" s="3"/>
      <c r="W30" s="12">
        <v>46331</v>
      </c>
      <c r="X30" s="7">
        <v>56</v>
      </c>
      <c r="Y30" s="15">
        <f>(IF(P30&gt;0,P30+R30,R30)-(X30*Ventas!AE235*1))</f>
        <v>160.63999999999999</v>
      </c>
      <c r="Z30" s="18">
        <f>(Y30/(Ventas!AE235*1)/60)</f>
        <v>2.5257861635220125</v>
      </c>
      <c r="AA30" s="15">
        <f>(120*(Ventas!AE235*1) - IF(Y30&gt;0,Y30,0))</f>
        <v>-33.439999999999984</v>
      </c>
      <c r="AB30" s="15">
        <v>0</v>
      </c>
      <c r="AC30" s="15">
        <f>IF(Y30&gt;0,Y30+IF(AB30&gt;0,AB30,0),AB30)</f>
        <v>160.63999999999999</v>
      </c>
      <c r="AD30" s="16">
        <v>5.77</v>
      </c>
      <c r="AE30" s="8">
        <v>3027</v>
      </c>
      <c r="AF30" s="15">
        <f>(AC30-(60*Ventas!AE235*1))</f>
        <v>97.039999999999992</v>
      </c>
      <c r="AG30" s="18">
        <f>(AF30/(Ventas!AE235*1)/60)</f>
        <v>1.5257861635220125</v>
      </c>
      <c r="AH30" s="1" t="s">
        <v>35</v>
      </c>
      <c r="AI30">
        <f t="shared" si="0"/>
        <v>0</v>
      </c>
    </row>
    <row r="31" spans="1:35" x14ac:dyDescent="0.25">
      <c r="A31" s="1"/>
      <c r="B31" s="1" t="s">
        <v>564</v>
      </c>
      <c r="C31" s="14" t="s">
        <v>565</v>
      </c>
      <c r="D31" s="3"/>
      <c r="E31" s="12">
        <v>46238</v>
      </c>
      <c r="F31" s="7">
        <v>1</v>
      </c>
      <c r="G31" s="15">
        <f>(D31-(0)+0-(F31*Ventas!AE251*1))</f>
        <v>-1.0513833333333333</v>
      </c>
      <c r="H31" s="18">
        <f>(G31/(Ventas!AE251*1)/60)</f>
        <v>-1.6666666666666666E-2</v>
      </c>
      <c r="I31" s="8">
        <v>0</v>
      </c>
      <c r="J31" s="15">
        <f>IF(G31&gt;0,G31+I31,I31)</f>
        <v>0</v>
      </c>
      <c r="K31" s="3"/>
      <c r="L31" s="15">
        <v>25</v>
      </c>
      <c r="M31" s="17">
        <v>1.2199999999999999E-3</v>
      </c>
      <c r="N31" s="12">
        <v>46275</v>
      </c>
      <c r="O31" s="7">
        <v>37</v>
      </c>
      <c r="P31" s="15">
        <f>(IF(G31&gt;0,G31+I31,I31)-(O31*Ventas!AE251*0.9189))</f>
        <v>-35.746297365000004</v>
      </c>
      <c r="Q31" s="18">
        <f>(P31/(Ventas!AE251*0.9189)/60)</f>
        <v>-0.6166666666666667</v>
      </c>
      <c r="R31" s="8">
        <v>0</v>
      </c>
      <c r="S31" s="15">
        <f>IF(P31&gt;0,P31+R31,R31)</f>
        <v>0</v>
      </c>
      <c r="T31" s="3"/>
      <c r="U31" s="15">
        <v>25</v>
      </c>
      <c r="V31" s="17">
        <v>1.2199999999999999E-3</v>
      </c>
      <c r="W31" s="12">
        <v>46331</v>
      </c>
      <c r="X31" s="7">
        <v>56</v>
      </c>
      <c r="Y31" s="15">
        <f>(IF(P31&gt;0,P31+R31,R31)-(X31*Ventas!AE251*0.925))</f>
        <v>-54.461656666666663</v>
      </c>
      <c r="Z31" s="18">
        <f>(Y31/(Ventas!AE251*0.925)/60)</f>
        <v>-0.93333333333333324</v>
      </c>
      <c r="AA31" s="15">
        <f>(120*(Ventas!AE251*1.485) - IF(Y31&gt;0,Y31,0))</f>
        <v>187.35651000000001</v>
      </c>
      <c r="AB31" s="89">
        <v>0</v>
      </c>
      <c r="AC31" s="15">
        <f>IF(Y31&gt;0,Y31+IF(AB31&gt;0,AB31,0),AB31)</f>
        <v>0</v>
      </c>
      <c r="AD31" s="16">
        <v>4.37</v>
      </c>
      <c r="AE31" s="8">
        <v>3010</v>
      </c>
      <c r="AF31" s="15">
        <f>(AC31-(60*Ventas!AE251*1.485))</f>
        <v>-93.678255000000007</v>
      </c>
      <c r="AG31" s="18">
        <f>(AF31/(Ventas!AE251*1.485)/60)</f>
        <v>-1</v>
      </c>
      <c r="AH31" s="1" t="s">
        <v>35</v>
      </c>
      <c r="AI31">
        <f t="shared" si="0"/>
        <v>0</v>
      </c>
    </row>
    <row r="32" spans="1:35" x14ac:dyDescent="0.25">
      <c r="A32" s="1"/>
      <c r="B32" s="1" t="s">
        <v>460</v>
      </c>
      <c r="C32" s="14" t="s">
        <v>461</v>
      </c>
      <c r="D32" s="3"/>
      <c r="E32" s="12">
        <v>46238</v>
      </c>
      <c r="F32" s="7">
        <v>1</v>
      </c>
      <c r="G32" s="15">
        <f>(D32-(0)+0-(F32*Ventas!AE232*1))</f>
        <v>-1.05</v>
      </c>
      <c r="H32" s="18">
        <f>(G32/(Ventas!AE232*1)/60)</f>
        <v>-1.6666666666666666E-2</v>
      </c>
      <c r="I32" s="8">
        <v>88</v>
      </c>
      <c r="J32" s="15">
        <f>IF(G32&gt;0,G32+I32,I32)</f>
        <v>88</v>
      </c>
      <c r="K32" s="15">
        <v>5.86</v>
      </c>
      <c r="L32" s="15">
        <v>44</v>
      </c>
      <c r="M32" s="17">
        <v>7.7300000000000003E-4</v>
      </c>
      <c r="N32" s="12">
        <v>46275</v>
      </c>
      <c r="O32" s="7">
        <v>37</v>
      </c>
      <c r="P32" s="15">
        <f>(IF(G32&gt;0,G32+I32,I32)-(O32*Ventas!AE232*1))</f>
        <v>49.15</v>
      </c>
      <c r="Q32" s="18">
        <f>(P32/(Ventas!AE232*1)/60)</f>
        <v>0.78015873015873005</v>
      </c>
      <c r="R32" s="8">
        <v>88</v>
      </c>
      <c r="S32" s="15">
        <f>IF(P32&gt;0,P32+R32,R32)</f>
        <v>137.15</v>
      </c>
      <c r="T32" s="15">
        <v>5.91</v>
      </c>
      <c r="U32" s="15">
        <v>44</v>
      </c>
      <c r="V32" s="17">
        <v>7.7300000000000003E-4</v>
      </c>
      <c r="W32" s="12">
        <v>46331</v>
      </c>
      <c r="X32" s="7">
        <v>56</v>
      </c>
      <c r="Y32" s="15">
        <f>(IF(P32&gt;0,P32+R32,R32)-(X32*Ventas!AE232*1))</f>
        <v>78.349999999999994</v>
      </c>
      <c r="Z32" s="18">
        <f>(Y32/(Ventas!AE232*1)/60)</f>
        <v>1.2436507936507935</v>
      </c>
      <c r="AA32" s="15">
        <f>(120*(Ventas!AE232*1) - IF(Y32&gt;0,Y32,0))</f>
        <v>47.650000000000006</v>
      </c>
      <c r="AB32" s="15">
        <v>88</v>
      </c>
      <c r="AC32" s="15">
        <f>IF(Y32&gt;0,Y32+IF(AB32&gt;0,AB32,0),AB32)</f>
        <v>166.35</v>
      </c>
      <c r="AD32" s="16">
        <v>5.86</v>
      </c>
      <c r="AE32" s="8">
        <v>3025</v>
      </c>
      <c r="AF32" s="15">
        <f>(AC32-(60*Ventas!AE232*1))</f>
        <v>103.35</v>
      </c>
      <c r="AG32" s="18">
        <f>(AF32/(Ventas!AE232*1)/60)</f>
        <v>1.6404761904761902</v>
      </c>
      <c r="AH32" s="1" t="s">
        <v>35</v>
      </c>
      <c r="AI32">
        <f t="shared" si="0"/>
        <v>515.68000000000006</v>
      </c>
    </row>
    <row r="33" spans="1:35" x14ac:dyDescent="0.25">
      <c r="A33" s="1"/>
      <c r="B33" s="71" t="s">
        <v>574</v>
      </c>
      <c r="C33" s="14" t="s">
        <v>575</v>
      </c>
      <c r="D33" s="3"/>
      <c r="E33" s="12">
        <v>46238</v>
      </c>
      <c r="F33" s="7">
        <v>1</v>
      </c>
      <c r="G33" s="15">
        <f>(D33-(0)+0-(F33*Ventas!AE255*1))</f>
        <v>-1.04</v>
      </c>
      <c r="H33" s="18">
        <f>(G33/(Ventas!AE255*1)/60)</f>
        <v>-1.6666666666666666E-2</v>
      </c>
      <c r="I33" s="8">
        <v>0</v>
      </c>
      <c r="J33" s="15">
        <f>IF(G33&gt;0,G33+I33,I33)</f>
        <v>0</v>
      </c>
      <c r="K33" s="3"/>
      <c r="L33" s="15">
        <v>25</v>
      </c>
      <c r="M33" s="17">
        <v>1.2199999999999999E-3</v>
      </c>
      <c r="N33" s="12">
        <v>46275</v>
      </c>
      <c r="O33" s="7">
        <v>37</v>
      </c>
      <c r="P33" s="15">
        <f>(IF(G33&gt;0,G33+I33,I33)-(O33*Ventas!AE255*0.9189))</f>
        <v>-35.359272000000004</v>
      </c>
      <c r="Q33" s="18">
        <f>(P33/(Ventas!AE255*0.9189)/60)</f>
        <v>-0.6166666666666667</v>
      </c>
      <c r="R33" s="8">
        <v>0</v>
      </c>
      <c r="S33" s="15">
        <f>IF(P33&gt;0,P33+R33,R33)</f>
        <v>0</v>
      </c>
      <c r="T33" s="3"/>
      <c r="U33" s="15">
        <v>25</v>
      </c>
      <c r="V33" s="17">
        <v>1.2199999999999999E-3</v>
      </c>
      <c r="W33" s="12">
        <v>46331</v>
      </c>
      <c r="X33" s="7">
        <v>56</v>
      </c>
      <c r="Y33" s="15">
        <f>(IF(P33&gt;0,P33+R33,R33)-(X33*Ventas!AE255*0.925))</f>
        <v>-53.872000000000007</v>
      </c>
      <c r="Z33" s="18">
        <f>(Y33/(Ventas!AE255*0.925)/60)</f>
        <v>-0.93333333333333335</v>
      </c>
      <c r="AA33" s="15">
        <f>(120*(Ventas!AE255*1.485) - IF(Y33&gt;0,Y33,0))</f>
        <v>185.32800000000003</v>
      </c>
      <c r="AB33" s="15">
        <v>0</v>
      </c>
      <c r="AC33" s="15">
        <f>IF(Y33&gt;0,Y33+IF(AB33&gt;0,AB33,0),AB33)</f>
        <v>0</v>
      </c>
      <c r="AD33" s="16">
        <v>4.33</v>
      </c>
      <c r="AE33" s="8">
        <v>3027</v>
      </c>
      <c r="AF33" s="15">
        <f>(AC33-(60*Ventas!AE255*1.485))</f>
        <v>-92.664000000000016</v>
      </c>
      <c r="AG33" s="18">
        <f>(AF33/(Ventas!AE255*1.485)/60)</f>
        <v>-1</v>
      </c>
      <c r="AH33" s="1" t="s">
        <v>35</v>
      </c>
      <c r="AI33">
        <f t="shared" si="0"/>
        <v>0</v>
      </c>
    </row>
    <row r="34" spans="1:35" x14ac:dyDescent="0.25">
      <c r="A34" s="1"/>
      <c r="B34" s="36" t="s">
        <v>462</v>
      </c>
      <c r="C34" s="14" t="s">
        <v>463</v>
      </c>
      <c r="D34" s="3"/>
      <c r="E34" s="12">
        <v>46238</v>
      </c>
      <c r="F34" s="7">
        <v>1</v>
      </c>
      <c r="G34" s="15">
        <f>(D34-(0)+0-(F34*Ventas!AE233*1))</f>
        <v>-0.92</v>
      </c>
      <c r="H34" s="18">
        <f>(G34/(Ventas!AE233*1)/60)</f>
        <v>-1.6666666666666666E-2</v>
      </c>
      <c r="I34" s="8">
        <v>288</v>
      </c>
      <c r="J34" s="15">
        <f>IF(G34&gt;0,G34+I34,I34)</f>
        <v>288</v>
      </c>
      <c r="K34" s="15">
        <v>3.3</v>
      </c>
      <c r="L34" s="3">
        <v>48</v>
      </c>
      <c r="M34" s="3"/>
      <c r="N34" s="12">
        <v>46275</v>
      </c>
      <c r="O34" s="7">
        <v>37</v>
      </c>
      <c r="P34" s="15">
        <f>(IF(G34&gt;0,G34+I34,I34)-(O34*Ventas!AE233*1))</f>
        <v>253.96</v>
      </c>
      <c r="Q34" s="18">
        <f>(P34/(Ventas!AE233*1)/60)</f>
        <v>4.600724637681159</v>
      </c>
      <c r="R34" s="8">
        <v>0</v>
      </c>
      <c r="S34" s="15">
        <f>IF(P34&gt;0,P34+R34,R34)</f>
        <v>253.96</v>
      </c>
      <c r="T34" s="3"/>
      <c r="U34" s="86">
        <v>48</v>
      </c>
      <c r="V34" s="3"/>
      <c r="W34" s="12">
        <v>46331</v>
      </c>
      <c r="X34" s="7">
        <v>56</v>
      </c>
      <c r="Y34" s="15">
        <f>(IF(P34&gt;0,P34+R34,R34)-(X34*Ventas!AE233*1))</f>
        <v>202.44</v>
      </c>
      <c r="Z34" s="18">
        <f>(Y34/(Ventas!AE233*1)/60)</f>
        <v>3.6673913043478259</v>
      </c>
      <c r="AA34" s="15">
        <f>(120*(Ventas!AE233*1) - IF(Y34&gt;0,Y34,0))</f>
        <v>-92.039999999999992</v>
      </c>
      <c r="AB34" s="15">
        <v>144</v>
      </c>
      <c r="AC34" s="15">
        <f>IF(Y34&gt;0,Y34+IF(AB34&gt;0,AB34,0),AB34)</f>
        <v>346.44</v>
      </c>
      <c r="AD34" s="16">
        <v>3.3</v>
      </c>
      <c r="AE34" s="8">
        <v>3025</v>
      </c>
      <c r="AF34" s="15">
        <f>(AC34-(60*Ventas!AE233*1))</f>
        <v>291.24</v>
      </c>
      <c r="AG34" s="18">
        <f>(AF34/(Ventas!AE233*1)/60)</f>
        <v>5.2760869565217385</v>
      </c>
      <c r="AH34" s="1" t="s">
        <v>35</v>
      </c>
      <c r="AI34">
        <f t="shared" si="0"/>
        <v>475.2</v>
      </c>
    </row>
    <row r="35" spans="1:35" x14ac:dyDescent="0.25">
      <c r="A35" s="1"/>
      <c r="B35" s="1" t="s">
        <v>234</v>
      </c>
      <c r="C35" s="14" t="s">
        <v>235</v>
      </c>
      <c r="D35" s="3"/>
      <c r="E35" s="12">
        <v>46238</v>
      </c>
      <c r="F35" s="7">
        <v>1</v>
      </c>
      <c r="G35" s="15">
        <f>(D35-(0)+0-(F35*Ventas!AE141*1))</f>
        <v>-0.88</v>
      </c>
      <c r="H35" s="18">
        <f>(G35/(Ventas!AE141*1)/60)</f>
        <v>-1.6666666666666666E-2</v>
      </c>
      <c r="I35" s="8">
        <v>252</v>
      </c>
      <c r="J35" s="15">
        <f>IF(G35&gt;0,G35+I35,I35)</f>
        <v>252</v>
      </c>
      <c r="K35" s="15">
        <v>1.73</v>
      </c>
      <c r="L35" s="3"/>
      <c r="M35" s="3"/>
      <c r="N35" s="12">
        <v>46275</v>
      </c>
      <c r="O35" s="7">
        <v>37</v>
      </c>
      <c r="P35" s="15">
        <f>(IF(G35&gt;0,G35+I35,I35)-(O35*Ventas!AE141*1))</f>
        <v>219.44</v>
      </c>
      <c r="Q35" s="18">
        <f>(P35/(Ventas!AE141*1)/60)</f>
        <v>4.1560606060606062</v>
      </c>
      <c r="R35" s="8">
        <v>0</v>
      </c>
      <c r="S35" s="15">
        <f>IF(P35&gt;0,P35+R35,R35)</f>
        <v>219.44</v>
      </c>
      <c r="T35" s="3"/>
      <c r="U35" s="86"/>
      <c r="V35" s="3"/>
      <c r="W35" s="12">
        <v>46331</v>
      </c>
      <c r="X35" s="7">
        <v>56</v>
      </c>
      <c r="Y35" s="15">
        <f>(IF(P35&gt;0,P35+R35,R35)-(X35*Ventas!AE141*1))</f>
        <v>170.16</v>
      </c>
      <c r="Z35" s="18">
        <f>(Y35/(Ventas!AE141*1)/60)</f>
        <v>3.2227272727272722</v>
      </c>
      <c r="AA35" s="15">
        <f>(120*(Ventas!AE141*1) - IF(Y35&gt;0,Y35,0))</f>
        <v>-64.56</v>
      </c>
      <c r="AB35" s="15">
        <v>0</v>
      </c>
      <c r="AC35" s="15">
        <f>IF(Y35&gt;0,Y35+IF(AB35&gt;0,AB35,0),AB35)</f>
        <v>170.16</v>
      </c>
      <c r="AD35" s="16">
        <v>1.73</v>
      </c>
      <c r="AE35" s="8">
        <v>3025</v>
      </c>
      <c r="AF35" s="15">
        <f>(AC35-(60*Ventas!AE141*1))</f>
        <v>117.36</v>
      </c>
      <c r="AG35" s="18">
        <f>(AF35/(Ventas!AE141*1)/60)</f>
        <v>2.2227272727272731</v>
      </c>
      <c r="AH35" s="1" t="s">
        <v>35</v>
      </c>
      <c r="AI35">
        <f t="shared" si="0"/>
        <v>0</v>
      </c>
    </row>
    <row r="36" spans="1:35" x14ac:dyDescent="0.25">
      <c r="A36" s="1"/>
      <c r="B36" s="50" t="s">
        <v>240</v>
      </c>
      <c r="C36" s="14" t="s">
        <v>241</v>
      </c>
      <c r="D36" s="3"/>
      <c r="E36" s="12">
        <v>46238</v>
      </c>
      <c r="F36" s="7">
        <v>1</v>
      </c>
      <c r="G36" s="15">
        <f>(D36-(0)+0-(F36*Ventas!AE144*1))</f>
        <v>-0.88</v>
      </c>
      <c r="H36" s="18">
        <f>(G36/(Ventas!AE144*1)/60)</f>
        <v>-1.6666666666666666E-2</v>
      </c>
      <c r="I36" s="8">
        <v>0</v>
      </c>
      <c r="J36" s="15">
        <f>IF(G36&gt;0,G36+I36,I36)</f>
        <v>0</v>
      </c>
      <c r="K36" s="3"/>
      <c r="L36" s="3"/>
      <c r="M36" s="3"/>
      <c r="N36" s="12">
        <v>46275</v>
      </c>
      <c r="O36" s="7">
        <v>37</v>
      </c>
      <c r="P36" s="15">
        <f>(IF(G36&gt;0,G36+I36,I36)-(O36*Ventas!AE144*1))</f>
        <v>-32.56</v>
      </c>
      <c r="Q36" s="18">
        <f>(P36/(Ventas!AE144*1)/60)</f>
        <v>-0.6166666666666667</v>
      </c>
      <c r="R36" s="8">
        <v>0</v>
      </c>
      <c r="S36" s="15">
        <f>IF(P36&gt;0,P36+R36,R36)</f>
        <v>0</v>
      </c>
      <c r="T36" s="3"/>
      <c r="U36" s="86"/>
      <c r="V36" s="3"/>
      <c r="W36" s="12">
        <v>46331</v>
      </c>
      <c r="X36" s="7">
        <v>56</v>
      </c>
      <c r="Y36" s="15">
        <f>(IF(P36&gt;0,P36+R36,R36)-(X36*Ventas!AE144*1))</f>
        <v>-49.28</v>
      </c>
      <c r="Z36" s="18">
        <f>(Y36/(Ventas!AE144*1)/60)</f>
        <v>-0.93333333333333335</v>
      </c>
      <c r="AA36" s="15">
        <f>(120*(Ventas!AE144*1) - IF(Y36&gt;0,Y36,0))</f>
        <v>105.6</v>
      </c>
      <c r="AB36" s="15">
        <v>0</v>
      </c>
      <c r="AC36" s="15">
        <f>IF(Y36&gt;0,Y36+IF(AB36&gt;0,AB36,0),AB36)</f>
        <v>0</v>
      </c>
      <c r="AD36" s="16">
        <v>0.72</v>
      </c>
      <c r="AE36" s="8">
        <v>3027</v>
      </c>
      <c r="AF36" s="15">
        <f>(AC36-(60*Ventas!AE144*1))</f>
        <v>-52.8</v>
      </c>
      <c r="AG36" s="18">
        <f>(AF36/(Ventas!AE144*1)/60)</f>
        <v>-1</v>
      </c>
      <c r="AH36" s="1" t="s">
        <v>32</v>
      </c>
      <c r="AI36">
        <f t="shared" si="0"/>
        <v>0</v>
      </c>
    </row>
    <row r="37" spans="1:35" x14ac:dyDescent="0.25">
      <c r="A37" s="1"/>
      <c r="B37" s="44" t="s">
        <v>220</v>
      </c>
      <c r="C37" s="14" t="s">
        <v>221</v>
      </c>
      <c r="D37" s="3"/>
      <c r="E37" s="12">
        <v>46238</v>
      </c>
      <c r="F37" s="7">
        <v>1</v>
      </c>
      <c r="G37" s="15">
        <f>(D37-(0)+0-(F37*Ventas!AE134*1))</f>
        <v>-0.79</v>
      </c>
      <c r="H37" s="18">
        <f>(G37/(Ventas!AE134*1)/60)</f>
        <v>-1.6666666666666666E-2</v>
      </c>
      <c r="I37" s="8">
        <v>0</v>
      </c>
      <c r="J37" s="15">
        <f>IF(G37&gt;0,G37+I37,I37)</f>
        <v>0</v>
      </c>
      <c r="K37" s="3"/>
      <c r="L37" s="15">
        <v>84</v>
      </c>
      <c r="M37" s="17">
        <v>3.57E-4</v>
      </c>
      <c r="N37" s="12">
        <v>46275</v>
      </c>
      <c r="O37" s="7">
        <v>37</v>
      </c>
      <c r="P37" s="15">
        <f>(IF(G37&gt;0,G37+I37,I37)-(O37*Ventas!AE134*1))</f>
        <v>-29.23</v>
      </c>
      <c r="Q37" s="18">
        <f>(P37/(Ventas!AE134*1)/60)</f>
        <v>-0.6166666666666667</v>
      </c>
      <c r="R37" s="8">
        <v>0</v>
      </c>
      <c r="S37" s="15">
        <f>IF(P37&gt;0,P37+R37,R37)</f>
        <v>0</v>
      </c>
      <c r="T37" s="3"/>
      <c r="U37" s="15">
        <v>84</v>
      </c>
      <c r="V37" s="17">
        <v>3.57E-4</v>
      </c>
      <c r="W37" s="12">
        <v>46331</v>
      </c>
      <c r="X37" s="7">
        <v>56</v>
      </c>
      <c r="Y37" s="15">
        <f>(IF(P37&gt;0,P37+R37,R37)-(X37*Ventas!AE134*1))</f>
        <v>-44.24</v>
      </c>
      <c r="Z37" s="18">
        <f>(Y37/(Ventas!AE134*1)/60)</f>
        <v>-0.93333333333333335</v>
      </c>
      <c r="AA37" s="15">
        <f>(120*(Ventas!AE134*1) - IF(Y37&gt;0,Y37,0))</f>
        <v>94.800000000000011</v>
      </c>
      <c r="AB37" s="89">
        <v>0</v>
      </c>
      <c r="AC37" s="15">
        <f>IF(Y37&gt;0,Y37+IF(AB37&gt;0,AB37,0),AB37)</f>
        <v>0</v>
      </c>
      <c r="AD37" s="16">
        <v>0.77</v>
      </c>
      <c r="AE37" s="8">
        <v>3027</v>
      </c>
      <c r="AF37" s="15">
        <f>(AC37-(60*Ventas!AE134*1))</f>
        <v>-47.400000000000006</v>
      </c>
      <c r="AG37" s="18">
        <f>(AF37/(Ventas!AE134*1)/60)</f>
        <v>-1.0000000000000002</v>
      </c>
      <c r="AH37" s="1" t="s">
        <v>32</v>
      </c>
      <c r="AI37">
        <f t="shared" si="0"/>
        <v>0</v>
      </c>
    </row>
    <row r="38" spans="1:35" x14ac:dyDescent="0.25">
      <c r="A38" s="1"/>
      <c r="B38" s="51" t="s">
        <v>96</v>
      </c>
      <c r="C38" s="14" t="s">
        <v>97</v>
      </c>
      <c r="D38" s="3"/>
      <c r="E38" s="12">
        <v>46238</v>
      </c>
      <c r="F38" s="7">
        <v>1</v>
      </c>
      <c r="G38" s="15">
        <f>(D38-(0)+0-(F38*Ventas!AE75*1))</f>
        <v>-0.74</v>
      </c>
      <c r="H38" s="18">
        <f>(G38/(Ventas!AE75*1)/60)</f>
        <v>-1.6666666666666666E-2</v>
      </c>
      <c r="I38" s="8">
        <v>0</v>
      </c>
      <c r="J38" s="15">
        <f>IF(G38&gt;0,G38+I38,I38)</f>
        <v>0</v>
      </c>
      <c r="K38" s="3"/>
      <c r="L38" s="15">
        <v>84</v>
      </c>
      <c r="M38" s="17">
        <v>4.0200000000000001E-4</v>
      </c>
      <c r="N38" s="12">
        <v>46275</v>
      </c>
      <c r="O38" s="7">
        <v>37</v>
      </c>
      <c r="P38" s="15">
        <f>(IF(G38&gt;0,G38+I38,I38)-(O38*Ventas!AE75*1))</f>
        <v>-27.38</v>
      </c>
      <c r="Q38" s="18">
        <f>(P38/(Ventas!AE75*1)/60)</f>
        <v>-0.6166666666666667</v>
      </c>
      <c r="R38" s="8">
        <v>0</v>
      </c>
      <c r="S38" s="15">
        <f>IF(P38&gt;0,P38+R38,R38)</f>
        <v>0</v>
      </c>
      <c r="T38" s="3"/>
      <c r="U38" s="15">
        <v>84</v>
      </c>
      <c r="V38" s="17">
        <v>4.0200000000000001E-4</v>
      </c>
      <c r="W38" s="12">
        <v>46331</v>
      </c>
      <c r="X38" s="7">
        <v>56</v>
      </c>
      <c r="Y38" s="15">
        <f>(IF(P38&gt;0,P38+R38,R38)-(X38*Ventas!AE75*1))</f>
        <v>-41.44</v>
      </c>
      <c r="Z38" s="18">
        <f>(Y38/(Ventas!AE75*1)/60)</f>
        <v>-0.93333333333333335</v>
      </c>
      <c r="AA38" s="15">
        <f>(120*(Ventas!AE75*1) - IF(Y38&gt;0,Y38,0))</f>
        <v>88.8</v>
      </c>
      <c r="AB38" s="15">
        <v>0</v>
      </c>
      <c r="AC38" s="15">
        <f>IF(Y38&gt;0,Y38+IF(AB38&gt;0,AB38,0),AB38)</f>
        <v>0</v>
      </c>
      <c r="AD38" s="16">
        <v>0.95</v>
      </c>
      <c r="AE38" s="8">
        <v>3010</v>
      </c>
      <c r="AF38" s="15">
        <f>(AC38-(60*Ventas!AE75*1))</f>
        <v>-44.4</v>
      </c>
      <c r="AG38" s="18">
        <f>(AF38/(Ventas!AE75*1)/60)</f>
        <v>-1</v>
      </c>
      <c r="AH38" s="1" t="s">
        <v>35</v>
      </c>
      <c r="AI38">
        <f t="shared" si="0"/>
        <v>0</v>
      </c>
    </row>
    <row r="39" spans="1:35" x14ac:dyDescent="0.25">
      <c r="A39" s="1"/>
      <c r="B39" s="1" t="s">
        <v>172</v>
      </c>
      <c r="C39" s="14" t="s">
        <v>173</v>
      </c>
      <c r="D39" s="3"/>
      <c r="E39" s="12">
        <v>46238</v>
      </c>
      <c r="F39" s="7">
        <v>1</v>
      </c>
      <c r="G39" s="15">
        <f>(D39-(0)+0-(F39*Ventas!AE110*1))</f>
        <v>-1</v>
      </c>
      <c r="H39" s="18">
        <f>(G39/(Ventas!AE110*1)/60)</f>
        <v>-1.6666666666666666E-2</v>
      </c>
      <c r="I39" s="8">
        <v>120</v>
      </c>
      <c r="J39" s="15">
        <f>IF(G39&gt;0,G39+I39,I39)</f>
        <v>120</v>
      </c>
      <c r="K39" s="15">
        <v>1.28</v>
      </c>
      <c r="L39" s="15">
        <v>90</v>
      </c>
      <c r="M39" s="17">
        <v>3.39E-4</v>
      </c>
      <c r="N39" s="12">
        <v>46275</v>
      </c>
      <c r="O39" s="7">
        <v>37</v>
      </c>
      <c r="P39" s="15">
        <f>(IF(G39&gt;0,G39+I39,I39)-(O39*Ventas!AE110*1))</f>
        <v>83</v>
      </c>
      <c r="Q39" s="18">
        <f>(P39/(Ventas!AE110*1)/60)</f>
        <v>1.3833333333333333</v>
      </c>
      <c r="R39" s="8">
        <v>120</v>
      </c>
      <c r="S39" s="15">
        <f>IF(P39&gt;0,P39+R39,R39)</f>
        <v>203</v>
      </c>
      <c r="T39" s="15">
        <v>1.29</v>
      </c>
      <c r="U39" s="15">
        <v>90</v>
      </c>
      <c r="V39" s="17">
        <v>3.39E-4</v>
      </c>
      <c r="W39" s="12">
        <v>46331</v>
      </c>
      <c r="X39" s="7">
        <v>56</v>
      </c>
      <c r="Y39" s="15">
        <f>(IF(P39&gt;0,P39+R39,R39)-(X39*Ventas!AE110*1))</f>
        <v>147</v>
      </c>
      <c r="Z39" s="18">
        <f>(Y39/(Ventas!AE110*1)/60)</f>
        <v>2.4500000000000002</v>
      </c>
      <c r="AA39" s="15">
        <f>(120*(Ventas!AE110*1) - IF(Y39&gt;0,Y39,0))</f>
        <v>-27</v>
      </c>
      <c r="AB39" s="15">
        <v>0</v>
      </c>
      <c r="AC39" s="15">
        <f>IF(Y39&gt;0,Y39+IF(AB39&gt;0,AB39,0),AB39)</f>
        <v>147</v>
      </c>
      <c r="AD39" s="16">
        <v>1.28</v>
      </c>
      <c r="AE39" s="8">
        <v>3025</v>
      </c>
      <c r="AF39" s="15">
        <f>(AC39-(60*Ventas!AE110*1))</f>
        <v>87</v>
      </c>
      <c r="AG39" s="18">
        <f>(AF39/(Ventas!AE110*1)/60)</f>
        <v>1.45</v>
      </c>
      <c r="AH39" s="1" t="s">
        <v>35</v>
      </c>
      <c r="AI39">
        <f t="shared" si="0"/>
        <v>0</v>
      </c>
    </row>
    <row r="40" spans="1:35" x14ac:dyDescent="0.25">
      <c r="A40" s="1" t="s">
        <v>390</v>
      </c>
      <c r="B40" s="1" t="s">
        <v>391</v>
      </c>
      <c r="C40" s="14" t="s">
        <v>392</v>
      </c>
      <c r="D40" s="3"/>
      <c r="E40" s="12">
        <v>46238</v>
      </c>
      <c r="F40" s="7">
        <v>1</v>
      </c>
      <c r="G40" s="15">
        <f>(D40-(0)+0-(F40*Ventas!AE204*1))</f>
        <v>-0.59721666666666662</v>
      </c>
      <c r="H40" s="18">
        <f>(G40/(Ventas!AE204*1)/60)</f>
        <v>-1.6666666666666666E-2</v>
      </c>
      <c r="I40" s="8">
        <v>0</v>
      </c>
      <c r="J40" s="15">
        <f>IF(G40&gt;0,G40+I40,I40)</f>
        <v>0</v>
      </c>
      <c r="K40" s="3"/>
      <c r="L40" s="15">
        <v>52</v>
      </c>
      <c r="M40" s="17">
        <v>6.4899999999999995E-4</v>
      </c>
      <c r="N40" s="12">
        <v>46275</v>
      </c>
      <c r="O40" s="7">
        <v>37</v>
      </c>
      <c r="P40" s="15">
        <f>(IF(G40&gt;0,G40+I40,I40)-(O40*Ventas!AE204*1))</f>
        <v>-22.097016666666665</v>
      </c>
      <c r="Q40" s="18">
        <f>(P40/(Ventas!AE204*1)/60)</f>
        <v>-0.6166666666666667</v>
      </c>
      <c r="R40" s="8">
        <v>0</v>
      </c>
      <c r="S40" s="15">
        <f>IF(P40&gt;0,P40+R40,R40)</f>
        <v>0</v>
      </c>
      <c r="T40" s="3"/>
      <c r="U40" s="15">
        <v>52</v>
      </c>
      <c r="V40" s="17">
        <v>6.4899999999999995E-4</v>
      </c>
      <c r="W40" s="12">
        <v>46331</v>
      </c>
      <c r="X40" s="7">
        <v>56</v>
      </c>
      <c r="Y40" s="15">
        <f>(IF(P40&gt;0,P40+R40,R40)-(X40*Ventas!AE204*1))</f>
        <v>-33.444133333333333</v>
      </c>
      <c r="Z40" s="18">
        <f>(Y40/(Ventas!AE204*1)/60)</f>
        <v>-0.93333333333333346</v>
      </c>
      <c r="AA40" s="15">
        <f>(120*(Ventas!AE204*1) - IF(Y40&gt;0,Y40,0))</f>
        <v>71.665999999999997</v>
      </c>
      <c r="AB40" s="89">
        <v>0</v>
      </c>
      <c r="AC40" s="15">
        <f>IF(Y40&gt;0,Y40+IF(AB40&gt;0,AB40,0),AB40)</f>
        <v>0</v>
      </c>
      <c r="AD40" s="16">
        <v>3.65</v>
      </c>
      <c r="AE40" s="8">
        <v>3010</v>
      </c>
      <c r="AF40" s="15">
        <f>(AC40-(60*Ventas!AE204*1))</f>
        <v>-35.832999999999998</v>
      </c>
      <c r="AG40" s="18">
        <f>(AF40/(Ventas!AE204*1)/60)</f>
        <v>-1</v>
      </c>
      <c r="AH40" s="1" t="s">
        <v>32</v>
      </c>
      <c r="AI40">
        <f t="shared" si="0"/>
        <v>0</v>
      </c>
    </row>
    <row r="41" spans="1:35" x14ac:dyDescent="0.25">
      <c r="A41" s="1"/>
      <c r="B41" s="1" t="s">
        <v>238</v>
      </c>
      <c r="C41" s="14" t="s">
        <v>239</v>
      </c>
      <c r="D41" s="3"/>
      <c r="E41" s="12">
        <v>46238</v>
      </c>
      <c r="F41" s="7">
        <v>1</v>
      </c>
      <c r="G41" s="15">
        <f>(D41-(0)+0-(F41*Ventas!AE143*1))</f>
        <v>-0.56999999999999995</v>
      </c>
      <c r="H41" s="18">
        <f>(G41/(Ventas!AE143*1)/60)</f>
        <v>-1.6666666666666666E-2</v>
      </c>
      <c r="I41" s="8">
        <v>420</v>
      </c>
      <c r="J41" s="15">
        <f>IF(G41&gt;0,G41+I41,I41)</f>
        <v>420</v>
      </c>
      <c r="K41" s="15">
        <v>0.83</v>
      </c>
      <c r="L41" s="3">
        <v>84</v>
      </c>
      <c r="M41" s="3"/>
      <c r="N41" s="12">
        <v>46275</v>
      </c>
      <c r="O41" s="7">
        <v>37</v>
      </c>
      <c r="P41" s="15">
        <f>(IF(G41&gt;0,G41+I41,I41)-(O41*Ventas!AE143*1))</f>
        <v>398.91</v>
      </c>
      <c r="Q41" s="18">
        <f>(P41/(Ventas!AE143*1)/60)</f>
        <v>11.6640350877193</v>
      </c>
      <c r="R41" s="8">
        <v>0</v>
      </c>
      <c r="S41" s="15">
        <f>IF(P41&gt;0,P41+R41,R41)</f>
        <v>398.91</v>
      </c>
      <c r="T41" s="3"/>
      <c r="U41" s="86">
        <v>84</v>
      </c>
      <c r="V41" s="3"/>
      <c r="W41" s="12">
        <v>46331</v>
      </c>
      <c r="X41" s="7">
        <v>56</v>
      </c>
      <c r="Y41" s="15">
        <f>(IF(P41&gt;0,P41+R41,R41)-(X41*Ventas!AE143*1))</f>
        <v>366.99</v>
      </c>
      <c r="Z41" s="18">
        <f>(Y41/(Ventas!AE143*1)/60)</f>
        <v>10.730701754385965</v>
      </c>
      <c r="AA41" s="15">
        <f>(120*(Ventas!AE143*1) - IF(Y41&gt;0,Y41,0))</f>
        <v>-298.59000000000003</v>
      </c>
      <c r="AB41" s="15">
        <v>0</v>
      </c>
      <c r="AC41" s="15">
        <f>IF(Y41&gt;0,Y41+IF(AB41&gt;0,AB41,0),AB41)</f>
        <v>366.99</v>
      </c>
      <c r="AD41" s="16">
        <v>0.83</v>
      </c>
      <c r="AE41" s="8">
        <v>3025</v>
      </c>
      <c r="AF41" s="15">
        <f>(AC41-(60*Ventas!AE143*1))</f>
        <v>332.79</v>
      </c>
      <c r="AG41" s="18">
        <f>(AF41/(Ventas!AE143*1)/60)</f>
        <v>9.7307017543859669</v>
      </c>
      <c r="AH41" s="1" t="s">
        <v>35</v>
      </c>
      <c r="AI41">
        <f t="shared" si="0"/>
        <v>0</v>
      </c>
    </row>
    <row r="42" spans="1:35" x14ac:dyDescent="0.25">
      <c r="A42" s="1" t="s">
        <v>412</v>
      </c>
      <c r="B42" s="1" t="s">
        <v>413</v>
      </c>
      <c r="C42" s="14" t="s">
        <v>414</v>
      </c>
      <c r="D42" s="3"/>
      <c r="E42" s="12">
        <v>46238</v>
      </c>
      <c r="F42" s="7">
        <v>1</v>
      </c>
      <c r="G42" s="15">
        <f>(D42-(0)+0-(F42*Ventas!AE212*1))</f>
        <v>-0.55554999999999999</v>
      </c>
      <c r="H42" s="18">
        <f>(G42/(Ventas!AE212*1)/60)</f>
        <v>-1.6666666666666666E-2</v>
      </c>
      <c r="I42" s="8">
        <v>0</v>
      </c>
      <c r="J42" s="15">
        <f>IF(G42&gt;0,G42+I42,I42)</f>
        <v>0</v>
      </c>
      <c r="K42" s="3"/>
      <c r="L42" s="15">
        <v>40</v>
      </c>
      <c r="M42" s="17">
        <v>8.4400000000000002E-4</v>
      </c>
      <c r="N42" s="12">
        <v>46275</v>
      </c>
      <c r="O42" s="7">
        <v>37</v>
      </c>
      <c r="P42" s="15">
        <f>(IF(G42&gt;0,G42+I42,I42)-(O42*Ventas!AE212*1))</f>
        <v>-20.555350000000001</v>
      </c>
      <c r="Q42" s="18">
        <f>(P42/(Ventas!AE212*1)/60)</f>
        <v>-0.6166666666666667</v>
      </c>
      <c r="R42" s="8">
        <v>0</v>
      </c>
      <c r="S42" s="15">
        <f>IF(P42&gt;0,P42+R42,R42)</f>
        <v>0</v>
      </c>
      <c r="T42" s="3"/>
      <c r="U42" s="15">
        <v>40</v>
      </c>
      <c r="V42" s="17">
        <v>8.4400000000000002E-4</v>
      </c>
      <c r="W42" s="12">
        <v>46331</v>
      </c>
      <c r="X42" s="7">
        <v>56</v>
      </c>
      <c r="Y42" s="15">
        <f>(IF(P42&gt;0,P42+R42,R42)-(X42*Ventas!AE212*1))</f>
        <v>-31.110799999999998</v>
      </c>
      <c r="Z42" s="18">
        <f>(Y42/(Ventas!AE212*1)/60)</f>
        <v>-0.93333333333333335</v>
      </c>
      <c r="AA42" s="15">
        <f>(120*(Ventas!AE212*1) - IF(Y42&gt;0,Y42,0))</f>
        <v>66.665999999999997</v>
      </c>
      <c r="AB42" s="89">
        <v>0</v>
      </c>
      <c r="AC42" s="15">
        <f>IF(Y42&gt;0,Y42+IF(AB42&gt;0,AB42,0),AB42)</f>
        <v>0</v>
      </c>
      <c r="AD42" s="16">
        <v>5.35</v>
      </c>
      <c r="AE42" s="8">
        <v>3010</v>
      </c>
      <c r="AF42" s="15">
        <f>(AC42-(60*Ventas!AE212*1))</f>
        <v>-33.332999999999998</v>
      </c>
      <c r="AG42" s="18">
        <f>(AF42/(Ventas!AE212*1)/60)</f>
        <v>-1</v>
      </c>
      <c r="AH42" s="1" t="s">
        <v>32</v>
      </c>
      <c r="AI42">
        <f t="shared" si="0"/>
        <v>0</v>
      </c>
    </row>
    <row r="43" spans="1:35" x14ac:dyDescent="0.25">
      <c r="A43" s="1"/>
      <c r="B43" s="1" t="s">
        <v>458</v>
      </c>
      <c r="C43" s="14" t="s">
        <v>459</v>
      </c>
      <c r="D43" s="3"/>
      <c r="E43" s="12">
        <v>46238</v>
      </c>
      <c r="F43" s="7">
        <v>1</v>
      </c>
      <c r="G43" s="15">
        <f>(D43-(0)+0-(F43*Ventas!AE231*1))</f>
        <v>-0.49454999999999999</v>
      </c>
      <c r="H43" s="18">
        <f>(G43/(Ventas!AE231*1)/60)</f>
        <v>-1.6666666666666666E-2</v>
      </c>
      <c r="I43" s="8">
        <v>36</v>
      </c>
      <c r="J43" s="15">
        <f>IF(G43&gt;0,G43+I43,I43)</f>
        <v>36</v>
      </c>
      <c r="K43" s="15">
        <v>5.26</v>
      </c>
      <c r="L43" s="3">
        <v>36</v>
      </c>
      <c r="M43" s="3"/>
      <c r="N43" s="12">
        <v>46275</v>
      </c>
      <c r="O43" s="7">
        <v>37</v>
      </c>
      <c r="P43" s="15">
        <f>(IF(G43&gt;0,G43+I43,I43)-(O43*Ventas!AE231*1))</f>
        <v>17.701650000000001</v>
      </c>
      <c r="Q43" s="18">
        <f>(P43/(Ventas!AE231*1)/60)</f>
        <v>0.59655747649378221</v>
      </c>
      <c r="R43" s="8">
        <v>288</v>
      </c>
      <c r="S43" s="15">
        <f>IF(P43&gt;0,P43+R43,R43)</f>
        <v>305.70164999999997</v>
      </c>
      <c r="T43" s="15">
        <v>5.3</v>
      </c>
      <c r="U43" s="3">
        <v>36</v>
      </c>
      <c r="V43" s="3"/>
      <c r="W43" s="12">
        <v>46331</v>
      </c>
      <c r="X43" s="7">
        <v>56</v>
      </c>
      <c r="Y43" s="15">
        <f>(IF(P43&gt;0,P43+R43,R43)-(X43*Ventas!AE231*1))</f>
        <v>278.00684999999999</v>
      </c>
      <c r="Z43" s="18">
        <f>(Y43/(Ventas!AE231*1)/60)</f>
        <v>9.3690172884440397</v>
      </c>
      <c r="AA43" s="15">
        <f>(120*(Ventas!AE231*1) - IF(Y43&gt;0,Y43,0))</f>
        <v>-218.66084999999998</v>
      </c>
      <c r="AB43" s="15">
        <v>0</v>
      </c>
      <c r="AC43" s="15">
        <f>IF(Y43&gt;0,Y43+IF(AB43&gt;0,AB43,0),AB43)</f>
        <v>278.00684999999999</v>
      </c>
      <c r="AD43" s="16">
        <v>5.26</v>
      </c>
      <c r="AE43" s="8">
        <v>3025</v>
      </c>
      <c r="AF43" s="15">
        <f>(AC43-(60*Ventas!AE231*1))</f>
        <v>248.33384999999998</v>
      </c>
      <c r="AG43" s="18">
        <f>(AF43/(Ventas!AE231*1)/60)</f>
        <v>8.3690172884440397</v>
      </c>
      <c r="AH43" s="1" t="s">
        <v>32</v>
      </c>
      <c r="AI43">
        <f t="shared" si="0"/>
        <v>0</v>
      </c>
    </row>
    <row r="44" spans="1:35" x14ac:dyDescent="0.25">
      <c r="A44" s="1" t="s">
        <v>399</v>
      </c>
      <c r="B44" s="1" t="s">
        <v>400</v>
      </c>
      <c r="C44" s="14" t="s">
        <v>401</v>
      </c>
      <c r="D44" s="3"/>
      <c r="E44" s="12">
        <v>46238</v>
      </c>
      <c r="F44" s="7">
        <v>1</v>
      </c>
      <c r="G44" s="15">
        <f>(D44-(0)+0-(F44*Ventas!AE207*1))</f>
        <v>-0.42</v>
      </c>
      <c r="H44" s="18">
        <f>(G44/(Ventas!AE207*1)/60)</f>
        <v>-1.6666666666666666E-2</v>
      </c>
      <c r="I44" s="8">
        <v>0</v>
      </c>
      <c r="J44" s="15">
        <f>IF(G44&gt;0,G44+I44,I44)</f>
        <v>0</v>
      </c>
      <c r="K44" s="3"/>
      <c r="L44" s="15">
        <v>40</v>
      </c>
      <c r="M44" s="17">
        <v>8.4400000000000002E-4</v>
      </c>
      <c r="N44" s="12">
        <v>46275</v>
      </c>
      <c r="O44" s="7">
        <v>37</v>
      </c>
      <c r="P44" s="15">
        <f>(IF(G44&gt;0,G44+I44,I44)-(O44*Ventas!AE207*1))</f>
        <v>-15.54</v>
      </c>
      <c r="Q44" s="18">
        <f>(P44/(Ventas!AE207*1)/60)</f>
        <v>-0.6166666666666667</v>
      </c>
      <c r="R44" s="8">
        <v>0</v>
      </c>
      <c r="S44" s="15">
        <f>IF(P44&gt;0,P44+R44,R44)</f>
        <v>0</v>
      </c>
      <c r="T44" s="3"/>
      <c r="U44" s="15">
        <v>40</v>
      </c>
      <c r="V44" s="17">
        <v>8.4400000000000002E-4</v>
      </c>
      <c r="W44" s="12">
        <v>46331</v>
      </c>
      <c r="X44" s="7">
        <v>56</v>
      </c>
      <c r="Y44" s="15">
        <f>(IF(P44&gt;0,P44+R44,R44)-(X44*Ventas!AE207*1))</f>
        <v>-23.52</v>
      </c>
      <c r="Z44" s="18">
        <f>(Y44/(Ventas!AE207*1)/60)</f>
        <v>-0.93333333333333335</v>
      </c>
      <c r="AA44" s="15">
        <f>(120*(Ventas!AE207*1) - IF(Y44&gt;0,Y44,0))</f>
        <v>50.4</v>
      </c>
      <c r="AB44" s="89">
        <v>0</v>
      </c>
      <c r="AC44" s="15">
        <f>IF(Y44&gt;0,Y44+IF(AB44&gt;0,AB44,0),AB44)</f>
        <v>0</v>
      </c>
      <c r="AD44" s="16">
        <v>4.71</v>
      </c>
      <c r="AE44" s="8">
        <v>3017</v>
      </c>
      <c r="AF44" s="15">
        <f>(AC44-(60*Ventas!AE207*1))</f>
        <v>-25.2</v>
      </c>
      <c r="AG44" s="18">
        <f>(AF44/(Ventas!AE207*1)/60)</f>
        <v>-1</v>
      </c>
      <c r="AH44" s="1" t="s">
        <v>32</v>
      </c>
      <c r="AI44">
        <f t="shared" si="0"/>
        <v>0</v>
      </c>
    </row>
    <row r="45" spans="1:35" x14ac:dyDescent="0.25">
      <c r="A45" s="1"/>
      <c r="B45" s="38" t="s">
        <v>232</v>
      </c>
      <c r="C45" s="14" t="s">
        <v>233</v>
      </c>
      <c r="D45" s="3"/>
      <c r="E45" s="12">
        <v>46238</v>
      </c>
      <c r="F45" s="7">
        <v>1</v>
      </c>
      <c r="G45" s="15">
        <f>(D45-(0)+0-(F45*Ventas!AE140*1))</f>
        <v>-0.4</v>
      </c>
      <c r="H45" s="18">
        <f>(G45/(Ventas!AE140*1)/60)</f>
        <v>-1.6666666666666666E-2</v>
      </c>
      <c r="I45" s="8">
        <v>252</v>
      </c>
      <c r="J45" s="15">
        <f>IF(G45&gt;0,G45+I45,I45)</f>
        <v>252</v>
      </c>
      <c r="K45" s="15">
        <v>1.05</v>
      </c>
      <c r="L45" s="3">
        <v>84</v>
      </c>
      <c r="M45" s="3"/>
      <c r="N45" s="12">
        <v>46275</v>
      </c>
      <c r="O45" s="7">
        <v>37</v>
      </c>
      <c r="P45" s="15">
        <f>(IF(G45&gt;0,G45+I45,I45)-(O45*Ventas!AE140*1))</f>
        <v>237.2</v>
      </c>
      <c r="Q45" s="18">
        <f>(P45/(Ventas!AE140*1)/60)</f>
        <v>9.8833333333333311</v>
      </c>
      <c r="R45" s="8">
        <v>0</v>
      </c>
      <c r="S45" s="15">
        <f>IF(P45&gt;0,P45+R45,R45)</f>
        <v>237.2</v>
      </c>
      <c r="T45" s="3"/>
      <c r="U45" s="86">
        <v>84</v>
      </c>
      <c r="V45" s="3"/>
      <c r="W45" s="12">
        <v>46331</v>
      </c>
      <c r="X45" s="7">
        <v>56</v>
      </c>
      <c r="Y45" s="15">
        <f>(IF(P45&gt;0,P45+R45,R45)-(X45*Ventas!AE140*1))</f>
        <v>214.79999999999998</v>
      </c>
      <c r="Z45" s="18">
        <f>(Y45/(Ventas!AE140*1)/60)</f>
        <v>8.9499999999999975</v>
      </c>
      <c r="AA45" s="15">
        <f>(120*(Ventas!AE140*1) - IF(Y45&gt;0,Y45,0))</f>
        <v>-166.79999999999998</v>
      </c>
      <c r="AB45" s="15">
        <v>0</v>
      </c>
      <c r="AC45" s="15">
        <f>IF(Y45&gt;0,Y45+IF(AB45&gt;0,AB45,0),AB45)</f>
        <v>214.79999999999998</v>
      </c>
      <c r="AD45" s="16">
        <v>1.05</v>
      </c>
      <c r="AE45" s="8">
        <v>3025</v>
      </c>
      <c r="AF45" s="15">
        <f>(AC45-(60*Ventas!AE140*1))</f>
        <v>190.79999999999998</v>
      </c>
      <c r="AG45" s="18">
        <f>(AF45/(Ventas!AE140*1)/60)</f>
        <v>7.9499999999999993</v>
      </c>
      <c r="AH45" s="1" t="s">
        <v>35</v>
      </c>
      <c r="AI45">
        <f t="shared" si="0"/>
        <v>0</v>
      </c>
    </row>
    <row r="46" spans="1:35" x14ac:dyDescent="0.25">
      <c r="A46" s="1"/>
      <c r="B46" s="73" t="s">
        <v>582</v>
      </c>
      <c r="C46" s="14" t="s">
        <v>583</v>
      </c>
      <c r="D46" s="3"/>
      <c r="E46" s="12">
        <v>46238</v>
      </c>
      <c r="F46" s="7">
        <v>1</v>
      </c>
      <c r="G46" s="15">
        <f>(D46-(0)+0-(F46*Ventas!AE259*1))</f>
        <v>-0.32</v>
      </c>
      <c r="H46" s="18">
        <f>(G46/(Ventas!AE259*1)/60)</f>
        <v>-1.6666666666666666E-2</v>
      </c>
      <c r="I46" s="8">
        <v>0</v>
      </c>
      <c r="J46" s="15">
        <f>IF(G46&gt;0,G46+I46,I46)</f>
        <v>0</v>
      </c>
      <c r="K46" s="3"/>
      <c r="L46" s="15">
        <v>44</v>
      </c>
      <c r="M46" s="17">
        <v>7.67E-4</v>
      </c>
      <c r="N46" s="12">
        <v>46275</v>
      </c>
      <c r="O46" s="7">
        <v>37</v>
      </c>
      <c r="P46" s="15">
        <f>(IF(G46&gt;0,G46+I46,I46)-(O46*Ventas!AE259*0.9189))</f>
        <v>-10.879776</v>
      </c>
      <c r="Q46" s="18">
        <f>(P46/(Ventas!AE259*0.9189)/60)</f>
        <v>-0.61666666666666659</v>
      </c>
      <c r="R46" s="8">
        <v>0</v>
      </c>
      <c r="S46" s="15">
        <f>IF(P46&gt;0,P46+R46,R46)</f>
        <v>0</v>
      </c>
      <c r="T46" s="3"/>
      <c r="U46" s="15">
        <v>44</v>
      </c>
      <c r="V46" s="17">
        <v>7.67E-4</v>
      </c>
      <c r="W46" s="12">
        <v>46331</v>
      </c>
      <c r="X46" s="7">
        <v>56</v>
      </c>
      <c r="Y46" s="15">
        <f>(IF(P46&gt;0,P46+R46,R46)-(X46*Ventas!AE259*0.925))</f>
        <v>-16.576000000000004</v>
      </c>
      <c r="Z46" s="18">
        <f>(Y46/(Ventas!AE259*0.925)/60)</f>
        <v>-0.93333333333333346</v>
      </c>
      <c r="AA46" s="15">
        <f>(120*(Ventas!AE259*1.485) - IF(Y46&gt;0,Y46,0))</f>
        <v>57.024000000000008</v>
      </c>
      <c r="AB46" s="15">
        <v>0</v>
      </c>
      <c r="AC46" s="15">
        <f>IF(Y46&gt;0,Y46+IF(AB46&gt;0,AB46,0),AB46)</f>
        <v>0</v>
      </c>
      <c r="AD46" s="16">
        <v>6.21</v>
      </c>
      <c r="AE46" s="8">
        <v>3027</v>
      </c>
      <c r="AF46" s="15">
        <f>(AC46-(60*Ventas!AE259*1.485))</f>
        <v>-28.512</v>
      </c>
      <c r="AG46" s="18">
        <f>(AF46/(Ventas!AE259*1.485)/60)</f>
        <v>-0.99999999999999989</v>
      </c>
      <c r="AH46" s="1" t="s">
        <v>35</v>
      </c>
      <c r="AI46">
        <f t="shared" si="0"/>
        <v>0</v>
      </c>
    </row>
    <row r="47" spans="1:35" x14ac:dyDescent="0.25">
      <c r="A47" s="1"/>
      <c r="B47" s="1" t="s">
        <v>72</v>
      </c>
      <c r="C47" s="14" t="s">
        <v>73</v>
      </c>
      <c r="D47" s="3"/>
      <c r="E47" s="12">
        <v>46238</v>
      </c>
      <c r="F47" s="7">
        <v>1</v>
      </c>
      <c r="G47" s="15">
        <f>(D47-(0)+0-(F47*Ventas!AE63*1))</f>
        <v>-0.26</v>
      </c>
      <c r="H47" s="18">
        <f>(G47/(Ventas!AE63*1)/60)</f>
        <v>-1.6666666666666666E-2</v>
      </c>
      <c r="I47" s="8">
        <v>36</v>
      </c>
      <c r="J47" s="15">
        <f>IF(G47&gt;0,G47+I47,I47)</f>
        <v>36</v>
      </c>
      <c r="K47" s="15">
        <v>10.51</v>
      </c>
      <c r="L47" s="15">
        <v>1</v>
      </c>
      <c r="M47" s="17">
        <v>3.3100000000000002E-4</v>
      </c>
      <c r="N47" s="12">
        <v>46275</v>
      </c>
      <c r="O47" s="7">
        <v>37</v>
      </c>
      <c r="P47" s="15">
        <f>(IF(G47&gt;0,G47+I47,I47)-(O47*Ventas!AE63*1))</f>
        <v>26.38</v>
      </c>
      <c r="Q47" s="18">
        <f>(P47/(Ventas!AE63*1)/60)</f>
        <v>1.6910256410256408</v>
      </c>
      <c r="R47" s="8">
        <v>30</v>
      </c>
      <c r="S47" s="15">
        <f>IF(P47&gt;0,P47+R47,R47)</f>
        <v>56.379999999999995</v>
      </c>
      <c r="T47" s="15">
        <v>10.61</v>
      </c>
      <c r="U47" s="15">
        <v>1</v>
      </c>
      <c r="V47" s="17">
        <v>3.3100000000000002E-4</v>
      </c>
      <c r="W47" s="12">
        <v>46331</v>
      </c>
      <c r="X47" s="7">
        <v>56</v>
      </c>
      <c r="Y47" s="15">
        <f>(IF(P47&gt;0,P47+R47,R47)-(X47*Ventas!AE63*1))</f>
        <v>41.819999999999993</v>
      </c>
      <c r="Z47" s="18">
        <f>(Y47/(Ventas!AE63*1)/60)</f>
        <v>2.6807692307692301</v>
      </c>
      <c r="AA47" s="15">
        <f>(120*(Ventas!AE63*1) - IF(Y47&gt;0,Y47,0))</f>
        <v>-10.61999999999999</v>
      </c>
      <c r="AB47" s="15">
        <v>0</v>
      </c>
      <c r="AC47" s="15">
        <f>IF(Y47&gt;0,Y47+IF(AB47&gt;0,AB47,0),AB47)</f>
        <v>41.819999999999993</v>
      </c>
      <c r="AD47" s="16">
        <v>10.51</v>
      </c>
      <c r="AE47" s="8">
        <v>3025</v>
      </c>
      <c r="AF47" s="15">
        <f>(AC47-(60*Ventas!AE63*1))</f>
        <v>26.219999999999992</v>
      </c>
      <c r="AG47" s="18">
        <f>(AF47/(Ventas!AE63*1)/60)</f>
        <v>1.6807692307692301</v>
      </c>
      <c r="AH47" s="1" t="s">
        <v>35</v>
      </c>
      <c r="AI47">
        <f t="shared" si="0"/>
        <v>0</v>
      </c>
    </row>
    <row r="48" spans="1:35" x14ac:dyDescent="0.25">
      <c r="A48" s="1"/>
      <c r="B48" s="1" t="s">
        <v>658</v>
      </c>
      <c r="C48" s="14" t="s">
        <v>659</v>
      </c>
      <c r="D48" s="3"/>
      <c r="E48" s="12">
        <v>46238</v>
      </c>
      <c r="F48" s="7">
        <v>1</v>
      </c>
      <c r="G48" s="15">
        <f>(D48-(0)+0-(F48*Ventas!AE292*1))</f>
        <v>-0.24</v>
      </c>
      <c r="H48" s="18">
        <f>(G48/(Ventas!AE292*1)/60)</f>
        <v>-1.6666666666666666E-2</v>
      </c>
      <c r="I48" s="8">
        <v>45</v>
      </c>
      <c r="J48" s="15">
        <f>IF(G48&gt;0,G48+I48,I48)</f>
        <v>45</v>
      </c>
      <c r="K48" s="15">
        <v>2.99</v>
      </c>
      <c r="L48" s="15">
        <v>45</v>
      </c>
      <c r="M48" s="17">
        <v>9.6699999999999998E-4</v>
      </c>
      <c r="N48" s="12">
        <v>46275</v>
      </c>
      <c r="O48" s="7">
        <v>37</v>
      </c>
      <c r="P48" s="15">
        <f>(IF(G48&gt;0,G48+I48,I48)-(O48*Ventas!AE292*0.9189))</f>
        <v>36.840167999999998</v>
      </c>
      <c r="Q48" s="18">
        <f>(P48/(Ventas!AE292*0.9189)/60)</f>
        <v>2.7841386440309059</v>
      </c>
      <c r="R48" s="8">
        <v>0</v>
      </c>
      <c r="S48" s="15">
        <f>IF(P48&gt;0,P48+R48,R48)</f>
        <v>36.840167999999998</v>
      </c>
      <c r="T48" s="3"/>
      <c r="U48" s="15">
        <v>45</v>
      </c>
      <c r="V48" s="17">
        <v>9.6699999999999998E-4</v>
      </c>
      <c r="W48" s="12">
        <v>46331</v>
      </c>
      <c r="X48" s="7">
        <v>56</v>
      </c>
      <c r="Y48" s="15">
        <f>(IF(P48&gt;0,P48+R48,R48)-(X48*Ventas!AE292*0.925))</f>
        <v>24.408167999999996</v>
      </c>
      <c r="Z48" s="18">
        <f>(Y48/(Ventas!AE292*0.925)/60)</f>
        <v>1.8324450450450447</v>
      </c>
      <c r="AA48" s="15">
        <f>(120*(Ventas!AE292*1.485) - IF(Y48&gt;0,Y48,0))</f>
        <v>18.359832000000004</v>
      </c>
      <c r="AB48" s="15">
        <v>45</v>
      </c>
      <c r="AC48" s="15">
        <f>IF(Y48&gt;0,Y48+IF(AB48&gt;0,AB48,0),AB48)</f>
        <v>69.408167999999989</v>
      </c>
      <c r="AD48" s="16">
        <v>2.99</v>
      </c>
      <c r="AE48" s="8">
        <v>3025</v>
      </c>
      <c r="AF48" s="15">
        <f>(AC48-(60*Ventas!AE292*1.485))</f>
        <v>48.024167999999989</v>
      </c>
      <c r="AG48" s="18">
        <f>(AF48/(Ventas!AE292*1.485)/60)</f>
        <v>2.2457991021324353</v>
      </c>
      <c r="AH48" s="1" t="s">
        <v>35</v>
      </c>
      <c r="AI48">
        <f t="shared" si="0"/>
        <v>134.55000000000001</v>
      </c>
    </row>
    <row r="49" spans="1:35" x14ac:dyDescent="0.25">
      <c r="A49" s="1"/>
      <c r="B49" s="49" t="s">
        <v>182</v>
      </c>
      <c r="C49" s="14" t="s">
        <v>183</v>
      </c>
      <c r="D49" s="3"/>
      <c r="E49" s="12">
        <v>46238</v>
      </c>
      <c r="F49" s="7">
        <v>1</v>
      </c>
      <c r="G49" s="15">
        <f>(D49-(0)+0-(F49*Ventas!AE115*1))</f>
        <v>-0.23</v>
      </c>
      <c r="H49" s="18">
        <f>(G49/(Ventas!AE115*1)/60)</f>
        <v>-1.6666666666666666E-2</v>
      </c>
      <c r="I49" s="8">
        <v>0</v>
      </c>
      <c r="J49" s="15">
        <f>IF(G49&gt;0,G49+I49,I49)</f>
        <v>0</v>
      </c>
      <c r="K49" s="3"/>
      <c r="L49" s="15">
        <v>84</v>
      </c>
      <c r="M49" s="17">
        <v>3.57E-4</v>
      </c>
      <c r="N49" s="12">
        <v>46275</v>
      </c>
      <c r="O49" s="7">
        <v>37</v>
      </c>
      <c r="P49" s="15">
        <f>(IF(G49&gt;0,G49+I49,I49)-(O49*Ventas!AE115*1))</f>
        <v>-8.51</v>
      </c>
      <c r="Q49" s="18">
        <f>(P49/(Ventas!AE115*1)/60)</f>
        <v>-0.6166666666666667</v>
      </c>
      <c r="R49" s="8">
        <v>0</v>
      </c>
      <c r="S49" s="15">
        <f>IF(P49&gt;0,P49+R49,R49)</f>
        <v>0</v>
      </c>
      <c r="T49" s="3"/>
      <c r="U49" s="15">
        <v>84</v>
      </c>
      <c r="V49" s="17">
        <v>3.57E-4</v>
      </c>
      <c r="W49" s="12">
        <v>46331</v>
      </c>
      <c r="X49" s="7">
        <v>56</v>
      </c>
      <c r="Y49" s="15">
        <f>(IF(P49&gt;0,P49+R49,R49)-(X49*Ventas!AE115*1))</f>
        <v>-12.88</v>
      </c>
      <c r="Z49" s="18">
        <f>(Y49/(Ventas!AE115*1)/60)</f>
        <v>-0.93333333333333335</v>
      </c>
      <c r="AA49" s="15">
        <f>(120*(Ventas!AE115*1) - IF(Y49&gt;0,Y49,0))</f>
        <v>27.6</v>
      </c>
      <c r="AB49" s="15">
        <v>0</v>
      </c>
      <c r="AC49" s="15">
        <f>IF(Y49&gt;0,Y49+IF(AB49&gt;0,AB49,0),AB49)</f>
        <v>0</v>
      </c>
      <c r="AD49" s="16">
        <v>0.67</v>
      </c>
      <c r="AE49" s="8">
        <v>3010</v>
      </c>
      <c r="AF49" s="15">
        <f>(AC49-(60*Ventas!AE115*1))</f>
        <v>-13.8</v>
      </c>
      <c r="AG49" s="18">
        <f>(AF49/(Ventas!AE115*1)/60)</f>
        <v>-1</v>
      </c>
      <c r="AH49" s="1" t="s">
        <v>35</v>
      </c>
      <c r="AI49">
        <f t="shared" si="0"/>
        <v>0</v>
      </c>
    </row>
    <row r="50" spans="1:35" x14ac:dyDescent="0.25">
      <c r="A50" s="1"/>
      <c r="B50" s="1" t="s">
        <v>464</v>
      </c>
      <c r="C50" s="14" t="s">
        <v>465</v>
      </c>
      <c r="D50" s="8">
        <v>1</v>
      </c>
      <c r="E50" s="12">
        <v>46238</v>
      </c>
      <c r="F50" s="7">
        <v>1</v>
      </c>
      <c r="G50" s="15">
        <f>(D50-(0)+0-(F50*Ventas!AE234*1))</f>
        <v>-4.0000000000000036E-2</v>
      </c>
      <c r="H50" s="18">
        <f>(G50/(Ventas!AE234*1)/60)</f>
        <v>-6.4102564102564157E-4</v>
      </c>
      <c r="I50" s="8">
        <v>0</v>
      </c>
      <c r="J50" s="15">
        <f>IF(G50&gt;0,G50+I50,I50)</f>
        <v>0</v>
      </c>
      <c r="K50" s="3"/>
      <c r="L50" s="3"/>
      <c r="M50" s="3"/>
      <c r="N50" s="12">
        <v>46275</v>
      </c>
      <c r="O50" s="7">
        <v>37</v>
      </c>
      <c r="P50" s="15">
        <f>(IF(G50&gt;0,G50+I50,I50)-(O50*Ventas!AE234*1))</f>
        <v>-38.480000000000004</v>
      </c>
      <c r="Q50" s="18">
        <f>(P50/(Ventas!AE234*1)/60)</f>
        <v>-0.6166666666666667</v>
      </c>
      <c r="R50" s="8">
        <v>108</v>
      </c>
      <c r="S50" s="15">
        <f>IF(P50&gt;0,P50+R50,R50)</f>
        <v>108</v>
      </c>
      <c r="T50" s="15">
        <v>12.88</v>
      </c>
      <c r="U50" s="86">
        <v>36</v>
      </c>
      <c r="V50" s="3"/>
      <c r="W50" s="12">
        <v>46331</v>
      </c>
      <c r="X50" s="7">
        <v>56</v>
      </c>
      <c r="Y50" s="15">
        <f>(IF(P50&gt;0,P50+R50,R50)-(X50*Ventas!AE234*1))</f>
        <v>49.76</v>
      </c>
      <c r="Z50" s="18">
        <f>(Y50/(Ventas!AE234*1)/60)</f>
        <v>0.79743589743589738</v>
      </c>
      <c r="AA50" s="15">
        <f>(120*(Ventas!AE234*1) - IF(Y50&gt;0,Y50,0))</f>
        <v>75.04000000000002</v>
      </c>
      <c r="AB50" s="96">
        <v>108</v>
      </c>
      <c r="AC50" s="15">
        <f>IF(Y50&gt;0,Y50+IF(AB50&gt;0,AB50,0),AB50)</f>
        <v>157.76</v>
      </c>
      <c r="AD50" s="16">
        <v>12.23</v>
      </c>
      <c r="AE50" s="8">
        <v>3027</v>
      </c>
      <c r="AF50" s="15">
        <f>(AC50-(60*Ventas!AE234*1))</f>
        <v>95.359999999999985</v>
      </c>
      <c r="AG50" s="18">
        <f>(AF50/(Ventas!AE234*1)/60)</f>
        <v>1.5282051282051279</v>
      </c>
      <c r="AH50" s="1" t="s">
        <v>35</v>
      </c>
      <c r="AI50">
        <f t="shared" si="0"/>
        <v>1320.8400000000001</v>
      </c>
    </row>
    <row r="51" spans="1:35" x14ac:dyDescent="0.25">
      <c r="A51" s="1"/>
      <c r="B51" s="1" t="s">
        <v>586</v>
      </c>
      <c r="C51" s="14" t="s">
        <v>587</v>
      </c>
      <c r="D51" s="3"/>
      <c r="E51" s="12">
        <v>46238</v>
      </c>
      <c r="F51" s="7">
        <v>1</v>
      </c>
      <c r="G51" s="15">
        <f>(D51-(0)+0-(F51*Ventas!AE261*1))</f>
        <v>-2.778333333333333E-2</v>
      </c>
      <c r="H51" s="18">
        <f>(G51/(Ventas!AE261*1)/60)</f>
        <v>-1.6666666666666666E-2</v>
      </c>
      <c r="I51" s="8">
        <v>0</v>
      </c>
      <c r="J51" s="15">
        <f>IF(G51&gt;0,G51+I51,I51)</f>
        <v>0</v>
      </c>
      <c r="K51" s="3"/>
      <c r="L51" s="15">
        <v>44</v>
      </c>
      <c r="M51" s="17">
        <v>7.67E-4</v>
      </c>
      <c r="N51" s="12">
        <v>46275</v>
      </c>
      <c r="O51" s="7">
        <v>37</v>
      </c>
      <c r="P51" s="15">
        <f>(IF(G51&gt;0,G51+I51,I51)-(O51*Ventas!AE261*0.9189))</f>
        <v>-0.94461388499999999</v>
      </c>
      <c r="Q51" s="18">
        <f>(P51/(Ventas!AE261*0.9189)/60)</f>
        <v>-0.6166666666666667</v>
      </c>
      <c r="R51" s="8">
        <v>0</v>
      </c>
      <c r="S51" s="15">
        <f>IF(P51&gt;0,P51+R51,R51)</f>
        <v>0</v>
      </c>
      <c r="T51" s="3"/>
      <c r="U51" s="15">
        <v>44</v>
      </c>
      <c r="V51" s="17">
        <v>7.67E-4</v>
      </c>
      <c r="W51" s="12">
        <v>46331</v>
      </c>
      <c r="X51" s="7">
        <v>56</v>
      </c>
      <c r="Y51" s="15">
        <f>(IF(P51&gt;0,P51+R51,R51)-(X51*Ventas!AE261*0.925))</f>
        <v>-1.4391766666666665</v>
      </c>
      <c r="Z51" s="18">
        <f>(Y51/(Ventas!AE261*0.925)/60)</f>
        <v>-0.93333333333333335</v>
      </c>
      <c r="AA51" s="15">
        <f>(120*(Ventas!AE261*1.485) - IF(Y51&gt;0,Y51,0))</f>
        <v>4.9509899999999991</v>
      </c>
      <c r="AB51" s="15">
        <v>0</v>
      </c>
      <c r="AC51" s="15">
        <f>IF(Y51&gt;0,Y51+IF(AB51&gt;0,AB51,0),AB51)</f>
        <v>0</v>
      </c>
      <c r="AD51" s="16">
        <v>5.48</v>
      </c>
      <c r="AE51" s="8">
        <v>3010</v>
      </c>
      <c r="AF51" s="15">
        <f>(AC51-(60*Ventas!AE261*1.485))</f>
        <v>-2.475495</v>
      </c>
      <c r="AG51" s="18">
        <f>(AF51/(Ventas!AE261*1.485)/60)</f>
        <v>-1.0000000000000002</v>
      </c>
      <c r="AH51" s="1" t="s">
        <v>32</v>
      </c>
      <c r="AI51">
        <f t="shared" si="0"/>
        <v>0</v>
      </c>
    </row>
    <row r="52" spans="1:35" x14ac:dyDescent="0.25">
      <c r="A52" s="1" t="s">
        <v>270</v>
      </c>
      <c r="B52" s="80" t="s">
        <v>271</v>
      </c>
      <c r="C52" s="14" t="s">
        <v>272</v>
      </c>
      <c r="D52" s="3"/>
      <c r="E52" s="12">
        <v>46238</v>
      </c>
      <c r="F52" s="7">
        <v>1</v>
      </c>
      <c r="G52" s="15">
        <f>(D52-(0)+0-(F52*Ventas!AE159*1))</f>
        <v>0</v>
      </c>
      <c r="H52" s="3"/>
      <c r="I52" s="8">
        <v>0</v>
      </c>
      <c r="J52" s="15">
        <f>IF(G52&gt;0,G52+I52,I52)</f>
        <v>0</v>
      </c>
      <c r="K52" s="3"/>
      <c r="L52" s="15">
        <v>60</v>
      </c>
      <c r="M52" s="17">
        <v>7.2499999999999995E-4</v>
      </c>
      <c r="N52" s="12">
        <v>46275</v>
      </c>
      <c r="O52" s="7">
        <v>37</v>
      </c>
      <c r="P52" s="15">
        <f>(IF(G52&gt;0,G52+I52,I52)-(O52*Ventas!AE159*1))</f>
        <v>0</v>
      </c>
      <c r="Q52" s="3"/>
      <c r="R52" s="8">
        <v>0</v>
      </c>
      <c r="S52" s="15">
        <f>IF(P52&gt;0,P52+R52,R52)</f>
        <v>0</v>
      </c>
      <c r="T52" s="3"/>
      <c r="U52" s="15">
        <v>60</v>
      </c>
      <c r="V52" s="17">
        <v>7.2499999999999995E-4</v>
      </c>
      <c r="W52" s="12">
        <v>46331</v>
      </c>
      <c r="X52" s="7">
        <v>56</v>
      </c>
      <c r="Y52" s="15">
        <f>(IF(P52&gt;0,P52+R52,R52)-(X52*Ventas!AE159*1))</f>
        <v>0</v>
      </c>
      <c r="Z52" s="3"/>
      <c r="AA52" s="15">
        <f>(120*(Ventas!AE159*1) - IF(Y52&gt;0,Y52,0))</f>
        <v>0</v>
      </c>
      <c r="AB52" s="15">
        <v>0</v>
      </c>
      <c r="AC52" s="15">
        <f>IF(Y52&gt;0,Y52+IF(AB52&gt;0,AB52,0),AB52)</f>
        <v>0</v>
      </c>
      <c r="AD52" s="16">
        <v>0.77</v>
      </c>
      <c r="AE52" s="8">
        <v>3025</v>
      </c>
      <c r="AF52" s="3"/>
      <c r="AG52" s="3"/>
      <c r="AH52" s="1" t="s">
        <v>32</v>
      </c>
      <c r="AI52">
        <f t="shared" si="0"/>
        <v>0</v>
      </c>
    </row>
    <row r="53" spans="1:35" x14ac:dyDescent="0.25">
      <c r="A53" s="1"/>
      <c r="B53" s="1" t="s">
        <v>30</v>
      </c>
      <c r="C53" s="14" t="s">
        <v>31</v>
      </c>
      <c r="D53" s="3"/>
      <c r="E53" s="12">
        <v>46238</v>
      </c>
      <c r="F53" s="7">
        <v>1</v>
      </c>
      <c r="G53" s="15">
        <f>(D53-(0)+0-(F53*Ventas!AE6*0))</f>
        <v>0</v>
      </c>
      <c r="H53" s="3"/>
      <c r="I53" s="8">
        <v>0</v>
      </c>
      <c r="J53" s="15">
        <f>IF(G53&gt;0,G53+I53,I53)</f>
        <v>0</v>
      </c>
      <c r="K53" s="3"/>
      <c r="L53" s="3"/>
      <c r="M53" s="3"/>
      <c r="N53" s="12">
        <v>46275</v>
      </c>
      <c r="O53" s="7">
        <v>37</v>
      </c>
      <c r="P53" s="15">
        <f>(IF(G53&gt;0,G53+I53,I53)-(O53*Ventas!AE6*1))</f>
        <v>0</v>
      </c>
      <c r="Q53" s="3"/>
      <c r="R53" s="8">
        <v>0</v>
      </c>
      <c r="S53" s="15">
        <f>IF(P53&gt;0,P53+R53,R53)</f>
        <v>0</v>
      </c>
      <c r="T53" s="3"/>
      <c r="U53" s="3">
        <v>10</v>
      </c>
      <c r="V53" s="3"/>
      <c r="W53" s="12">
        <v>46331</v>
      </c>
      <c r="X53" s="7">
        <v>56</v>
      </c>
      <c r="Y53" s="15">
        <f>(IF(P53&gt;0,P53+R53,R53)-(X53*Ventas!AE6*1))</f>
        <v>0</v>
      </c>
      <c r="Z53" s="3"/>
      <c r="AA53" s="15">
        <f>(120*(Ventas!AE6*1) - IF(Y53&gt;0,Y53,0))</f>
        <v>0</v>
      </c>
      <c r="AB53" s="15">
        <v>0</v>
      </c>
      <c r="AC53" s="15">
        <f>IF(Y53&gt;0,Y53+IF(AB53&gt;0,AB53,0),AB53)</f>
        <v>0</v>
      </c>
      <c r="AD53" s="16">
        <v>0.02</v>
      </c>
      <c r="AE53" s="8">
        <v>3017</v>
      </c>
      <c r="AF53" s="3"/>
      <c r="AG53" s="3"/>
      <c r="AH53" s="1" t="s">
        <v>32</v>
      </c>
      <c r="AI53">
        <f t="shared" si="0"/>
        <v>0</v>
      </c>
    </row>
    <row r="54" spans="1:35" x14ac:dyDescent="0.25">
      <c r="A54" s="1"/>
      <c r="B54" s="1" t="s">
        <v>40</v>
      </c>
      <c r="C54" s="14" t="s">
        <v>41</v>
      </c>
      <c r="D54" s="3"/>
      <c r="E54" s="12">
        <v>46238</v>
      </c>
      <c r="F54" s="7">
        <v>1</v>
      </c>
      <c r="G54" s="15">
        <f>(D54-(0)+0-(F54*Ventas!AE10*0))</f>
        <v>0</v>
      </c>
      <c r="H54" s="3"/>
      <c r="I54" s="8">
        <v>0</v>
      </c>
      <c r="J54" s="15">
        <f>IF(G54&gt;0,G54+I54,I54)</f>
        <v>0</v>
      </c>
      <c r="K54" s="3"/>
      <c r="L54" s="3"/>
      <c r="M54" s="3"/>
      <c r="N54" s="12">
        <v>46275</v>
      </c>
      <c r="O54" s="7">
        <v>37</v>
      </c>
      <c r="P54" s="15">
        <f>(IF(G54&gt;0,G54+I54,I54)-(O54*Ventas!AE10*1))</f>
        <v>0</v>
      </c>
      <c r="Q54" s="3"/>
      <c r="R54" s="8">
        <v>0</v>
      </c>
      <c r="S54" s="15">
        <f>IF(P54&gt;0,P54+R54,R54)</f>
        <v>0</v>
      </c>
      <c r="T54" s="3"/>
      <c r="U54" s="3"/>
      <c r="V54" s="3"/>
      <c r="W54" s="12">
        <v>46331</v>
      </c>
      <c r="X54" s="7">
        <v>56</v>
      </c>
      <c r="Y54" s="15">
        <f>(IF(P54&gt;0,P54+R54,R54)-(X54*Ventas!AE10*1))</f>
        <v>0</v>
      </c>
      <c r="Z54" s="3"/>
      <c r="AA54" s="15">
        <f>(120*(Ventas!AE10*1) - IF(Y54&gt;0,Y54,0))</f>
        <v>0</v>
      </c>
      <c r="AB54" s="15">
        <v>0</v>
      </c>
      <c r="AC54" s="15">
        <f>IF(Y54&gt;0,Y54+IF(AB54&gt;0,AB54,0),AB54)</f>
        <v>0</v>
      </c>
      <c r="AD54" s="16">
        <v>12.21</v>
      </c>
      <c r="AE54" s="8">
        <v>3017</v>
      </c>
      <c r="AF54" s="3"/>
      <c r="AG54" s="3"/>
      <c r="AH54" s="1" t="s">
        <v>32</v>
      </c>
      <c r="AI54">
        <f t="shared" si="0"/>
        <v>0</v>
      </c>
    </row>
    <row r="55" spans="1:35" x14ac:dyDescent="0.25">
      <c r="A55" s="1"/>
      <c r="B55" s="1" t="s">
        <v>42</v>
      </c>
      <c r="C55" s="14" t="s">
        <v>43</v>
      </c>
      <c r="D55" s="3"/>
      <c r="E55" s="12">
        <v>46238</v>
      </c>
      <c r="F55" s="7">
        <v>1</v>
      </c>
      <c r="G55" s="15">
        <f>(D55-(0)+0-(F55*Ventas!AE11*0))</f>
        <v>0</v>
      </c>
      <c r="H55" s="3"/>
      <c r="I55" s="8">
        <v>0</v>
      </c>
      <c r="J55" s="15">
        <f>IF(G55&gt;0,G55+I55,I55)</f>
        <v>0</v>
      </c>
      <c r="K55" s="3"/>
      <c r="L55" s="3"/>
      <c r="M55" s="3"/>
      <c r="N55" s="12">
        <v>46275</v>
      </c>
      <c r="O55" s="7">
        <v>37</v>
      </c>
      <c r="P55" s="15">
        <f>(IF(G55&gt;0,G55+I55,I55)-(O55*Ventas!AE11*1))</f>
        <v>0</v>
      </c>
      <c r="Q55" s="3"/>
      <c r="R55" s="8">
        <v>0</v>
      </c>
      <c r="S55" s="15">
        <f>IF(P55&gt;0,P55+R55,R55)</f>
        <v>0</v>
      </c>
      <c r="T55" s="3"/>
      <c r="U55" s="3"/>
      <c r="V55" s="3"/>
      <c r="W55" s="12">
        <v>46331</v>
      </c>
      <c r="X55" s="7">
        <v>56</v>
      </c>
      <c r="Y55" s="15">
        <f>(IF(P55&gt;0,P55+R55,R55)-(X55*Ventas!AE11*1))</f>
        <v>0</v>
      </c>
      <c r="Z55" s="3"/>
      <c r="AA55" s="15">
        <f>(120*(Ventas!AE11*1) - IF(Y55&gt;0,Y55,0))</f>
        <v>0</v>
      </c>
      <c r="AB55" s="15">
        <v>0</v>
      </c>
      <c r="AC55" s="15">
        <f>IF(Y55&gt;0,Y55+IF(AB55&gt;0,AB55,0),AB55)</f>
        <v>0</v>
      </c>
      <c r="AD55" s="3"/>
      <c r="AE55" s="8">
        <v>3025</v>
      </c>
      <c r="AF55" s="3"/>
      <c r="AG55" s="3"/>
      <c r="AH55" s="1" t="s">
        <v>32</v>
      </c>
      <c r="AI55">
        <f t="shared" si="0"/>
        <v>0</v>
      </c>
    </row>
    <row r="56" spans="1:35" x14ac:dyDescent="0.25">
      <c r="A56" s="1"/>
      <c r="B56" s="1" t="s">
        <v>44</v>
      </c>
      <c r="C56" s="14" t="s">
        <v>45</v>
      </c>
      <c r="D56" s="3"/>
      <c r="E56" s="12">
        <v>46238</v>
      </c>
      <c r="F56" s="7">
        <v>1</v>
      </c>
      <c r="G56" s="15">
        <f>(D56-(0)+0-(F56*Ventas!AE36*0))</f>
        <v>0</v>
      </c>
      <c r="H56" s="3"/>
      <c r="I56" s="8">
        <v>0</v>
      </c>
      <c r="J56" s="15">
        <f>IF(G56&gt;0,G56+I56,I56)</f>
        <v>0</v>
      </c>
      <c r="K56" s="3"/>
      <c r="L56" s="3"/>
      <c r="M56" s="3"/>
      <c r="N56" s="12">
        <v>46275</v>
      </c>
      <c r="O56" s="7">
        <v>37</v>
      </c>
      <c r="P56" s="15">
        <f>(IF(G56&gt;0,G56+I56,I56)-(O56*Ventas!AE36*1))</f>
        <v>0</v>
      </c>
      <c r="Q56" s="3"/>
      <c r="R56" s="8">
        <v>0</v>
      </c>
      <c r="S56" s="15">
        <f>IF(P56&gt;0,P56+R56,R56)</f>
        <v>0</v>
      </c>
      <c r="T56" s="3"/>
      <c r="U56" s="3"/>
      <c r="V56" s="3"/>
      <c r="W56" s="12">
        <v>46331</v>
      </c>
      <c r="X56" s="7">
        <v>56</v>
      </c>
      <c r="Y56" s="15">
        <f>(IF(P56&gt;0,P56+R56,R56)-(X56*Ventas!AE36*1))</f>
        <v>0</v>
      </c>
      <c r="Z56" s="3"/>
      <c r="AA56" s="15">
        <f>(120*(Ventas!AE36*1) - IF(Y56&gt;0,Y56,0))</f>
        <v>0</v>
      </c>
      <c r="AB56" s="15">
        <v>0</v>
      </c>
      <c r="AC56" s="15">
        <f>IF(Y56&gt;0,Y56+IF(AB56&gt;0,AB56,0),AB56)</f>
        <v>0</v>
      </c>
      <c r="AD56" s="3"/>
      <c r="AE56" s="3"/>
      <c r="AF56" s="3"/>
      <c r="AG56" s="3"/>
      <c r="AH56" s="1" t="s">
        <v>35</v>
      </c>
      <c r="AI56">
        <f t="shared" si="0"/>
        <v>0</v>
      </c>
    </row>
    <row r="57" spans="1:35" x14ac:dyDescent="0.25">
      <c r="A57" s="1"/>
      <c r="B57" s="1" t="s">
        <v>46</v>
      </c>
      <c r="C57" s="14" t="s">
        <v>47</v>
      </c>
      <c r="D57" s="3"/>
      <c r="E57" s="12">
        <v>46238</v>
      </c>
      <c r="F57" s="7">
        <v>1</v>
      </c>
      <c r="G57" s="15">
        <f>(D57-(0)+0-(F57*Ventas!AE37*0))</f>
        <v>0</v>
      </c>
      <c r="H57" s="3"/>
      <c r="I57" s="8">
        <v>0</v>
      </c>
      <c r="J57" s="15">
        <f>IF(G57&gt;0,G57+I57,I57)</f>
        <v>0</v>
      </c>
      <c r="K57" s="3"/>
      <c r="L57" s="3"/>
      <c r="M57" s="3"/>
      <c r="N57" s="12">
        <v>46275</v>
      </c>
      <c r="O57" s="7">
        <v>37</v>
      </c>
      <c r="P57" s="15">
        <f>(IF(G57&gt;0,G57+I57,I57)-(O57*Ventas!AE37*1))</f>
        <v>0</v>
      </c>
      <c r="Q57" s="3"/>
      <c r="R57" s="8">
        <v>0</v>
      </c>
      <c r="S57" s="15">
        <f>IF(P57&gt;0,P57+R57,R57)</f>
        <v>0</v>
      </c>
      <c r="T57" s="3"/>
      <c r="U57" s="3"/>
      <c r="V57" s="3"/>
      <c r="W57" s="12">
        <v>46331</v>
      </c>
      <c r="X57" s="7">
        <v>56</v>
      </c>
      <c r="Y57" s="15">
        <f>(IF(P57&gt;0,P57+R57,R57)-(X57*Ventas!AE37*1))</f>
        <v>0</v>
      </c>
      <c r="Z57" s="3"/>
      <c r="AA57" s="15">
        <f>(120*(Ventas!AE37*1) - IF(Y57&gt;0,Y57,0))</f>
        <v>0</v>
      </c>
      <c r="AB57" s="15">
        <v>0</v>
      </c>
      <c r="AC57" s="15">
        <f>IF(Y57&gt;0,Y57+IF(AB57&gt;0,AB57,0),AB57)</f>
        <v>0</v>
      </c>
      <c r="AD57" s="16">
        <v>4.4400000000000004</v>
      </c>
      <c r="AE57" s="8">
        <v>3017</v>
      </c>
      <c r="AF57" s="3"/>
      <c r="AG57" s="3"/>
      <c r="AH57" s="1" t="s">
        <v>35</v>
      </c>
      <c r="AI57">
        <f t="shared" si="0"/>
        <v>0</v>
      </c>
    </row>
    <row r="58" spans="1:35" x14ac:dyDescent="0.25">
      <c r="A58" s="1"/>
      <c r="B58" s="1" t="s">
        <v>52</v>
      </c>
      <c r="C58" s="14" t="s">
        <v>53</v>
      </c>
      <c r="D58" s="3"/>
      <c r="E58" s="12">
        <v>46238</v>
      </c>
      <c r="F58" s="7">
        <v>1</v>
      </c>
      <c r="G58" s="15">
        <f>(D58-(0)+0-(F58*Ventas!AE12*1))</f>
        <v>0</v>
      </c>
      <c r="H58" s="3"/>
      <c r="I58" s="8">
        <v>0</v>
      </c>
      <c r="J58" s="15">
        <f>IF(G58&gt;0,G58+I58,I58)</f>
        <v>0</v>
      </c>
      <c r="K58" s="3"/>
      <c r="L58" s="3"/>
      <c r="M58" s="3"/>
      <c r="N58" s="12">
        <v>46275</v>
      </c>
      <c r="O58" s="7">
        <v>37</v>
      </c>
      <c r="P58" s="15">
        <f>(IF(G58&gt;0,G58+I58,I58)-(O58*Ventas!AE12*0.9189))</f>
        <v>0</v>
      </c>
      <c r="Q58" s="3"/>
      <c r="R58" s="8">
        <v>0</v>
      </c>
      <c r="S58" s="15">
        <f>IF(P58&gt;0,P58+R58,R58)</f>
        <v>0</v>
      </c>
      <c r="T58" s="3"/>
      <c r="U58" s="3"/>
      <c r="V58" s="3"/>
      <c r="W58" s="12">
        <v>46331</v>
      </c>
      <c r="X58" s="7">
        <v>56</v>
      </c>
      <c r="Y58" s="15">
        <f>(IF(P58&gt;0,P58+R58,R58)-(X58*Ventas!AE12*0.8268))</f>
        <v>0</v>
      </c>
      <c r="Z58" s="3"/>
      <c r="AA58" s="15">
        <f>(120*(Ventas!AE12*1.95) - IF(Y58&gt;0,Y58,0))</f>
        <v>0</v>
      </c>
      <c r="AB58" s="15">
        <v>0</v>
      </c>
      <c r="AC58" s="15">
        <f>IF(Y58&gt;0,Y58+IF(AB58&gt;0,AB58,0),AB58)</f>
        <v>0</v>
      </c>
      <c r="AD58" s="3"/>
      <c r="AE58" s="3"/>
      <c r="AF58" s="3"/>
      <c r="AG58" s="3"/>
      <c r="AH58" s="1" t="s">
        <v>35</v>
      </c>
      <c r="AI58">
        <f t="shared" si="0"/>
        <v>0</v>
      </c>
    </row>
    <row r="59" spans="1:35" x14ac:dyDescent="0.25">
      <c r="A59" s="1"/>
      <c r="B59" s="1" t="s">
        <v>54</v>
      </c>
      <c r="C59" s="14" t="s">
        <v>55</v>
      </c>
      <c r="D59" s="3"/>
      <c r="E59" s="12">
        <v>46238</v>
      </c>
      <c r="F59" s="7">
        <v>1</v>
      </c>
      <c r="G59" s="15">
        <f>(D59-(0)+0-(F59*Ventas!AE18*1))</f>
        <v>0</v>
      </c>
      <c r="H59" s="3"/>
      <c r="I59" s="8">
        <v>0</v>
      </c>
      <c r="J59" s="15">
        <f>IF(G59&gt;0,G59+I59,I59)</f>
        <v>0</v>
      </c>
      <c r="K59" s="3"/>
      <c r="L59" s="15">
        <v>7</v>
      </c>
      <c r="M59" s="17">
        <v>4.2859999999999999E-3</v>
      </c>
      <c r="N59" s="12">
        <v>46275</v>
      </c>
      <c r="O59" s="7">
        <v>37</v>
      </c>
      <c r="P59" s="15">
        <f>(IF(G59&gt;0,G59+I59,I59)-(O59*Ventas!AE18*0.9189))</f>
        <v>0</v>
      </c>
      <c r="Q59" s="3"/>
      <c r="R59" s="8">
        <v>0</v>
      </c>
      <c r="S59" s="15">
        <f>IF(P59&gt;0,P59+R59,R59)</f>
        <v>0</v>
      </c>
      <c r="T59" s="3"/>
      <c r="U59" s="15">
        <v>7</v>
      </c>
      <c r="V59" s="17">
        <v>4.2859999999999999E-3</v>
      </c>
      <c r="W59" s="12">
        <v>46331</v>
      </c>
      <c r="X59" s="7">
        <v>56</v>
      </c>
      <c r="Y59" s="15">
        <f>(IF(P59&gt;0,P59+R59,R59)-(X59*Ventas!AE18*0.8268))</f>
        <v>0</v>
      </c>
      <c r="Z59" s="3"/>
      <c r="AA59" s="15">
        <f>(120*(Ventas!AE18*1.95) - IF(Y59&gt;0,Y59,0))</f>
        <v>0</v>
      </c>
      <c r="AB59" s="15">
        <v>0</v>
      </c>
      <c r="AC59" s="15">
        <f>IF(Y59&gt;0,Y59+IF(AB59&gt;0,AB59,0),AB59)</f>
        <v>0</v>
      </c>
      <c r="AD59" s="16">
        <v>9.34</v>
      </c>
      <c r="AE59" s="8">
        <v>3025</v>
      </c>
      <c r="AF59" s="3"/>
      <c r="AG59" s="3"/>
      <c r="AH59" s="1" t="s">
        <v>35</v>
      </c>
      <c r="AI59">
        <f t="shared" si="0"/>
        <v>0</v>
      </c>
    </row>
    <row r="60" spans="1:35" x14ac:dyDescent="0.25">
      <c r="A60" s="1"/>
      <c r="B60" s="1" t="s">
        <v>56</v>
      </c>
      <c r="C60" s="14" t="s">
        <v>57</v>
      </c>
      <c r="D60" s="3"/>
      <c r="E60" s="12">
        <v>46238</v>
      </c>
      <c r="F60" s="7">
        <v>1</v>
      </c>
      <c r="G60" s="15">
        <f>(D60-(0)+0-(F60*Ventas!AE4*1))</f>
        <v>0</v>
      </c>
      <c r="H60" s="3"/>
      <c r="I60" s="8">
        <v>0</v>
      </c>
      <c r="J60" s="15">
        <f>IF(G60&gt;0,G60+I60,I60)</f>
        <v>0</v>
      </c>
      <c r="K60" s="3"/>
      <c r="L60" s="15">
        <v>44</v>
      </c>
      <c r="M60" s="17">
        <v>8.4699999999999999E-4</v>
      </c>
      <c r="N60" s="12">
        <v>46275</v>
      </c>
      <c r="O60" s="7">
        <v>37</v>
      </c>
      <c r="P60" s="15">
        <f>(IF(G60&gt;0,G60+I60,I60)-(O60*Ventas!AE4*0.9189))</f>
        <v>0</v>
      </c>
      <c r="Q60" s="3"/>
      <c r="R60" s="8">
        <v>0</v>
      </c>
      <c r="S60" s="15">
        <f>IF(P60&gt;0,P60+R60,R60)</f>
        <v>0</v>
      </c>
      <c r="T60" s="3"/>
      <c r="U60" s="15">
        <v>44</v>
      </c>
      <c r="V60" s="17">
        <v>8.4699999999999999E-4</v>
      </c>
      <c r="W60" s="12">
        <v>46331</v>
      </c>
      <c r="X60" s="7">
        <v>56</v>
      </c>
      <c r="Y60" s="15">
        <f>(IF(P60&gt;0,P60+R60,R60)-(X60*Ventas!AE4*0.8268))</f>
        <v>0</v>
      </c>
      <c r="Z60" s="3"/>
      <c r="AA60" s="15">
        <f>(120*(Ventas!AE4*1.95) - IF(Y60&gt;0,Y60,0))</f>
        <v>0</v>
      </c>
      <c r="AB60" s="15">
        <v>0</v>
      </c>
      <c r="AC60" s="15">
        <f>IF(Y60&gt;0,Y60+IF(AB60&gt;0,AB60,0),AB60)</f>
        <v>0</v>
      </c>
      <c r="AD60" s="16">
        <v>4.43</v>
      </c>
      <c r="AE60" s="8">
        <v>3025</v>
      </c>
      <c r="AF60" s="3"/>
      <c r="AG60" s="3"/>
      <c r="AH60" s="1" t="s">
        <v>35</v>
      </c>
      <c r="AI60">
        <f t="shared" si="0"/>
        <v>0</v>
      </c>
    </row>
    <row r="61" spans="1:35" x14ac:dyDescent="0.25">
      <c r="A61" s="1"/>
      <c r="B61" s="1" t="s">
        <v>62</v>
      </c>
      <c r="C61" s="14" t="s">
        <v>63</v>
      </c>
      <c r="D61" s="3"/>
      <c r="E61" s="12">
        <v>46238</v>
      </c>
      <c r="F61" s="7">
        <v>1</v>
      </c>
      <c r="G61" s="15">
        <f>(D61-(0)+0-(F61*Ventas!AE58*1))</f>
        <v>0</v>
      </c>
      <c r="H61" s="3"/>
      <c r="I61" s="8">
        <v>0</v>
      </c>
      <c r="J61" s="15">
        <f>IF(G61&gt;0,G61+I61,I61)</f>
        <v>0</v>
      </c>
      <c r="K61" s="3"/>
      <c r="L61" s="15">
        <v>52</v>
      </c>
      <c r="M61" s="17">
        <v>6.4899999999999995E-4</v>
      </c>
      <c r="N61" s="12">
        <v>46275</v>
      </c>
      <c r="O61" s="7">
        <v>37</v>
      </c>
      <c r="P61" s="15">
        <f>(IF(G61&gt;0,G61+I61,I61)-(O61*Ventas!AE58*1))</f>
        <v>0</v>
      </c>
      <c r="Q61" s="3"/>
      <c r="R61" s="8">
        <v>0</v>
      </c>
      <c r="S61" s="15">
        <f>IF(P61&gt;0,P61+R61,R61)</f>
        <v>0</v>
      </c>
      <c r="T61" s="3"/>
      <c r="U61" s="15">
        <v>52</v>
      </c>
      <c r="V61" s="17">
        <v>6.4899999999999995E-4</v>
      </c>
      <c r="W61" s="12">
        <v>46331</v>
      </c>
      <c r="X61" s="7">
        <v>56</v>
      </c>
      <c r="Y61" s="15">
        <f>(IF(P61&gt;0,P61+R61,R61)-(X61*Ventas!AE58*1))</f>
        <v>0</v>
      </c>
      <c r="Z61" s="3"/>
      <c r="AA61" s="15">
        <f>(120*(Ventas!AE58*1) - IF(Y61&gt;0,Y61,0))</f>
        <v>0</v>
      </c>
      <c r="AB61" s="15">
        <v>0</v>
      </c>
      <c r="AC61" s="15">
        <f>IF(Y61&gt;0,Y61+IF(AB61&gt;0,AB61,0),AB61)</f>
        <v>0</v>
      </c>
      <c r="AD61" s="16">
        <v>2.69</v>
      </c>
      <c r="AE61" s="8">
        <v>3025</v>
      </c>
      <c r="AF61" s="3"/>
      <c r="AG61" s="3"/>
      <c r="AH61" s="1" t="s">
        <v>35</v>
      </c>
      <c r="AI61">
        <f t="shared" si="0"/>
        <v>0</v>
      </c>
    </row>
    <row r="62" spans="1:35" x14ac:dyDescent="0.25">
      <c r="A62" s="1"/>
      <c r="B62" s="1" t="s">
        <v>64</v>
      </c>
      <c r="C62" s="14" t="s">
        <v>65</v>
      </c>
      <c r="D62" s="3"/>
      <c r="E62" s="12">
        <v>46238</v>
      </c>
      <c r="F62" s="7">
        <v>1</v>
      </c>
      <c r="G62" s="15">
        <f>(D62-(0)+0-(F62*Ventas!AE59*1))</f>
        <v>0</v>
      </c>
      <c r="H62" s="3"/>
      <c r="I62" s="8">
        <v>0</v>
      </c>
      <c r="J62" s="15">
        <f>IF(G62&gt;0,G62+I62,I62)</f>
        <v>0</v>
      </c>
      <c r="K62" s="3"/>
      <c r="L62" s="15">
        <v>52</v>
      </c>
      <c r="M62" s="17">
        <v>5.7700000000000004E-4</v>
      </c>
      <c r="N62" s="12">
        <v>46275</v>
      </c>
      <c r="O62" s="7">
        <v>37</v>
      </c>
      <c r="P62" s="15">
        <f>(IF(G62&gt;0,G62+I62,I62)-(O62*Ventas!AE59*1))</f>
        <v>0</v>
      </c>
      <c r="Q62" s="3"/>
      <c r="R62" s="8">
        <v>0</v>
      </c>
      <c r="S62" s="15">
        <f>IF(P62&gt;0,P62+R62,R62)</f>
        <v>0</v>
      </c>
      <c r="T62" s="3"/>
      <c r="U62" s="15">
        <v>52</v>
      </c>
      <c r="V62" s="17">
        <v>5.7700000000000004E-4</v>
      </c>
      <c r="W62" s="12">
        <v>46331</v>
      </c>
      <c r="X62" s="7">
        <v>56</v>
      </c>
      <c r="Y62" s="15">
        <f>(IF(P62&gt;0,P62+R62,R62)-(X62*Ventas!AE59*1))</f>
        <v>0</v>
      </c>
      <c r="Z62" s="3"/>
      <c r="AA62" s="15">
        <f>(120*(Ventas!AE59*1) - IF(Y62&gt;0,Y62,0))</f>
        <v>0</v>
      </c>
      <c r="AB62" s="15">
        <v>0</v>
      </c>
      <c r="AC62" s="15">
        <f>IF(Y62&gt;0,Y62+IF(AB62&gt;0,AB62,0),AB62)</f>
        <v>0</v>
      </c>
      <c r="AD62" s="16">
        <v>1.42</v>
      </c>
      <c r="AE62" s="8">
        <v>3025</v>
      </c>
      <c r="AF62" s="3"/>
      <c r="AG62" s="3"/>
      <c r="AH62" s="1" t="s">
        <v>35</v>
      </c>
      <c r="AI62">
        <f t="shared" si="0"/>
        <v>0</v>
      </c>
    </row>
    <row r="63" spans="1:35" x14ac:dyDescent="0.25">
      <c r="A63" s="1"/>
      <c r="B63" s="1" t="s">
        <v>66</v>
      </c>
      <c r="C63" s="14" t="s">
        <v>67</v>
      </c>
      <c r="D63" s="3"/>
      <c r="E63" s="12">
        <v>46238</v>
      </c>
      <c r="F63" s="7">
        <v>1</v>
      </c>
      <c r="G63" s="15">
        <f>(D63-(0)+0-(F63*Ventas!AE60*1))</f>
        <v>0</v>
      </c>
      <c r="H63" s="3"/>
      <c r="I63" s="8">
        <v>0</v>
      </c>
      <c r="J63" s="15">
        <f>IF(G63&gt;0,G63+I63,I63)</f>
        <v>0</v>
      </c>
      <c r="K63" s="3"/>
      <c r="L63" s="15">
        <v>60</v>
      </c>
      <c r="M63" s="17">
        <v>4.3300000000000001E-4</v>
      </c>
      <c r="N63" s="12">
        <v>46275</v>
      </c>
      <c r="O63" s="7">
        <v>37</v>
      </c>
      <c r="P63" s="15">
        <f>(IF(G63&gt;0,G63+I63,I63)-(O63*Ventas!AE60*1))</f>
        <v>0</v>
      </c>
      <c r="Q63" s="3"/>
      <c r="R63" s="8">
        <v>0</v>
      </c>
      <c r="S63" s="15">
        <f>IF(P63&gt;0,P63+R63,R63)</f>
        <v>0</v>
      </c>
      <c r="T63" s="3"/>
      <c r="U63" s="15">
        <v>60</v>
      </c>
      <c r="V63" s="17">
        <v>4.3300000000000001E-4</v>
      </c>
      <c r="W63" s="12">
        <v>46331</v>
      </c>
      <c r="X63" s="7">
        <v>56</v>
      </c>
      <c r="Y63" s="15">
        <f>(IF(P63&gt;0,P63+R63,R63)-(X63*Ventas!AE60*1))</f>
        <v>0</v>
      </c>
      <c r="Z63" s="3"/>
      <c r="AA63" s="15">
        <f>(120*(Ventas!AE60*1) - IF(Y63&gt;0,Y63,0))</f>
        <v>0</v>
      </c>
      <c r="AB63" s="15">
        <v>0</v>
      </c>
      <c r="AC63" s="15">
        <f>IF(Y63&gt;0,Y63+IF(AB63&gt;0,AB63,0),AB63)</f>
        <v>0</v>
      </c>
      <c r="AD63" s="16">
        <v>0.87</v>
      </c>
      <c r="AE63" s="8">
        <v>3025</v>
      </c>
      <c r="AF63" s="3"/>
      <c r="AG63" s="3"/>
      <c r="AH63" s="1" t="s">
        <v>35</v>
      </c>
      <c r="AI63">
        <f t="shared" si="0"/>
        <v>0</v>
      </c>
    </row>
    <row r="64" spans="1:35" x14ac:dyDescent="0.25">
      <c r="A64" s="1"/>
      <c r="B64" s="1" t="s">
        <v>68</v>
      </c>
      <c r="C64" s="14" t="s">
        <v>69</v>
      </c>
      <c r="D64" s="3"/>
      <c r="E64" s="12">
        <v>46238</v>
      </c>
      <c r="F64" s="7">
        <v>1</v>
      </c>
      <c r="G64" s="15">
        <f>(D64-(0)+0-(F64*Ventas!AE61*1))</f>
        <v>0</v>
      </c>
      <c r="H64" s="3"/>
      <c r="I64" s="8">
        <v>0</v>
      </c>
      <c r="J64" s="15">
        <f>IF(G64&gt;0,G64+I64,I64)</f>
        <v>0</v>
      </c>
      <c r="K64" s="3"/>
      <c r="L64" s="15">
        <v>60</v>
      </c>
      <c r="M64" s="17">
        <v>4.3300000000000001E-4</v>
      </c>
      <c r="N64" s="12">
        <v>46275</v>
      </c>
      <c r="O64" s="7">
        <v>37</v>
      </c>
      <c r="P64" s="15">
        <f>(IF(G64&gt;0,G64+I64,I64)-(O64*Ventas!AE61*1))</f>
        <v>0</v>
      </c>
      <c r="Q64" s="3"/>
      <c r="R64" s="8">
        <v>0</v>
      </c>
      <c r="S64" s="15">
        <f>IF(P64&gt;0,P64+R64,R64)</f>
        <v>0</v>
      </c>
      <c r="T64" s="3"/>
      <c r="U64" s="15">
        <v>60</v>
      </c>
      <c r="V64" s="17">
        <v>4.3300000000000001E-4</v>
      </c>
      <c r="W64" s="12">
        <v>46331</v>
      </c>
      <c r="X64" s="7">
        <v>56</v>
      </c>
      <c r="Y64" s="15">
        <f>(IF(P64&gt;0,P64+R64,R64)-(X64*Ventas!AE61*1))</f>
        <v>0</v>
      </c>
      <c r="Z64" s="3"/>
      <c r="AA64" s="15">
        <f>(120*(Ventas!AE61*1) - IF(Y64&gt;0,Y64,0))</f>
        <v>0</v>
      </c>
      <c r="AB64" s="15">
        <v>0</v>
      </c>
      <c r="AC64" s="15">
        <f>IF(Y64&gt;0,Y64+IF(AB64&gt;0,AB64,0),AB64)</f>
        <v>0</v>
      </c>
      <c r="AD64" s="16">
        <v>0.87</v>
      </c>
      <c r="AE64" s="8">
        <v>3025</v>
      </c>
      <c r="AF64" s="3"/>
      <c r="AG64" s="3"/>
      <c r="AH64" s="1" t="s">
        <v>35</v>
      </c>
      <c r="AI64">
        <f t="shared" si="0"/>
        <v>0</v>
      </c>
    </row>
    <row r="65" spans="1:35" x14ac:dyDescent="0.25">
      <c r="A65" s="1"/>
      <c r="B65" s="1" t="s">
        <v>70</v>
      </c>
      <c r="C65" s="14" t="s">
        <v>71</v>
      </c>
      <c r="D65" s="3"/>
      <c r="E65" s="12">
        <v>46238</v>
      </c>
      <c r="F65" s="7">
        <v>1</v>
      </c>
      <c r="G65" s="15">
        <f>(D65-(0)+0-(F65*Ventas!AE62*1))</f>
        <v>0</v>
      </c>
      <c r="H65" s="3"/>
      <c r="I65" s="8">
        <v>0</v>
      </c>
      <c r="J65" s="15">
        <f>IF(G65&gt;0,G65+I65,I65)</f>
        <v>0</v>
      </c>
      <c r="K65" s="3"/>
      <c r="L65" s="15">
        <v>60</v>
      </c>
      <c r="M65" s="17">
        <v>4.7199999999999998E-4</v>
      </c>
      <c r="N65" s="12">
        <v>46275</v>
      </c>
      <c r="O65" s="7">
        <v>37</v>
      </c>
      <c r="P65" s="15">
        <f>(IF(G65&gt;0,G65+I65,I65)-(O65*Ventas!AE62*1))</f>
        <v>0</v>
      </c>
      <c r="Q65" s="3"/>
      <c r="R65" s="8">
        <v>0</v>
      </c>
      <c r="S65" s="15">
        <f>IF(P65&gt;0,P65+R65,R65)</f>
        <v>0</v>
      </c>
      <c r="T65" s="3"/>
      <c r="U65" s="15">
        <v>60</v>
      </c>
      <c r="V65" s="17">
        <v>4.7199999999999998E-4</v>
      </c>
      <c r="W65" s="12">
        <v>46331</v>
      </c>
      <c r="X65" s="7">
        <v>56</v>
      </c>
      <c r="Y65" s="15">
        <f>(IF(P65&gt;0,P65+R65,R65)-(X65*Ventas!AE62*1))</f>
        <v>0</v>
      </c>
      <c r="Z65" s="3"/>
      <c r="AA65" s="15">
        <f>(120*(Ventas!AE62*1) - IF(Y65&gt;0,Y65,0))</f>
        <v>0</v>
      </c>
      <c r="AB65" s="15">
        <v>0</v>
      </c>
      <c r="AC65" s="15">
        <f>IF(Y65&gt;0,Y65+IF(AB65&gt;0,AB65,0),AB65)</f>
        <v>0</v>
      </c>
      <c r="AD65" s="16">
        <v>0.46</v>
      </c>
      <c r="AE65" s="8">
        <v>3025</v>
      </c>
      <c r="AF65" s="3"/>
      <c r="AG65" s="3"/>
      <c r="AH65" s="1" t="s">
        <v>35</v>
      </c>
      <c r="AI65">
        <f t="shared" si="0"/>
        <v>0</v>
      </c>
    </row>
    <row r="66" spans="1:35" x14ac:dyDescent="0.25">
      <c r="A66" s="1"/>
      <c r="B66" s="1" t="s">
        <v>76</v>
      </c>
      <c r="C66" s="14" t="s">
        <v>77</v>
      </c>
      <c r="D66" s="3"/>
      <c r="E66" s="12">
        <v>46238</v>
      </c>
      <c r="F66" s="7">
        <v>1</v>
      </c>
      <c r="G66" s="15">
        <f>(D66-(0)+0-(F66*Ventas!AE65*1))</f>
        <v>0</v>
      </c>
      <c r="H66" s="3"/>
      <c r="I66" s="8">
        <v>0</v>
      </c>
      <c r="J66" s="15">
        <f>IF(G66&gt;0,G66+I66,I66)</f>
        <v>0</v>
      </c>
      <c r="K66" s="3"/>
      <c r="L66" s="15">
        <v>60</v>
      </c>
      <c r="M66" s="17">
        <v>4.7199999999999998E-4</v>
      </c>
      <c r="N66" s="12">
        <v>46275</v>
      </c>
      <c r="O66" s="7">
        <v>37</v>
      </c>
      <c r="P66" s="15">
        <f>(IF(G66&gt;0,G66+I66,I66)-(O66*Ventas!AE65*1))</f>
        <v>0</v>
      </c>
      <c r="Q66" s="3"/>
      <c r="R66" s="8">
        <v>0</v>
      </c>
      <c r="S66" s="15">
        <f>IF(P66&gt;0,P66+R66,R66)</f>
        <v>0</v>
      </c>
      <c r="T66" s="3"/>
      <c r="U66" s="15">
        <v>60</v>
      </c>
      <c r="V66" s="17">
        <v>4.7199999999999998E-4</v>
      </c>
      <c r="W66" s="12">
        <v>46331</v>
      </c>
      <c r="X66" s="7">
        <v>56</v>
      </c>
      <c r="Y66" s="15">
        <f>(IF(P66&gt;0,P66+R66,R66)-(X66*Ventas!AE65*1))</f>
        <v>0</v>
      </c>
      <c r="Z66" s="3"/>
      <c r="AA66" s="15">
        <f>(120*(Ventas!AE65*1) - IF(Y66&gt;0,Y66,0))</f>
        <v>0</v>
      </c>
      <c r="AB66" s="15">
        <v>0</v>
      </c>
      <c r="AC66" s="15">
        <f>IF(Y66&gt;0,Y66+IF(AB66&gt;0,AB66,0),AB66)</f>
        <v>0</v>
      </c>
      <c r="AD66" s="16">
        <v>0.67</v>
      </c>
      <c r="AE66" s="8">
        <v>3010</v>
      </c>
      <c r="AF66" s="3"/>
      <c r="AG66" s="3"/>
      <c r="AH66" s="1" t="s">
        <v>32</v>
      </c>
      <c r="AI66">
        <f t="shared" si="0"/>
        <v>0</v>
      </c>
    </row>
    <row r="67" spans="1:35" x14ac:dyDescent="0.25">
      <c r="A67" s="1"/>
      <c r="B67" s="37" t="s">
        <v>92</v>
      </c>
      <c r="C67" s="14" t="s">
        <v>93</v>
      </c>
      <c r="D67" s="3"/>
      <c r="E67" s="12">
        <v>46238</v>
      </c>
      <c r="F67" s="7">
        <v>1</v>
      </c>
      <c r="G67" s="15">
        <f>(D67-(0)+0-(F67*Ventas!AE73*1))</f>
        <v>0</v>
      </c>
      <c r="H67" s="18" t="e">
        <f>(G67/(Ventas!AE73*1)/60)</f>
        <v>#DIV/0!</v>
      </c>
      <c r="I67" s="8">
        <v>0</v>
      </c>
      <c r="J67" s="15">
        <f>IF(G67&gt;0,G67+I67,I67)</f>
        <v>0</v>
      </c>
      <c r="K67" s="3"/>
      <c r="L67" s="15">
        <v>60</v>
      </c>
      <c r="M67" s="17">
        <v>4.7199999999999998E-4</v>
      </c>
      <c r="N67" s="12">
        <v>46275</v>
      </c>
      <c r="O67" s="7">
        <v>37</v>
      </c>
      <c r="P67" s="15">
        <f>(IF(G67&gt;0,G67+I67,I67)-(O67*Ventas!AE73*1))</f>
        <v>0</v>
      </c>
      <c r="Q67" s="18" t="e">
        <f>(P67/(Ventas!AE73*1)/60)</f>
        <v>#DIV/0!</v>
      </c>
      <c r="R67" s="8">
        <v>0</v>
      </c>
      <c r="S67" s="15">
        <f>IF(P67&gt;0,P67+R67,R67)</f>
        <v>0</v>
      </c>
      <c r="T67" s="3"/>
      <c r="U67" s="15">
        <v>60</v>
      </c>
      <c r="V67" s="17">
        <v>4.7199999999999998E-4</v>
      </c>
      <c r="W67" s="12">
        <v>46331</v>
      </c>
      <c r="X67" s="7">
        <v>56</v>
      </c>
      <c r="Y67" s="15">
        <f>(IF(P67&gt;0,P67+R67,R67)-(X67*Ventas!AE73*1))</f>
        <v>0</v>
      </c>
      <c r="Z67" s="18" t="e">
        <f>(Y67/(Ventas!AE73*1)/60)</f>
        <v>#DIV/0!</v>
      </c>
      <c r="AA67" s="15">
        <f>(120*(Ventas!AE73*1) - IF(Y67&gt;0,Y67,0))</f>
        <v>0</v>
      </c>
      <c r="AB67" s="15">
        <v>0</v>
      </c>
      <c r="AC67" s="15">
        <f>IF(Y67&gt;0,Y67+IF(AB67&gt;0,AB67,0),AB67)</f>
        <v>0</v>
      </c>
      <c r="AD67" s="16">
        <v>1.02</v>
      </c>
      <c r="AE67" s="8">
        <v>3010</v>
      </c>
      <c r="AF67" s="15">
        <f>(AC67-(60*Ventas!AE73*1))</f>
        <v>0</v>
      </c>
      <c r="AG67" s="18" t="e">
        <f>(AF67/(Ventas!AE73*1)/60)</f>
        <v>#DIV/0!</v>
      </c>
      <c r="AH67" s="1" t="s">
        <v>32</v>
      </c>
      <c r="AI67">
        <f t="shared" si="0"/>
        <v>0</v>
      </c>
    </row>
    <row r="68" spans="1:35" x14ac:dyDescent="0.25">
      <c r="A68" s="1"/>
      <c r="B68" s="47" t="s">
        <v>98</v>
      </c>
      <c r="C68" s="14" t="s">
        <v>99</v>
      </c>
      <c r="D68" s="3"/>
      <c r="E68" s="12">
        <v>46238</v>
      </c>
      <c r="F68" s="7">
        <v>1</v>
      </c>
      <c r="G68" s="15">
        <f>(D68-(0)+0-(F68*Ventas!AE76*1))</f>
        <v>0</v>
      </c>
      <c r="H68" s="3"/>
      <c r="I68" s="8">
        <v>0</v>
      </c>
      <c r="J68" s="15">
        <f>IF(G68&gt;0,G68+I68,I68)</f>
        <v>0</v>
      </c>
      <c r="K68" s="3"/>
      <c r="L68" s="15">
        <v>60</v>
      </c>
      <c r="M68" s="17">
        <v>4.7199999999999998E-4</v>
      </c>
      <c r="N68" s="12">
        <v>46275</v>
      </c>
      <c r="O68" s="7">
        <v>37</v>
      </c>
      <c r="P68" s="15">
        <f>(IF(G68&gt;0,G68+I68,I68)-(O68*Ventas!AE76*1))</f>
        <v>0</v>
      </c>
      <c r="Q68" s="3"/>
      <c r="R68" s="8">
        <v>0</v>
      </c>
      <c r="S68" s="15">
        <f>IF(P68&gt;0,P68+R68,R68)</f>
        <v>0</v>
      </c>
      <c r="T68" s="3"/>
      <c r="U68" s="15">
        <v>60</v>
      </c>
      <c r="V68" s="17">
        <v>4.7199999999999998E-4</v>
      </c>
      <c r="W68" s="12">
        <v>46331</v>
      </c>
      <c r="X68" s="7">
        <v>56</v>
      </c>
      <c r="Y68" s="15">
        <f>(IF(P68&gt;0,P68+R68,R68)-(X68*Ventas!AE76*1))</f>
        <v>0</v>
      </c>
      <c r="Z68" s="3"/>
      <c r="AA68" s="15">
        <f>(120*(Ventas!AE76*1) - IF(Y68&gt;0,Y68,0))</f>
        <v>0</v>
      </c>
      <c r="AB68" s="15">
        <v>0</v>
      </c>
      <c r="AC68" s="15">
        <f>IF(Y68&gt;0,Y68+IF(AB68&gt;0,AB68,0),AB68)</f>
        <v>0</v>
      </c>
      <c r="AD68" s="16">
        <v>0.69</v>
      </c>
      <c r="AE68" s="8">
        <v>3017</v>
      </c>
      <c r="AF68" s="3"/>
      <c r="AG68" s="3"/>
      <c r="AH68" s="1" t="s">
        <v>32</v>
      </c>
      <c r="AI68">
        <f t="shared" si="0"/>
        <v>0</v>
      </c>
    </row>
    <row r="69" spans="1:35" x14ac:dyDescent="0.25">
      <c r="A69" s="1"/>
      <c r="B69" s="45" t="s">
        <v>100</v>
      </c>
      <c r="C69" s="14" t="s">
        <v>101</v>
      </c>
      <c r="D69" s="3"/>
      <c r="E69" s="12">
        <v>46238</v>
      </c>
      <c r="F69" s="7">
        <v>1</v>
      </c>
      <c r="G69" s="15">
        <f>(D69-(0)+0-(F69*Ventas!AE77*1))</f>
        <v>0</v>
      </c>
      <c r="H69" s="3"/>
      <c r="I69" s="8">
        <v>0</v>
      </c>
      <c r="J69" s="15">
        <f>IF(G69&gt;0,G69+I69,I69)</f>
        <v>0</v>
      </c>
      <c r="K69" s="3"/>
      <c r="L69" s="15">
        <v>60</v>
      </c>
      <c r="M69" s="17">
        <v>4.7199999999999998E-4</v>
      </c>
      <c r="N69" s="12">
        <v>46275</v>
      </c>
      <c r="O69" s="7">
        <v>37</v>
      </c>
      <c r="P69" s="15">
        <f>(IF(G69&gt;0,G69+I69,I69)-(O69*Ventas!AE77*1))</f>
        <v>0</v>
      </c>
      <c r="Q69" s="3"/>
      <c r="R69" s="8">
        <v>0</v>
      </c>
      <c r="S69" s="15">
        <f>IF(P69&gt;0,P69+R69,R69)</f>
        <v>0</v>
      </c>
      <c r="T69" s="3"/>
      <c r="U69" s="15">
        <v>60</v>
      </c>
      <c r="V69" s="17">
        <v>4.7199999999999998E-4</v>
      </c>
      <c r="W69" s="12">
        <v>46331</v>
      </c>
      <c r="X69" s="7">
        <v>56</v>
      </c>
      <c r="Y69" s="15">
        <f>(IF(P69&gt;0,P69+R69,R69)-(X69*Ventas!AE77*1))</f>
        <v>0</v>
      </c>
      <c r="Z69" s="3"/>
      <c r="AA69" s="15">
        <f>(120*(Ventas!AE77*1) - IF(Y69&gt;0,Y69,0))</f>
        <v>0</v>
      </c>
      <c r="AB69" s="15">
        <v>0</v>
      </c>
      <c r="AC69" s="15">
        <f>IF(Y69&gt;0,Y69+IF(AB69&gt;0,AB69,0),AB69)</f>
        <v>0</v>
      </c>
      <c r="AD69" s="16">
        <v>0.59</v>
      </c>
      <c r="AE69" s="8">
        <v>3010</v>
      </c>
      <c r="AF69" s="3"/>
      <c r="AG69" s="3"/>
      <c r="AH69" s="1" t="s">
        <v>32</v>
      </c>
      <c r="AI69">
        <f t="shared" si="0"/>
        <v>0</v>
      </c>
    </row>
    <row r="70" spans="1:35" x14ac:dyDescent="0.25">
      <c r="A70" s="1"/>
      <c r="B70" s="53" t="s">
        <v>102</v>
      </c>
      <c r="C70" s="14" t="s">
        <v>103</v>
      </c>
      <c r="D70" s="3"/>
      <c r="E70" s="12">
        <v>46238</v>
      </c>
      <c r="F70" s="7">
        <v>1</v>
      </c>
      <c r="G70" s="15">
        <f>(D70-(0)+0-(F70*Ventas!AE78*1))</f>
        <v>0</v>
      </c>
      <c r="H70" s="3"/>
      <c r="I70" s="8">
        <v>0</v>
      </c>
      <c r="J70" s="15">
        <f>IF(G70&gt;0,G70+I70,I70)</f>
        <v>0</v>
      </c>
      <c r="K70" s="3"/>
      <c r="L70" s="15">
        <v>60</v>
      </c>
      <c r="M70" s="17">
        <v>4.7199999999999998E-4</v>
      </c>
      <c r="N70" s="12">
        <v>46275</v>
      </c>
      <c r="O70" s="7">
        <v>37</v>
      </c>
      <c r="P70" s="15">
        <f>(IF(G70&gt;0,G70+I70,I70)-(O70*Ventas!AE78*1))</f>
        <v>0</v>
      </c>
      <c r="Q70" s="3"/>
      <c r="R70" s="8">
        <v>0</v>
      </c>
      <c r="S70" s="15">
        <f>IF(P70&gt;0,P70+R70,R70)</f>
        <v>0</v>
      </c>
      <c r="T70" s="3"/>
      <c r="U70" s="15">
        <v>60</v>
      </c>
      <c r="V70" s="17">
        <v>4.7199999999999998E-4</v>
      </c>
      <c r="W70" s="12">
        <v>46331</v>
      </c>
      <c r="X70" s="7">
        <v>56</v>
      </c>
      <c r="Y70" s="15">
        <f>(IF(P70&gt;0,P70+R70,R70)-(X70*Ventas!AE78*1))</f>
        <v>0</v>
      </c>
      <c r="Z70" s="3"/>
      <c r="AA70" s="15">
        <f>(120*(Ventas!AE78*1) - IF(Y70&gt;0,Y70,0))</f>
        <v>0</v>
      </c>
      <c r="AB70" s="15">
        <v>0</v>
      </c>
      <c r="AC70" s="15">
        <f>IF(Y70&gt;0,Y70+IF(AB70&gt;0,AB70,0),AB70)</f>
        <v>0</v>
      </c>
      <c r="AD70" s="16">
        <v>0.73</v>
      </c>
      <c r="AE70" s="8">
        <v>3010</v>
      </c>
      <c r="AF70" s="3"/>
      <c r="AG70" s="3"/>
      <c r="AH70" s="1" t="s">
        <v>32</v>
      </c>
      <c r="AI70">
        <f t="shared" ref="AI70:AI133" si="1">AD70*AB70</f>
        <v>0</v>
      </c>
    </row>
    <row r="71" spans="1:35" x14ac:dyDescent="0.25">
      <c r="A71" s="1"/>
      <c r="B71" s="49" t="s">
        <v>104</v>
      </c>
      <c r="C71" s="14" t="s">
        <v>105</v>
      </c>
      <c r="D71" s="3"/>
      <c r="E71" s="12">
        <v>46238</v>
      </c>
      <c r="F71" s="7">
        <v>1</v>
      </c>
      <c r="G71" s="15">
        <f>(D71-(0)+0-(F71*Ventas!AE79*1))</f>
        <v>0</v>
      </c>
      <c r="H71" s="3"/>
      <c r="I71" s="8">
        <v>0</v>
      </c>
      <c r="J71" s="15">
        <f>IF(G71&gt;0,G71+I71,I71)</f>
        <v>0</v>
      </c>
      <c r="K71" s="3"/>
      <c r="L71" s="15">
        <v>60</v>
      </c>
      <c r="M71" s="17">
        <v>4.7199999999999998E-4</v>
      </c>
      <c r="N71" s="12">
        <v>46275</v>
      </c>
      <c r="O71" s="7">
        <v>37</v>
      </c>
      <c r="P71" s="15">
        <f>(IF(G71&gt;0,G71+I71,I71)-(O71*Ventas!AE79*1))</f>
        <v>0</v>
      </c>
      <c r="Q71" s="3"/>
      <c r="R71" s="8">
        <v>0</v>
      </c>
      <c r="S71" s="15">
        <f>IF(P71&gt;0,P71+R71,R71)</f>
        <v>0</v>
      </c>
      <c r="T71" s="3"/>
      <c r="U71" s="15">
        <v>60</v>
      </c>
      <c r="V71" s="17">
        <v>4.7199999999999998E-4</v>
      </c>
      <c r="W71" s="12">
        <v>46331</v>
      </c>
      <c r="X71" s="7">
        <v>56</v>
      </c>
      <c r="Y71" s="15">
        <f>(IF(P71&gt;0,P71+R71,R71)-(X71*Ventas!AE79*1))</f>
        <v>0</v>
      </c>
      <c r="Z71" s="3"/>
      <c r="AA71" s="15">
        <f>(120*(Ventas!AE79*1) - IF(Y71&gt;0,Y71,0))</f>
        <v>0</v>
      </c>
      <c r="AB71" s="15">
        <v>0</v>
      </c>
      <c r="AC71" s="15">
        <f>IF(Y71&gt;0,Y71+IF(AB71&gt;0,AB71,0),AB71)</f>
        <v>0</v>
      </c>
      <c r="AD71" s="16">
        <v>0.69</v>
      </c>
      <c r="AE71" s="8">
        <v>3017</v>
      </c>
      <c r="AF71" s="3"/>
      <c r="AG71" s="3"/>
      <c r="AH71" s="1" t="s">
        <v>32</v>
      </c>
      <c r="AI71">
        <f t="shared" si="1"/>
        <v>0</v>
      </c>
    </row>
    <row r="72" spans="1:35" x14ac:dyDescent="0.25">
      <c r="A72" s="1"/>
      <c r="B72" s="61" t="s">
        <v>106</v>
      </c>
      <c r="C72" s="14" t="s">
        <v>107</v>
      </c>
      <c r="D72" s="3"/>
      <c r="E72" s="12">
        <v>46238</v>
      </c>
      <c r="F72" s="7">
        <v>1</v>
      </c>
      <c r="G72" s="15">
        <f>(D72-(0)+0-(F72*Ventas!AE80*1))</f>
        <v>0</v>
      </c>
      <c r="H72" s="18" t="e">
        <f>(G72/(Ventas!AE80*1)/60)</f>
        <v>#DIV/0!</v>
      </c>
      <c r="I72" s="8">
        <v>0</v>
      </c>
      <c r="J72" s="15">
        <f>IF(G72&gt;0,G72+I72,I72)</f>
        <v>0</v>
      </c>
      <c r="K72" s="3"/>
      <c r="L72" s="15">
        <v>120</v>
      </c>
      <c r="M72" s="17">
        <v>3.3100000000000002E-4</v>
      </c>
      <c r="N72" s="12">
        <v>46275</v>
      </c>
      <c r="O72" s="7">
        <v>37</v>
      </c>
      <c r="P72" s="15">
        <f>(IF(G72&gt;0,G72+I72,I72)-(O72*Ventas!AE80*1))</f>
        <v>0</v>
      </c>
      <c r="Q72" s="18" t="e">
        <f>(P72/(Ventas!AE80*1)/60)</f>
        <v>#DIV/0!</v>
      </c>
      <c r="R72" s="8">
        <v>0</v>
      </c>
      <c r="S72" s="15">
        <f>IF(P72&gt;0,P72+R72,R72)</f>
        <v>0</v>
      </c>
      <c r="T72" s="3"/>
      <c r="U72" s="15">
        <v>120</v>
      </c>
      <c r="V72" s="17">
        <v>3.3100000000000002E-4</v>
      </c>
      <c r="W72" s="12">
        <v>46331</v>
      </c>
      <c r="X72" s="7">
        <v>56</v>
      </c>
      <c r="Y72" s="15">
        <f>(IF(P72&gt;0,P72+R72,R72)-(X72*Ventas!AE80*1))</f>
        <v>0</v>
      </c>
      <c r="Z72" s="18" t="e">
        <f>(Y72/(Ventas!AE80*1)/60)</f>
        <v>#DIV/0!</v>
      </c>
      <c r="AA72" s="15">
        <f>(120*(Ventas!AE80*1) - IF(Y72&gt;0,Y72,0))</f>
        <v>0</v>
      </c>
      <c r="AB72" s="15">
        <v>0</v>
      </c>
      <c r="AC72" s="15">
        <f>IF(Y72&gt;0,Y72+IF(AB72&gt;0,AB72,0),AB72)</f>
        <v>0</v>
      </c>
      <c r="AD72" s="16">
        <v>0.54</v>
      </c>
      <c r="AE72" s="8">
        <v>3025</v>
      </c>
      <c r="AF72" s="15">
        <f>(AC72-(60*Ventas!AE80*1))</f>
        <v>0</v>
      </c>
      <c r="AG72" s="18" t="e">
        <f>(AF72/(Ventas!AE80*1)/60)</f>
        <v>#DIV/0!</v>
      </c>
      <c r="AH72" s="1" t="s">
        <v>32</v>
      </c>
      <c r="AI72">
        <f t="shared" si="1"/>
        <v>0</v>
      </c>
    </row>
    <row r="73" spans="1:35" x14ac:dyDescent="0.25">
      <c r="A73" s="1"/>
      <c r="B73" s="1" t="s">
        <v>116</v>
      </c>
      <c r="C73" s="14" t="s">
        <v>117</v>
      </c>
      <c r="D73" s="3"/>
      <c r="E73" s="12">
        <v>46238</v>
      </c>
      <c r="F73" s="7">
        <v>1</v>
      </c>
      <c r="G73" s="15">
        <f>(D73-(0)+0-(F73*Ventas!AE85*1))</f>
        <v>0</v>
      </c>
      <c r="H73" s="3"/>
      <c r="I73" s="8">
        <v>0</v>
      </c>
      <c r="J73" s="15">
        <f>IF(G73&gt;0,G73+I73,I73)</f>
        <v>0</v>
      </c>
      <c r="K73" s="3"/>
      <c r="L73" s="15">
        <v>80</v>
      </c>
      <c r="M73" s="17">
        <v>3.1300000000000002E-4</v>
      </c>
      <c r="N73" s="12">
        <v>46275</v>
      </c>
      <c r="O73" s="7">
        <v>37</v>
      </c>
      <c r="P73" s="15">
        <f>(IF(G73&gt;0,G73+I73,I73)-(O73*Ventas!AE85*1))</f>
        <v>0</v>
      </c>
      <c r="Q73" s="3"/>
      <c r="R73" s="8">
        <v>0</v>
      </c>
      <c r="S73" s="15">
        <f>IF(P73&gt;0,P73+R73,R73)</f>
        <v>0</v>
      </c>
      <c r="T73" s="3"/>
      <c r="U73" s="15">
        <v>80</v>
      </c>
      <c r="V73" s="17">
        <v>3.1300000000000002E-4</v>
      </c>
      <c r="W73" s="12">
        <v>46331</v>
      </c>
      <c r="X73" s="7">
        <v>56</v>
      </c>
      <c r="Y73" s="15">
        <f>(IF(P73&gt;0,P73+R73,R73)-(X73*Ventas!AE85*1))</f>
        <v>0</v>
      </c>
      <c r="Z73" s="3"/>
      <c r="AA73" s="15">
        <f>(120*(Ventas!AE85*1) - IF(Y73&gt;0,Y73,0))</f>
        <v>0</v>
      </c>
      <c r="AB73" s="15">
        <v>0</v>
      </c>
      <c r="AC73" s="15">
        <f>IF(Y73&gt;0,Y73+IF(AB73&gt;0,AB73,0),AB73)</f>
        <v>0</v>
      </c>
      <c r="AD73" s="3"/>
      <c r="AE73" s="3"/>
      <c r="AF73" s="3"/>
      <c r="AG73" s="3"/>
      <c r="AH73" s="1" t="s">
        <v>35</v>
      </c>
      <c r="AI73">
        <f t="shared" si="1"/>
        <v>0</v>
      </c>
    </row>
    <row r="74" spans="1:35" x14ac:dyDescent="0.25">
      <c r="A74" s="1"/>
      <c r="B74" s="1" t="s">
        <v>118</v>
      </c>
      <c r="C74" s="14" t="s">
        <v>119</v>
      </c>
      <c r="D74" s="3"/>
      <c r="E74" s="12">
        <v>46238</v>
      </c>
      <c r="F74" s="7">
        <v>1</v>
      </c>
      <c r="G74" s="15">
        <f>(D74-(0)+0-(F74*Ventas!AE86*1))</f>
        <v>0</v>
      </c>
      <c r="H74" s="3"/>
      <c r="I74" s="8">
        <v>0</v>
      </c>
      <c r="J74" s="15">
        <f>IF(G74&gt;0,G74+I74,I74)</f>
        <v>0</v>
      </c>
      <c r="K74" s="3"/>
      <c r="L74" s="15">
        <v>80</v>
      </c>
      <c r="M74" s="17">
        <v>3.1300000000000002E-4</v>
      </c>
      <c r="N74" s="12">
        <v>46275</v>
      </c>
      <c r="O74" s="7">
        <v>37</v>
      </c>
      <c r="P74" s="15">
        <f>(IF(G74&gt;0,G74+I74,I74)-(O74*Ventas!AE86*1))</f>
        <v>0</v>
      </c>
      <c r="Q74" s="3"/>
      <c r="R74" s="8">
        <v>0</v>
      </c>
      <c r="S74" s="15">
        <f>IF(P74&gt;0,P74+R74,R74)</f>
        <v>0</v>
      </c>
      <c r="T74" s="3"/>
      <c r="U74" s="15">
        <v>80</v>
      </c>
      <c r="V74" s="17">
        <v>3.1300000000000002E-4</v>
      </c>
      <c r="W74" s="12">
        <v>46331</v>
      </c>
      <c r="X74" s="7">
        <v>56</v>
      </c>
      <c r="Y74" s="15">
        <f>(IF(P74&gt;0,P74+R74,R74)-(X74*Ventas!AE86*1))</f>
        <v>0</v>
      </c>
      <c r="Z74" s="3"/>
      <c r="AA74" s="15">
        <f>(120*(Ventas!AE86*1) - IF(Y74&gt;0,Y74,0))</f>
        <v>0</v>
      </c>
      <c r="AB74" s="15">
        <v>0</v>
      </c>
      <c r="AC74" s="15">
        <f>IF(Y74&gt;0,Y74+IF(AB74&gt;0,AB74,0),AB74)</f>
        <v>0</v>
      </c>
      <c r="AD74" s="3"/>
      <c r="AE74" s="3"/>
      <c r="AF74" s="3"/>
      <c r="AG74" s="3"/>
      <c r="AH74" s="1" t="s">
        <v>35</v>
      </c>
      <c r="AI74">
        <f t="shared" si="1"/>
        <v>0</v>
      </c>
    </row>
    <row r="75" spans="1:35" x14ac:dyDescent="0.25">
      <c r="A75" s="1"/>
      <c r="B75" s="1" t="s">
        <v>120</v>
      </c>
      <c r="C75" s="14" t="s">
        <v>121</v>
      </c>
      <c r="D75" s="3"/>
      <c r="E75" s="12">
        <v>46238</v>
      </c>
      <c r="F75" s="7">
        <v>1</v>
      </c>
      <c r="G75" s="15">
        <f>(D75-(0)+0-(F75*Ventas!AE87*1))</f>
        <v>0</v>
      </c>
      <c r="H75" s="3"/>
      <c r="I75" s="8">
        <v>0</v>
      </c>
      <c r="J75" s="15">
        <f>IF(G75&gt;0,G75+I75,I75)</f>
        <v>0</v>
      </c>
      <c r="K75" s="3"/>
      <c r="L75" s="15">
        <v>80</v>
      </c>
      <c r="M75" s="17">
        <v>3.1300000000000002E-4</v>
      </c>
      <c r="N75" s="12">
        <v>46275</v>
      </c>
      <c r="O75" s="7">
        <v>37</v>
      </c>
      <c r="P75" s="15">
        <f>(IF(G75&gt;0,G75+I75,I75)-(O75*Ventas!AE87*1))</f>
        <v>0</v>
      </c>
      <c r="Q75" s="3"/>
      <c r="R75" s="8">
        <v>0</v>
      </c>
      <c r="S75" s="15">
        <f>IF(P75&gt;0,P75+R75,R75)</f>
        <v>0</v>
      </c>
      <c r="T75" s="3"/>
      <c r="U75" s="15">
        <v>80</v>
      </c>
      <c r="V75" s="17">
        <v>3.1300000000000002E-4</v>
      </c>
      <c r="W75" s="12">
        <v>46331</v>
      </c>
      <c r="X75" s="7">
        <v>56</v>
      </c>
      <c r="Y75" s="15">
        <f>(IF(P75&gt;0,P75+R75,R75)-(X75*Ventas!AE87*1))</f>
        <v>0</v>
      </c>
      <c r="Z75" s="3"/>
      <c r="AA75" s="15">
        <f>(120*(Ventas!AE87*1) - IF(Y75&gt;0,Y75,0))</f>
        <v>0</v>
      </c>
      <c r="AB75" s="15">
        <v>0</v>
      </c>
      <c r="AC75" s="15">
        <f>IF(Y75&gt;0,Y75+IF(AB75&gt;0,AB75,0),AB75)</f>
        <v>0</v>
      </c>
      <c r="AD75" s="3"/>
      <c r="AE75" s="3"/>
      <c r="AF75" s="3"/>
      <c r="AG75" s="3"/>
      <c r="AH75" s="1" t="s">
        <v>35</v>
      </c>
      <c r="AI75">
        <f t="shared" si="1"/>
        <v>0</v>
      </c>
    </row>
    <row r="76" spans="1:35" x14ac:dyDescent="0.25">
      <c r="A76" s="1"/>
      <c r="B76" s="1" t="s">
        <v>122</v>
      </c>
      <c r="C76" s="14" t="s">
        <v>123</v>
      </c>
      <c r="D76" s="3"/>
      <c r="E76" s="12">
        <v>46238</v>
      </c>
      <c r="F76" s="7">
        <v>1</v>
      </c>
      <c r="G76" s="15">
        <f>(D76-(0)+0-(F76*Ventas!AE88*1))</f>
        <v>0</v>
      </c>
      <c r="H76" s="3"/>
      <c r="I76" s="8">
        <v>0</v>
      </c>
      <c r="J76" s="15">
        <f>IF(G76&gt;0,G76+I76,I76)</f>
        <v>0</v>
      </c>
      <c r="K76" s="3"/>
      <c r="L76" s="15">
        <v>6</v>
      </c>
      <c r="M76" s="17">
        <v>5.0000000000000001E-3</v>
      </c>
      <c r="N76" s="12">
        <v>46275</v>
      </c>
      <c r="O76" s="7">
        <v>37</v>
      </c>
      <c r="P76" s="15">
        <f>(IF(G76&gt;0,G76+I76,I76)-(O76*Ventas!AE88*1))</f>
        <v>0</v>
      </c>
      <c r="Q76" s="3"/>
      <c r="R76" s="8">
        <v>0</v>
      </c>
      <c r="S76" s="15">
        <f>IF(P76&gt;0,P76+R76,R76)</f>
        <v>0</v>
      </c>
      <c r="T76" s="3"/>
      <c r="U76" s="15">
        <v>6</v>
      </c>
      <c r="V76" s="17">
        <v>5.0000000000000001E-3</v>
      </c>
      <c r="W76" s="12">
        <v>46331</v>
      </c>
      <c r="X76" s="7">
        <v>56</v>
      </c>
      <c r="Y76" s="15">
        <f>(IF(P76&gt;0,P76+R76,R76)-(X76*Ventas!AE88*1))</f>
        <v>0</v>
      </c>
      <c r="Z76" s="3"/>
      <c r="AA76" s="15">
        <f>(120*(Ventas!AE88*1) - IF(Y76&gt;0,Y76,0))</f>
        <v>0</v>
      </c>
      <c r="AB76" s="15">
        <v>0</v>
      </c>
      <c r="AC76" s="15">
        <f>IF(Y76&gt;0,Y76+IF(AB76&gt;0,AB76,0),AB76)</f>
        <v>0</v>
      </c>
      <c r="AD76" s="3"/>
      <c r="AE76" s="3"/>
      <c r="AF76" s="3"/>
      <c r="AG76" s="3"/>
      <c r="AH76" s="1" t="s">
        <v>35</v>
      </c>
      <c r="AI76">
        <f t="shared" si="1"/>
        <v>0</v>
      </c>
    </row>
    <row r="77" spans="1:35" x14ac:dyDescent="0.25">
      <c r="A77" s="1"/>
      <c r="B77" s="1" t="s">
        <v>124</v>
      </c>
      <c r="C77" s="14" t="s">
        <v>125</v>
      </c>
      <c r="D77" s="3"/>
      <c r="E77" s="12">
        <v>46238</v>
      </c>
      <c r="F77" s="7">
        <v>1</v>
      </c>
      <c r="G77" s="15">
        <f>(D77-(0)+0-(F77*Ventas!AE89*1))</f>
        <v>0</v>
      </c>
      <c r="H77" s="3"/>
      <c r="I77" s="8">
        <v>0</v>
      </c>
      <c r="J77" s="15">
        <f>IF(G77&gt;0,G77+I77,I77)</f>
        <v>0</v>
      </c>
      <c r="K77" s="3"/>
      <c r="L77" s="15">
        <v>6</v>
      </c>
      <c r="M77" s="17">
        <v>5.0000000000000001E-3</v>
      </c>
      <c r="N77" s="12">
        <v>46275</v>
      </c>
      <c r="O77" s="7">
        <v>37</v>
      </c>
      <c r="P77" s="15">
        <f>(IF(G77&gt;0,G77+I77,I77)-(O77*Ventas!AE89*1))</f>
        <v>0</v>
      </c>
      <c r="Q77" s="3"/>
      <c r="R77" s="8">
        <v>0</v>
      </c>
      <c r="S77" s="15">
        <f>IF(P77&gt;0,P77+R77,R77)</f>
        <v>0</v>
      </c>
      <c r="T77" s="3"/>
      <c r="U77" s="15">
        <v>6</v>
      </c>
      <c r="V77" s="17">
        <v>5.0000000000000001E-3</v>
      </c>
      <c r="W77" s="12">
        <v>46331</v>
      </c>
      <c r="X77" s="7">
        <v>56</v>
      </c>
      <c r="Y77" s="15">
        <f>(IF(P77&gt;0,P77+R77,R77)-(X77*Ventas!AE89*1))</f>
        <v>0</v>
      </c>
      <c r="Z77" s="3"/>
      <c r="AA77" s="15">
        <f>(120*(Ventas!AE89*1) - IF(Y77&gt;0,Y77,0))</f>
        <v>0</v>
      </c>
      <c r="AB77" s="15">
        <v>0</v>
      </c>
      <c r="AC77" s="15">
        <f>IF(Y77&gt;0,Y77+IF(AB77&gt;0,AB77,0),AB77)</f>
        <v>0</v>
      </c>
      <c r="AD77" s="3"/>
      <c r="AE77" s="3"/>
      <c r="AF77" s="3"/>
      <c r="AG77" s="3"/>
      <c r="AH77" s="1" t="s">
        <v>35</v>
      </c>
      <c r="AI77">
        <f t="shared" si="1"/>
        <v>0</v>
      </c>
    </row>
    <row r="78" spans="1:35" x14ac:dyDescent="0.25">
      <c r="A78" s="1"/>
      <c r="B78" s="57" t="s">
        <v>132</v>
      </c>
      <c r="C78" s="14" t="s">
        <v>133</v>
      </c>
      <c r="D78" s="3"/>
      <c r="E78" s="12">
        <v>46238</v>
      </c>
      <c r="F78" s="7">
        <v>1</v>
      </c>
      <c r="G78" s="15">
        <f>(D78-(0)+0-(F78*Ventas!AE93*1))</f>
        <v>0</v>
      </c>
      <c r="H78" s="3"/>
      <c r="I78" s="8">
        <v>0</v>
      </c>
      <c r="J78" s="15">
        <f>IF(G78&gt;0,G78+I78,I78)</f>
        <v>0</v>
      </c>
      <c r="K78" s="3"/>
      <c r="L78" s="15">
        <v>84</v>
      </c>
      <c r="M78" s="17">
        <v>4.0200000000000001E-4</v>
      </c>
      <c r="N78" s="12">
        <v>46275</v>
      </c>
      <c r="O78" s="7">
        <v>37</v>
      </c>
      <c r="P78" s="15">
        <f>(IF(G78&gt;0,G78+I78,I78)-(O78*Ventas!AE93*1))</f>
        <v>0</v>
      </c>
      <c r="Q78" s="3"/>
      <c r="R78" s="8">
        <v>0</v>
      </c>
      <c r="S78" s="15">
        <f>IF(P78&gt;0,P78+R78,R78)</f>
        <v>0</v>
      </c>
      <c r="T78" s="3"/>
      <c r="U78" s="15">
        <v>84</v>
      </c>
      <c r="V78" s="17">
        <v>4.0200000000000001E-4</v>
      </c>
      <c r="W78" s="12">
        <v>46331</v>
      </c>
      <c r="X78" s="7">
        <v>56</v>
      </c>
      <c r="Y78" s="15">
        <f>(IF(P78&gt;0,P78+R78,R78)-(X78*Ventas!AE93*1))</f>
        <v>0</v>
      </c>
      <c r="Z78" s="3"/>
      <c r="AA78" s="15">
        <f>(120*(Ventas!AE93*1) - IF(Y78&gt;0,Y78,0))</f>
        <v>0</v>
      </c>
      <c r="AB78" s="15">
        <v>0</v>
      </c>
      <c r="AC78" s="15">
        <f>IF(Y78&gt;0,Y78+IF(AB78&gt;0,AB78,0),AB78)</f>
        <v>0</v>
      </c>
      <c r="AD78" s="16">
        <v>0.73</v>
      </c>
      <c r="AE78" s="8">
        <v>3010</v>
      </c>
      <c r="AF78" s="3"/>
      <c r="AG78" s="3"/>
      <c r="AH78" s="1" t="s">
        <v>32</v>
      </c>
      <c r="AI78">
        <f t="shared" si="1"/>
        <v>0</v>
      </c>
    </row>
    <row r="79" spans="1:35" x14ac:dyDescent="0.25">
      <c r="A79" s="1"/>
      <c r="B79" s="1" t="s">
        <v>136</v>
      </c>
      <c r="C79" s="14" t="s">
        <v>137</v>
      </c>
      <c r="D79" s="3"/>
      <c r="E79" s="12">
        <v>46238</v>
      </c>
      <c r="F79" s="7">
        <v>1</v>
      </c>
      <c r="G79" s="15">
        <f>(D79-(0)+0-(F79*Ventas!AE95*1))</f>
        <v>0</v>
      </c>
      <c r="H79" s="18" t="e">
        <f>(G79/(Ventas!AE95*1)/60)</f>
        <v>#DIV/0!</v>
      </c>
      <c r="I79" s="8">
        <v>0</v>
      </c>
      <c r="J79" s="15">
        <f>IF(G79&gt;0,G79+I79,I79)</f>
        <v>0</v>
      </c>
      <c r="K79" s="3"/>
      <c r="L79" s="15">
        <v>96</v>
      </c>
      <c r="M79" s="17">
        <v>4.5300000000000001E-4</v>
      </c>
      <c r="N79" s="12">
        <v>46275</v>
      </c>
      <c r="O79" s="7">
        <v>37</v>
      </c>
      <c r="P79" s="15">
        <f>(IF(G79&gt;0,G79+I79,I79)-(O79*Ventas!AE95*1))</f>
        <v>0</v>
      </c>
      <c r="Q79" s="18" t="e">
        <f>(P79/(Ventas!AE95*1)/60)</f>
        <v>#DIV/0!</v>
      </c>
      <c r="R79" s="8">
        <v>0</v>
      </c>
      <c r="S79" s="15">
        <f>IF(P79&gt;0,P79+R79,R79)</f>
        <v>0</v>
      </c>
      <c r="T79" s="3"/>
      <c r="U79" s="15">
        <v>96</v>
      </c>
      <c r="V79" s="17">
        <v>4.5300000000000001E-4</v>
      </c>
      <c r="W79" s="12">
        <v>46331</v>
      </c>
      <c r="X79" s="7">
        <v>56</v>
      </c>
      <c r="Y79" s="15">
        <f>(IF(P79&gt;0,P79+R79,R79)-(X79*Ventas!AE95*1))</f>
        <v>0</v>
      </c>
      <c r="Z79" s="18" t="e">
        <f>(Y79/(Ventas!AE95*1)/60)</f>
        <v>#DIV/0!</v>
      </c>
      <c r="AA79" s="15">
        <f>(120*(Ventas!AE95*1) - IF(Y79&gt;0,Y79,0))</f>
        <v>0</v>
      </c>
      <c r="AB79" s="15">
        <v>0</v>
      </c>
      <c r="AC79" s="15">
        <f>IF(Y79&gt;0,Y79+IF(AB79&gt;0,AB79,0),AB79)</f>
        <v>0</v>
      </c>
      <c r="AD79" s="16">
        <v>0.51</v>
      </c>
      <c r="AE79" s="8">
        <v>3010</v>
      </c>
      <c r="AF79" s="15">
        <f>(AC79-(60*Ventas!AE95*1))</f>
        <v>0</v>
      </c>
      <c r="AG79" s="18" t="e">
        <f>(AF79/(Ventas!AE95*1)/60)</f>
        <v>#DIV/0!</v>
      </c>
      <c r="AH79" s="1" t="s">
        <v>32</v>
      </c>
      <c r="AI79">
        <f t="shared" si="1"/>
        <v>0</v>
      </c>
    </row>
    <row r="80" spans="1:35" x14ac:dyDescent="0.25">
      <c r="A80" s="1"/>
      <c r="B80" s="1" t="s">
        <v>138</v>
      </c>
      <c r="C80" s="14" t="s">
        <v>139</v>
      </c>
      <c r="D80" s="3"/>
      <c r="E80" s="12">
        <v>46238</v>
      </c>
      <c r="F80" s="7">
        <v>1</v>
      </c>
      <c r="G80" s="15">
        <f>(D80-(0)+0-(F80*Ventas!AE96*1))</f>
        <v>0</v>
      </c>
      <c r="H80" s="18" t="e">
        <f>(G80/(Ventas!AE96*1)/60)</f>
        <v>#DIV/0!</v>
      </c>
      <c r="I80" s="8">
        <v>0</v>
      </c>
      <c r="J80" s="15">
        <f>IF(G80&gt;0,G80+I80,I80)</f>
        <v>0</v>
      </c>
      <c r="K80" s="3"/>
      <c r="L80" s="15">
        <v>84</v>
      </c>
      <c r="M80" s="17">
        <v>4.0200000000000001E-4</v>
      </c>
      <c r="N80" s="12">
        <v>46275</v>
      </c>
      <c r="O80" s="7">
        <v>37</v>
      </c>
      <c r="P80" s="15">
        <f>(IF(G80&gt;0,G80+I80,I80)-(O80*Ventas!AE96*1))</f>
        <v>0</v>
      </c>
      <c r="Q80" s="18" t="e">
        <f>(P80/(Ventas!AE96*1)/60)</f>
        <v>#DIV/0!</v>
      </c>
      <c r="R80" s="8">
        <v>0</v>
      </c>
      <c r="S80" s="15">
        <f>IF(P80&gt;0,P80+R80,R80)</f>
        <v>0</v>
      </c>
      <c r="T80" s="3"/>
      <c r="U80" s="15">
        <v>84</v>
      </c>
      <c r="V80" s="17">
        <v>4.0200000000000001E-4</v>
      </c>
      <c r="W80" s="12">
        <v>46331</v>
      </c>
      <c r="X80" s="7">
        <v>56</v>
      </c>
      <c r="Y80" s="15">
        <f>(IF(P80&gt;0,P80+R80,R80)-(X80*Ventas!AE96*1))</f>
        <v>0</v>
      </c>
      <c r="Z80" s="18" t="e">
        <f>(Y80/(Ventas!AE96*1)/60)</f>
        <v>#DIV/0!</v>
      </c>
      <c r="AA80" s="15">
        <f>(120*(Ventas!AE96*1) - IF(Y80&gt;0,Y80,0))</f>
        <v>0</v>
      </c>
      <c r="AB80" s="15">
        <v>0</v>
      </c>
      <c r="AC80" s="15">
        <f>IF(Y80&gt;0,Y80+IF(AB80&gt;0,AB80,0),AB80)</f>
        <v>0</v>
      </c>
      <c r="AD80" s="16">
        <v>0.81</v>
      </c>
      <c r="AE80" s="8">
        <v>3010</v>
      </c>
      <c r="AF80" s="15">
        <f>(AC80-(60*Ventas!AE96*1))</f>
        <v>0</v>
      </c>
      <c r="AG80" s="18" t="e">
        <f>(AF80/(Ventas!AE96*1)/60)</f>
        <v>#DIV/0!</v>
      </c>
      <c r="AH80" s="1" t="s">
        <v>32</v>
      </c>
      <c r="AI80">
        <f t="shared" si="1"/>
        <v>0</v>
      </c>
    </row>
    <row r="81" spans="1:35" x14ac:dyDescent="0.25">
      <c r="A81" s="1"/>
      <c r="B81" s="1" t="s">
        <v>146</v>
      </c>
      <c r="C81" s="14" t="s">
        <v>147</v>
      </c>
      <c r="D81" s="3"/>
      <c r="E81" s="12">
        <v>46238</v>
      </c>
      <c r="F81" s="7">
        <v>1</v>
      </c>
      <c r="G81" s="15">
        <f>(D81-(0)+0-(F81*Ventas!AE100*1))</f>
        <v>0</v>
      </c>
      <c r="H81" s="18" t="e">
        <f>(G81/(Ventas!AE100*1)/60)</f>
        <v>#DIV/0!</v>
      </c>
      <c r="I81" s="8">
        <v>0</v>
      </c>
      <c r="J81" s="15">
        <f>IF(G81&gt;0,G81+I81,I81)</f>
        <v>0</v>
      </c>
      <c r="K81" s="3"/>
      <c r="L81" s="15">
        <v>84</v>
      </c>
      <c r="M81" s="17">
        <v>4.0200000000000001E-4</v>
      </c>
      <c r="N81" s="12">
        <v>46275</v>
      </c>
      <c r="O81" s="7">
        <v>37</v>
      </c>
      <c r="P81" s="15">
        <f>(IF(G81&gt;0,G81+I81,I81)-(O81*Ventas!AE100*1))</f>
        <v>0</v>
      </c>
      <c r="Q81" s="18" t="e">
        <f>(P81/(Ventas!AE100*1)/60)</f>
        <v>#DIV/0!</v>
      </c>
      <c r="R81" s="8">
        <v>0</v>
      </c>
      <c r="S81" s="15">
        <f>IF(P81&gt;0,P81+R81,R81)</f>
        <v>0</v>
      </c>
      <c r="T81" s="3"/>
      <c r="U81" s="15">
        <v>84</v>
      </c>
      <c r="V81" s="17">
        <v>4.0200000000000001E-4</v>
      </c>
      <c r="W81" s="12">
        <v>46331</v>
      </c>
      <c r="X81" s="7">
        <v>56</v>
      </c>
      <c r="Y81" s="15">
        <f>(IF(P81&gt;0,P81+R81,R81)-(X81*Ventas!AE100*1))</f>
        <v>0</v>
      </c>
      <c r="Z81" s="18" t="e">
        <f>(Y81/(Ventas!AE100*1)/60)</f>
        <v>#DIV/0!</v>
      </c>
      <c r="AA81" s="15">
        <f>(120*(Ventas!AE100*1) - IF(Y81&gt;0,Y81,0))</f>
        <v>0</v>
      </c>
      <c r="AB81" s="15">
        <v>0</v>
      </c>
      <c r="AC81" s="15">
        <f>IF(Y81&gt;0,Y81+IF(AB81&gt;0,AB81,0),AB81)</f>
        <v>0</v>
      </c>
      <c r="AD81" s="16">
        <v>0.97</v>
      </c>
      <c r="AE81" s="8">
        <v>3010</v>
      </c>
      <c r="AF81" s="15">
        <f>(AC81-(60*Ventas!AE100*1))</f>
        <v>0</v>
      </c>
      <c r="AG81" s="18" t="e">
        <f>(AF81/(Ventas!AE100*1)/60)</f>
        <v>#DIV/0!</v>
      </c>
      <c r="AH81" s="1" t="s">
        <v>32</v>
      </c>
      <c r="AI81">
        <f t="shared" si="1"/>
        <v>0</v>
      </c>
    </row>
    <row r="82" spans="1:35" x14ac:dyDescent="0.25">
      <c r="A82" s="1"/>
      <c r="B82" s="43" t="s">
        <v>148</v>
      </c>
      <c r="C82" s="14" t="s">
        <v>149</v>
      </c>
      <c r="D82" s="3"/>
      <c r="E82" s="12">
        <v>46238</v>
      </c>
      <c r="F82" s="7">
        <v>1</v>
      </c>
      <c r="G82" s="15">
        <f>(D82-(0)+0-(F82*Ventas!AE101*1))</f>
        <v>0</v>
      </c>
      <c r="H82" s="3"/>
      <c r="I82" s="8">
        <v>0</v>
      </c>
      <c r="J82" s="15">
        <f>IF(G82&gt;0,G82+I82,I82)</f>
        <v>0</v>
      </c>
      <c r="K82" s="3"/>
      <c r="L82" s="15">
        <v>60</v>
      </c>
      <c r="M82" s="17">
        <v>4.7199999999999998E-4</v>
      </c>
      <c r="N82" s="12">
        <v>46275</v>
      </c>
      <c r="O82" s="7">
        <v>37</v>
      </c>
      <c r="P82" s="15">
        <f>(IF(G82&gt;0,G82+I82,I82)-(O82*Ventas!AE101*1))</f>
        <v>0</v>
      </c>
      <c r="Q82" s="3"/>
      <c r="R82" s="8">
        <v>0</v>
      </c>
      <c r="S82" s="15">
        <f>IF(P82&gt;0,P82+R82,R82)</f>
        <v>0</v>
      </c>
      <c r="T82" s="3"/>
      <c r="U82" s="15">
        <v>60</v>
      </c>
      <c r="V82" s="17">
        <v>4.7199999999999998E-4</v>
      </c>
      <c r="W82" s="12">
        <v>46331</v>
      </c>
      <c r="X82" s="7">
        <v>56</v>
      </c>
      <c r="Y82" s="15">
        <f>(IF(P82&gt;0,P82+R82,R82)-(X82*Ventas!AE101*1))</f>
        <v>0</v>
      </c>
      <c r="Z82" s="3"/>
      <c r="AA82" s="15">
        <f>(120*(Ventas!AE101*1) - IF(Y82&gt;0,Y82,0))</f>
        <v>0</v>
      </c>
      <c r="AB82" s="15">
        <v>0</v>
      </c>
      <c r="AC82" s="15">
        <f>IF(Y82&gt;0,Y82+IF(AB82&gt;0,AB82,0),AB82)</f>
        <v>0</v>
      </c>
      <c r="AD82" s="16">
        <v>1.1499999999999999</v>
      </c>
      <c r="AE82" s="8">
        <v>3010</v>
      </c>
      <c r="AF82" s="3"/>
      <c r="AG82" s="3"/>
      <c r="AH82" s="1" t="s">
        <v>32</v>
      </c>
      <c r="AI82">
        <f t="shared" si="1"/>
        <v>0</v>
      </c>
    </row>
    <row r="83" spans="1:35" x14ac:dyDescent="0.25">
      <c r="A83" s="1"/>
      <c r="B83" s="1" t="s">
        <v>154</v>
      </c>
      <c r="C83" s="14" t="s">
        <v>155</v>
      </c>
      <c r="D83" s="3"/>
      <c r="E83" s="12">
        <v>46238</v>
      </c>
      <c r="F83" s="7">
        <v>1</v>
      </c>
      <c r="G83" s="15">
        <f>(D83-(0)+0-(F83*Ventas!AE40*1))</f>
        <v>0</v>
      </c>
      <c r="H83" s="3"/>
      <c r="I83" s="8">
        <v>0</v>
      </c>
      <c r="J83" s="15">
        <f>IF(G83&gt;0,G83+I83,I83)</f>
        <v>0</v>
      </c>
      <c r="K83" s="3"/>
      <c r="L83" s="3"/>
      <c r="M83" s="3"/>
      <c r="N83" s="12">
        <v>46275</v>
      </c>
      <c r="O83" s="7">
        <v>37</v>
      </c>
      <c r="P83" s="15">
        <f>(IF(G83&gt;0,G83+I83,I83)-(O83*Ventas!AE40*1))</f>
        <v>0</v>
      </c>
      <c r="Q83" s="3"/>
      <c r="R83" s="8">
        <v>0</v>
      </c>
      <c r="S83" s="15">
        <f>IF(P83&gt;0,P83+R83,R83)</f>
        <v>0</v>
      </c>
      <c r="T83" s="3"/>
      <c r="U83" s="3"/>
      <c r="V83" s="3"/>
      <c r="W83" s="12">
        <v>46331</v>
      </c>
      <c r="X83" s="7">
        <v>56</v>
      </c>
      <c r="Y83" s="15">
        <f>(IF(P83&gt;0,P83+R83,R83)-(X83*Ventas!AE40*1))</f>
        <v>0</v>
      </c>
      <c r="Z83" s="3"/>
      <c r="AA83" s="15">
        <f>(120*(Ventas!AE40*1) - IF(Y83&gt;0,Y83,0))</f>
        <v>0</v>
      </c>
      <c r="AB83" s="15">
        <v>0</v>
      </c>
      <c r="AC83" s="15">
        <f>IF(Y83&gt;0,Y83+IF(AB83&gt;0,AB83,0),AB83)</f>
        <v>0</v>
      </c>
      <c r="AD83" s="16">
        <v>1.6</v>
      </c>
      <c r="AE83" s="8">
        <v>3010</v>
      </c>
      <c r="AF83" s="3"/>
      <c r="AG83" s="3"/>
      <c r="AH83" s="1" t="s">
        <v>35</v>
      </c>
      <c r="AI83">
        <f t="shared" si="1"/>
        <v>0</v>
      </c>
    </row>
    <row r="84" spans="1:35" x14ac:dyDescent="0.25">
      <c r="A84" s="1"/>
      <c r="B84" s="1" t="s">
        <v>156</v>
      </c>
      <c r="C84" s="14" t="s">
        <v>157</v>
      </c>
      <c r="D84" s="3"/>
      <c r="E84" s="12">
        <v>46238</v>
      </c>
      <c r="F84" s="7">
        <v>1</v>
      </c>
      <c r="G84" s="15">
        <f>(D84-(0)+0-(F84*Ventas!AE41*1))</f>
        <v>0</v>
      </c>
      <c r="H84" s="3"/>
      <c r="I84" s="8">
        <v>0</v>
      </c>
      <c r="J84" s="15">
        <f>IF(G84&gt;0,G84+I84,I84)</f>
        <v>0</v>
      </c>
      <c r="K84" s="3"/>
      <c r="L84" s="3"/>
      <c r="M84" s="3"/>
      <c r="N84" s="12">
        <v>46275</v>
      </c>
      <c r="O84" s="7">
        <v>37</v>
      </c>
      <c r="P84" s="15">
        <f>(IF(G84&gt;0,G84+I84,I84)-(O84*Ventas!AE41*1))</f>
        <v>0</v>
      </c>
      <c r="Q84" s="3"/>
      <c r="R84" s="8">
        <v>0</v>
      </c>
      <c r="S84" s="15">
        <f>IF(P84&gt;0,P84+R84,R84)</f>
        <v>0</v>
      </c>
      <c r="T84" s="3"/>
      <c r="U84" s="3"/>
      <c r="V84" s="3"/>
      <c r="W84" s="12">
        <v>46331</v>
      </c>
      <c r="X84" s="7">
        <v>56</v>
      </c>
      <c r="Y84" s="15">
        <f>(IF(P84&gt;0,P84+R84,R84)-(X84*Ventas!AE41*1))</f>
        <v>0</v>
      </c>
      <c r="Z84" s="3"/>
      <c r="AA84" s="15">
        <f>(120*(Ventas!AE41*1) - IF(Y84&gt;0,Y84,0))</f>
        <v>0</v>
      </c>
      <c r="AB84" s="15">
        <v>0</v>
      </c>
      <c r="AC84" s="15">
        <f>IF(Y84&gt;0,Y84+IF(AB84&gt;0,AB84,0),AB84)</f>
        <v>0</v>
      </c>
      <c r="AD84" s="16">
        <v>1.53</v>
      </c>
      <c r="AE84" s="8">
        <v>3010</v>
      </c>
      <c r="AF84" s="3"/>
      <c r="AG84" s="3"/>
      <c r="AH84" s="1" t="s">
        <v>32</v>
      </c>
      <c r="AI84">
        <f t="shared" si="1"/>
        <v>0</v>
      </c>
    </row>
    <row r="85" spans="1:35" x14ac:dyDescent="0.25">
      <c r="A85" s="1"/>
      <c r="B85" s="1" t="s">
        <v>158</v>
      </c>
      <c r="C85" s="14" t="s">
        <v>159</v>
      </c>
      <c r="D85" s="3"/>
      <c r="E85" s="12">
        <v>46238</v>
      </c>
      <c r="F85" s="7">
        <v>1</v>
      </c>
      <c r="G85" s="15">
        <f>(D85-(0)+0-(F85*Ventas!AE42*1))</f>
        <v>0</v>
      </c>
      <c r="H85" s="3"/>
      <c r="I85" s="8">
        <v>0</v>
      </c>
      <c r="J85" s="15">
        <f>IF(G85&gt;0,G85+I85,I85)</f>
        <v>0</v>
      </c>
      <c r="K85" s="3"/>
      <c r="L85" s="3"/>
      <c r="M85" s="3"/>
      <c r="N85" s="12">
        <v>46275</v>
      </c>
      <c r="O85" s="7">
        <v>37</v>
      </c>
      <c r="P85" s="15">
        <f>(IF(G85&gt;0,G85+I85,I85)-(O85*Ventas!AE42*1))</f>
        <v>0</v>
      </c>
      <c r="Q85" s="3"/>
      <c r="R85" s="8">
        <v>0</v>
      </c>
      <c r="S85" s="15">
        <f>IF(P85&gt;0,P85+R85,R85)</f>
        <v>0</v>
      </c>
      <c r="T85" s="3"/>
      <c r="U85" s="3"/>
      <c r="V85" s="3"/>
      <c r="W85" s="12">
        <v>46331</v>
      </c>
      <c r="X85" s="7">
        <v>56</v>
      </c>
      <c r="Y85" s="15">
        <f>(IF(P85&gt;0,P85+R85,R85)-(X85*Ventas!AE42*1))</f>
        <v>0</v>
      </c>
      <c r="Z85" s="3"/>
      <c r="AA85" s="15">
        <f>(120*(Ventas!AE42*1) - IF(Y85&gt;0,Y85,0))</f>
        <v>0</v>
      </c>
      <c r="AB85" s="15">
        <v>0</v>
      </c>
      <c r="AC85" s="15">
        <f>IF(Y85&gt;0,Y85+IF(AB85&gt;0,AB85,0),AB85)</f>
        <v>0</v>
      </c>
      <c r="AD85" s="16">
        <v>1.3</v>
      </c>
      <c r="AE85" s="8">
        <v>3010</v>
      </c>
      <c r="AF85" s="3"/>
      <c r="AG85" s="3"/>
      <c r="AH85" s="1" t="s">
        <v>35</v>
      </c>
      <c r="AI85">
        <f t="shared" si="1"/>
        <v>0</v>
      </c>
    </row>
    <row r="86" spans="1:35" x14ac:dyDescent="0.25">
      <c r="A86" s="1"/>
      <c r="B86" s="1" t="s">
        <v>164</v>
      </c>
      <c r="C86" s="14" t="s">
        <v>165</v>
      </c>
      <c r="D86" s="3"/>
      <c r="E86" s="12">
        <v>46238</v>
      </c>
      <c r="F86" s="7">
        <v>1</v>
      </c>
      <c r="G86" s="15">
        <f>(D86-(0)+0-(F86*Ventas!AE106*1))</f>
        <v>0</v>
      </c>
      <c r="H86" s="3"/>
      <c r="I86" s="8">
        <v>0</v>
      </c>
      <c r="J86" s="15">
        <f>IF(G86&gt;0,G86+I86,I86)</f>
        <v>0</v>
      </c>
      <c r="K86" s="3"/>
      <c r="L86" s="3"/>
      <c r="M86" s="3"/>
      <c r="N86" s="12">
        <v>46275</v>
      </c>
      <c r="O86" s="7">
        <v>37</v>
      </c>
      <c r="P86" s="15">
        <f>(IF(G86&gt;0,G86+I86,I86)-(O86*Ventas!AE106*1))</f>
        <v>0</v>
      </c>
      <c r="Q86" s="3"/>
      <c r="R86" s="8">
        <v>0</v>
      </c>
      <c r="S86" s="15">
        <f>IF(P86&gt;0,P86+R86,R86)</f>
        <v>0</v>
      </c>
      <c r="T86" s="3"/>
      <c r="U86" s="3"/>
      <c r="V86" s="3"/>
      <c r="W86" s="12">
        <v>46331</v>
      </c>
      <c r="X86" s="7">
        <v>56</v>
      </c>
      <c r="Y86" s="15">
        <f>(IF(P86&gt;0,P86+R86,R86)-(X86*Ventas!AE106*1))</f>
        <v>0</v>
      </c>
      <c r="Z86" s="3"/>
      <c r="AA86" s="15">
        <f>(120*(Ventas!AE106*1) - IF(Y86&gt;0,Y86,0))</f>
        <v>0</v>
      </c>
      <c r="AB86" s="15">
        <v>0</v>
      </c>
      <c r="AC86" s="15">
        <f>IF(Y86&gt;0,Y86+IF(AB86&gt;0,AB86,0),AB86)</f>
        <v>0</v>
      </c>
      <c r="AD86" s="3"/>
      <c r="AE86" s="3"/>
      <c r="AF86" s="3"/>
      <c r="AG86" s="3"/>
      <c r="AH86" s="1" t="s">
        <v>35</v>
      </c>
      <c r="AI86">
        <f t="shared" si="1"/>
        <v>0</v>
      </c>
    </row>
    <row r="87" spans="1:35" x14ac:dyDescent="0.25">
      <c r="A87" s="1"/>
      <c r="B87" s="1" t="s">
        <v>166</v>
      </c>
      <c r="C87" s="14" t="s">
        <v>167</v>
      </c>
      <c r="D87" s="3"/>
      <c r="E87" s="12">
        <v>46238</v>
      </c>
      <c r="F87" s="7">
        <v>1</v>
      </c>
      <c r="G87" s="15">
        <f>(D87-(0)+0-(F87*Ventas!AE107*1))</f>
        <v>0</v>
      </c>
      <c r="H87" s="3"/>
      <c r="I87" s="8">
        <v>0</v>
      </c>
      <c r="J87" s="15">
        <f>IF(G87&gt;0,G87+I87,I87)</f>
        <v>0</v>
      </c>
      <c r="K87" s="3"/>
      <c r="L87" s="3"/>
      <c r="M87" s="3"/>
      <c r="N87" s="12">
        <v>46275</v>
      </c>
      <c r="O87" s="7">
        <v>37</v>
      </c>
      <c r="P87" s="15">
        <f>(IF(G87&gt;0,G87+I87,I87)-(O87*Ventas!AE107*1))</f>
        <v>0</v>
      </c>
      <c r="Q87" s="3"/>
      <c r="R87" s="8">
        <v>0</v>
      </c>
      <c r="S87" s="15">
        <f>IF(P87&gt;0,P87+R87,R87)</f>
        <v>0</v>
      </c>
      <c r="T87" s="3"/>
      <c r="U87" s="3"/>
      <c r="V87" s="3"/>
      <c r="W87" s="12">
        <v>46331</v>
      </c>
      <c r="X87" s="7">
        <v>56</v>
      </c>
      <c r="Y87" s="15">
        <f>(IF(P87&gt;0,P87+R87,R87)-(X87*Ventas!AE107*1))</f>
        <v>0</v>
      </c>
      <c r="Z87" s="3"/>
      <c r="AA87" s="15">
        <f>(120*(Ventas!AE107*1) - IF(Y87&gt;0,Y87,0))</f>
        <v>0</v>
      </c>
      <c r="AB87" s="15">
        <v>0</v>
      </c>
      <c r="AC87" s="15">
        <f>IF(Y87&gt;0,Y87+IF(AB87&gt;0,AB87,0),AB87)</f>
        <v>0</v>
      </c>
      <c r="AD87" s="3"/>
      <c r="AE87" s="3"/>
      <c r="AF87" s="3"/>
      <c r="AG87" s="3"/>
      <c r="AH87" s="1" t="s">
        <v>35</v>
      </c>
      <c r="AI87">
        <f t="shared" si="1"/>
        <v>0</v>
      </c>
    </row>
    <row r="88" spans="1:35" x14ac:dyDescent="0.25">
      <c r="A88" s="1"/>
      <c r="B88" s="1" t="s">
        <v>168</v>
      </c>
      <c r="C88" s="14" t="s">
        <v>169</v>
      </c>
      <c r="D88" s="3"/>
      <c r="E88" s="12">
        <v>46238</v>
      </c>
      <c r="F88" s="7">
        <v>1</v>
      </c>
      <c r="G88" s="15">
        <f>(D88-(0)+0-(F88*Ventas!AE108*1))</f>
        <v>0</v>
      </c>
      <c r="H88" s="3"/>
      <c r="I88" s="8">
        <v>0</v>
      </c>
      <c r="J88" s="15">
        <f>IF(G88&gt;0,G88+I88,I88)</f>
        <v>0</v>
      </c>
      <c r="K88" s="3"/>
      <c r="L88" s="3"/>
      <c r="M88" s="3"/>
      <c r="N88" s="12">
        <v>46275</v>
      </c>
      <c r="O88" s="7">
        <v>37</v>
      </c>
      <c r="P88" s="15">
        <f>(IF(G88&gt;0,G88+I88,I88)-(O88*Ventas!AE108*1))</f>
        <v>0</v>
      </c>
      <c r="Q88" s="3"/>
      <c r="R88" s="8">
        <v>0</v>
      </c>
      <c r="S88" s="15">
        <f>IF(P88&gt;0,P88+R88,R88)</f>
        <v>0</v>
      </c>
      <c r="T88" s="3"/>
      <c r="U88" s="3"/>
      <c r="V88" s="3"/>
      <c r="W88" s="12">
        <v>46331</v>
      </c>
      <c r="X88" s="7">
        <v>56</v>
      </c>
      <c r="Y88" s="15">
        <f>(IF(P88&gt;0,P88+R88,R88)-(X88*Ventas!AE108*1))</f>
        <v>0</v>
      </c>
      <c r="Z88" s="3"/>
      <c r="AA88" s="15">
        <f>(120*(Ventas!AE108*1) - IF(Y88&gt;0,Y88,0))</f>
        <v>0</v>
      </c>
      <c r="AB88" s="15">
        <v>0</v>
      </c>
      <c r="AC88" s="15">
        <f>IF(Y88&gt;0,Y88+IF(AB88&gt;0,AB88,0),AB88)</f>
        <v>0</v>
      </c>
      <c r="AD88" s="3"/>
      <c r="AE88" s="3"/>
      <c r="AF88" s="3"/>
      <c r="AG88" s="3"/>
      <c r="AH88" s="1" t="s">
        <v>35</v>
      </c>
      <c r="AI88">
        <f t="shared" si="1"/>
        <v>0</v>
      </c>
    </row>
    <row r="89" spans="1:35" x14ac:dyDescent="0.25">
      <c r="A89" s="1"/>
      <c r="B89" s="1" t="s">
        <v>176</v>
      </c>
      <c r="C89" s="14" t="s">
        <v>177</v>
      </c>
      <c r="D89" s="3"/>
      <c r="E89" s="12">
        <v>46238</v>
      </c>
      <c r="F89" s="7">
        <v>1</v>
      </c>
      <c r="G89" s="15">
        <f>(D89-(0)+0-(F89*Ventas!AE112*1))</f>
        <v>0</v>
      </c>
      <c r="H89" s="18" t="e">
        <f>(G89/(Ventas!AE112*1)/60)</f>
        <v>#DIV/0!</v>
      </c>
      <c r="I89" s="8">
        <v>0</v>
      </c>
      <c r="J89" s="15">
        <f>IF(G89&gt;0,G89+I89,I89)</f>
        <v>0</v>
      </c>
      <c r="K89" s="3"/>
      <c r="L89" s="15">
        <v>84</v>
      </c>
      <c r="M89" s="17">
        <v>4.0200000000000001E-4</v>
      </c>
      <c r="N89" s="12">
        <v>46275</v>
      </c>
      <c r="O89" s="7">
        <v>37</v>
      </c>
      <c r="P89" s="15">
        <f>(IF(G89&gt;0,G89+I89,I89)-(O89*Ventas!AE112*1))</f>
        <v>0</v>
      </c>
      <c r="Q89" s="18" t="e">
        <f>(P89/(Ventas!AE112*1)/60)</f>
        <v>#DIV/0!</v>
      </c>
      <c r="R89" s="8">
        <v>0</v>
      </c>
      <c r="S89" s="15">
        <f>IF(P89&gt;0,P89+R89,R89)</f>
        <v>0</v>
      </c>
      <c r="T89" s="3"/>
      <c r="U89" s="15">
        <v>84</v>
      </c>
      <c r="V89" s="17">
        <v>4.0200000000000001E-4</v>
      </c>
      <c r="W89" s="12">
        <v>46331</v>
      </c>
      <c r="X89" s="7">
        <v>56</v>
      </c>
      <c r="Y89" s="15">
        <f>(IF(P89&gt;0,P89+R89,R89)-(X89*Ventas!AE112*1))</f>
        <v>0</v>
      </c>
      <c r="Z89" s="18" t="e">
        <f>(Y89/(Ventas!AE112*1)/60)</f>
        <v>#DIV/0!</v>
      </c>
      <c r="AA89" s="15">
        <f>(120*(Ventas!AE112*1) - IF(Y89&gt;0,Y89,0))</f>
        <v>0</v>
      </c>
      <c r="AB89" s="15">
        <v>0</v>
      </c>
      <c r="AC89" s="15">
        <f>IF(Y89&gt;0,Y89+IF(AB89&gt;0,AB89,0),AB89)</f>
        <v>0</v>
      </c>
      <c r="AD89" s="16">
        <v>0.67</v>
      </c>
      <c r="AE89" s="8">
        <v>3010</v>
      </c>
      <c r="AF89" s="15">
        <f>(AC89-(60*Ventas!AE112*1))</f>
        <v>0</v>
      </c>
      <c r="AG89" s="18" t="e">
        <f>(AF89/(Ventas!AE112*1)/60)</f>
        <v>#DIV/0!</v>
      </c>
      <c r="AH89" s="1" t="s">
        <v>32</v>
      </c>
      <c r="AI89">
        <f t="shared" si="1"/>
        <v>0</v>
      </c>
    </row>
    <row r="90" spans="1:35" x14ac:dyDescent="0.25">
      <c r="A90" s="1"/>
      <c r="B90" s="1" t="s">
        <v>184</v>
      </c>
      <c r="C90" s="14" t="s">
        <v>185</v>
      </c>
      <c r="D90" s="3"/>
      <c r="E90" s="12">
        <v>46238</v>
      </c>
      <c r="F90" s="7">
        <v>1</v>
      </c>
      <c r="G90" s="15">
        <f>(D90-(0)+0-(F90*Ventas!AE116*1))</f>
        <v>0</v>
      </c>
      <c r="H90" s="3"/>
      <c r="I90" s="8">
        <v>0</v>
      </c>
      <c r="J90" s="15">
        <f>IF(G90&gt;0,G90+I90,I90)</f>
        <v>0</v>
      </c>
      <c r="K90" s="3"/>
      <c r="L90" s="15">
        <v>6</v>
      </c>
      <c r="M90" s="17">
        <v>5.0000000000000001E-3</v>
      </c>
      <c r="N90" s="12">
        <v>46275</v>
      </c>
      <c r="O90" s="7">
        <v>37</v>
      </c>
      <c r="P90" s="15">
        <f>(IF(G90&gt;0,G90+I90,I90)-(O90*Ventas!AE116*1))</f>
        <v>0</v>
      </c>
      <c r="Q90" s="3"/>
      <c r="R90" s="8">
        <v>0</v>
      </c>
      <c r="S90" s="15">
        <f>IF(P90&gt;0,P90+R90,R90)</f>
        <v>0</v>
      </c>
      <c r="T90" s="3"/>
      <c r="U90" s="15">
        <v>6</v>
      </c>
      <c r="V90" s="17">
        <v>5.0000000000000001E-3</v>
      </c>
      <c r="W90" s="12">
        <v>46331</v>
      </c>
      <c r="X90" s="7">
        <v>56</v>
      </c>
      <c r="Y90" s="15">
        <f>(IF(P90&gt;0,P90+R90,R90)-(X90*Ventas!AE116*1))</f>
        <v>0</v>
      </c>
      <c r="Z90" s="3"/>
      <c r="AA90" s="15">
        <f>(120*(Ventas!AE116*1) - IF(Y90&gt;0,Y90,0))</f>
        <v>0</v>
      </c>
      <c r="AB90" s="15">
        <v>0</v>
      </c>
      <c r="AC90" s="15">
        <f>IF(Y90&gt;0,Y90+IF(AB90&gt;0,AB90,0),AB90)</f>
        <v>0</v>
      </c>
      <c r="AD90" s="3"/>
      <c r="AE90" s="3"/>
      <c r="AF90" s="3"/>
      <c r="AG90" s="3"/>
      <c r="AH90" s="1" t="s">
        <v>35</v>
      </c>
      <c r="AI90">
        <f t="shared" si="1"/>
        <v>0</v>
      </c>
    </row>
    <row r="91" spans="1:35" x14ac:dyDescent="0.25">
      <c r="A91" s="1"/>
      <c r="B91" s="1" t="s">
        <v>196</v>
      </c>
      <c r="C91" s="14" t="s">
        <v>197</v>
      </c>
      <c r="D91" s="3"/>
      <c r="E91" s="12">
        <v>46238</v>
      </c>
      <c r="F91" s="7">
        <v>1</v>
      </c>
      <c r="G91" s="15">
        <f>(D91-(0)+0-(F91*Ventas!AE122*1))</f>
        <v>0</v>
      </c>
      <c r="H91" s="3"/>
      <c r="I91" s="8">
        <v>0</v>
      </c>
      <c r="J91" s="15">
        <f>IF(G91&gt;0,G91+I91,I91)</f>
        <v>0</v>
      </c>
      <c r="K91" s="3"/>
      <c r="L91" s="15">
        <v>84</v>
      </c>
      <c r="M91" s="17">
        <v>3.57E-4</v>
      </c>
      <c r="N91" s="12">
        <v>46275</v>
      </c>
      <c r="O91" s="7">
        <v>37</v>
      </c>
      <c r="P91" s="15">
        <f>(IF(G91&gt;0,G91+I91,I91)-(O91*Ventas!AE122*1))</f>
        <v>0</v>
      </c>
      <c r="Q91" s="3"/>
      <c r="R91" s="8">
        <v>0</v>
      </c>
      <c r="S91" s="15">
        <f>IF(P91&gt;0,P91+R91,R91)</f>
        <v>0</v>
      </c>
      <c r="T91" s="3"/>
      <c r="U91" s="15">
        <v>84</v>
      </c>
      <c r="V91" s="17">
        <v>3.57E-4</v>
      </c>
      <c r="W91" s="12">
        <v>46331</v>
      </c>
      <c r="X91" s="7">
        <v>56</v>
      </c>
      <c r="Y91" s="15">
        <f>(IF(P91&gt;0,P91+R91,R91)-(X91*Ventas!AE122*1))</f>
        <v>0</v>
      </c>
      <c r="Z91" s="3"/>
      <c r="AA91" s="15">
        <f>(120*(Ventas!AE122*1) - IF(Y91&gt;0,Y91,0))</f>
        <v>0</v>
      </c>
      <c r="AB91" s="15">
        <v>0</v>
      </c>
      <c r="AC91" s="15">
        <f>IF(Y91&gt;0,Y91+IF(AB91&gt;0,AB91,0),AB91)</f>
        <v>0</v>
      </c>
      <c r="AD91" s="3"/>
      <c r="AE91" s="8">
        <v>3010</v>
      </c>
      <c r="AF91" s="3"/>
      <c r="AG91" s="3"/>
      <c r="AH91" s="1" t="s">
        <v>35</v>
      </c>
      <c r="AI91">
        <f t="shared" si="1"/>
        <v>0</v>
      </c>
    </row>
    <row r="92" spans="1:35" x14ac:dyDescent="0.25">
      <c r="A92" s="1"/>
      <c r="B92" s="1" t="s">
        <v>198</v>
      </c>
      <c r="C92" s="14" t="s">
        <v>199</v>
      </c>
      <c r="D92" s="3"/>
      <c r="E92" s="12">
        <v>46238</v>
      </c>
      <c r="F92" s="7">
        <v>1</v>
      </c>
      <c r="G92" s="15">
        <f>(D92-(0)+0-(F92*Ventas!AE123*1))</f>
        <v>0</v>
      </c>
      <c r="H92" s="3"/>
      <c r="I92" s="8">
        <v>0</v>
      </c>
      <c r="J92" s="15">
        <f>IF(G92&gt;0,G92+I92,I92)</f>
        <v>0</v>
      </c>
      <c r="K92" s="3"/>
      <c r="L92" s="15">
        <v>84</v>
      </c>
      <c r="M92" s="17">
        <v>3.57E-4</v>
      </c>
      <c r="N92" s="12">
        <v>46275</v>
      </c>
      <c r="O92" s="7">
        <v>37</v>
      </c>
      <c r="P92" s="15">
        <f>(IF(G92&gt;0,G92+I92,I92)-(O92*Ventas!AE123*1))</f>
        <v>0</v>
      </c>
      <c r="Q92" s="3"/>
      <c r="R92" s="8">
        <v>0</v>
      </c>
      <c r="S92" s="15">
        <f>IF(P92&gt;0,P92+R92,R92)</f>
        <v>0</v>
      </c>
      <c r="T92" s="3"/>
      <c r="U92" s="15">
        <v>84</v>
      </c>
      <c r="V92" s="17">
        <v>3.57E-4</v>
      </c>
      <c r="W92" s="12">
        <v>46331</v>
      </c>
      <c r="X92" s="7">
        <v>56</v>
      </c>
      <c r="Y92" s="15">
        <f>(IF(P92&gt;0,P92+R92,R92)-(X92*Ventas!AE123*1))</f>
        <v>0</v>
      </c>
      <c r="Z92" s="3"/>
      <c r="AA92" s="15">
        <f>(120*(Ventas!AE123*1) - IF(Y92&gt;0,Y92,0))</f>
        <v>0</v>
      </c>
      <c r="AB92" s="15">
        <v>0</v>
      </c>
      <c r="AC92" s="15">
        <f>IF(Y92&gt;0,Y92+IF(AB92&gt;0,AB92,0),AB92)</f>
        <v>0</v>
      </c>
      <c r="AD92" s="3"/>
      <c r="AE92" s="8">
        <v>3010</v>
      </c>
      <c r="AF92" s="3"/>
      <c r="AG92" s="3"/>
      <c r="AH92" s="1" t="s">
        <v>35</v>
      </c>
      <c r="AI92">
        <f t="shared" si="1"/>
        <v>0</v>
      </c>
    </row>
    <row r="93" spans="1:35" x14ac:dyDescent="0.25">
      <c r="A93" s="1"/>
      <c r="B93" s="1" t="s">
        <v>200</v>
      </c>
      <c r="C93" s="14" t="s">
        <v>201</v>
      </c>
      <c r="D93" s="3"/>
      <c r="E93" s="12">
        <v>46238</v>
      </c>
      <c r="F93" s="7">
        <v>1</v>
      </c>
      <c r="G93" s="15">
        <f>(D93-(0)+0-(F93*Ventas!AE124*1))</f>
        <v>0</v>
      </c>
      <c r="H93" s="3"/>
      <c r="I93" s="8">
        <v>0</v>
      </c>
      <c r="J93" s="15">
        <f>IF(G93&gt;0,G93+I93,I93)</f>
        <v>0</v>
      </c>
      <c r="K93" s="3"/>
      <c r="L93" s="15">
        <v>44</v>
      </c>
      <c r="M93" s="17">
        <v>7.7300000000000003E-4</v>
      </c>
      <c r="N93" s="12">
        <v>46275</v>
      </c>
      <c r="O93" s="7">
        <v>37</v>
      </c>
      <c r="P93" s="15">
        <f>(IF(G93&gt;0,G93+I93,I93)-(O93*Ventas!AE124*1))</f>
        <v>0</v>
      </c>
      <c r="Q93" s="3"/>
      <c r="R93" s="8">
        <v>0</v>
      </c>
      <c r="S93" s="15">
        <f>IF(P93&gt;0,P93+R93,R93)</f>
        <v>0</v>
      </c>
      <c r="T93" s="3"/>
      <c r="U93" s="15">
        <v>44</v>
      </c>
      <c r="V93" s="17">
        <v>7.7300000000000003E-4</v>
      </c>
      <c r="W93" s="12">
        <v>46331</v>
      </c>
      <c r="X93" s="7">
        <v>56</v>
      </c>
      <c r="Y93" s="15">
        <f>(IF(P93&gt;0,P93+R93,R93)-(X93*Ventas!AE124*1))</f>
        <v>0</v>
      </c>
      <c r="Z93" s="3"/>
      <c r="AA93" s="15">
        <f>(120*(Ventas!AE124*1) - IF(Y93&gt;0,Y93,0))</f>
        <v>0</v>
      </c>
      <c r="AB93" s="15">
        <v>0</v>
      </c>
      <c r="AC93" s="15">
        <f>IF(Y93&gt;0,Y93+IF(AB93&gt;0,AB93,0),AB93)</f>
        <v>0</v>
      </c>
      <c r="AD93" s="3"/>
      <c r="AE93" s="8">
        <v>3010</v>
      </c>
      <c r="AF93" s="3"/>
      <c r="AG93" s="3"/>
      <c r="AH93" s="1" t="s">
        <v>35</v>
      </c>
      <c r="AI93">
        <f t="shared" si="1"/>
        <v>0</v>
      </c>
    </row>
    <row r="94" spans="1:35" x14ac:dyDescent="0.25">
      <c r="A94" s="1"/>
      <c r="B94" s="1" t="s">
        <v>202</v>
      </c>
      <c r="C94" s="14" t="s">
        <v>203</v>
      </c>
      <c r="D94" s="3"/>
      <c r="E94" s="12">
        <v>46238</v>
      </c>
      <c r="F94" s="7">
        <v>1</v>
      </c>
      <c r="G94" s="15">
        <f>(D94-(0)+0-(F94*Ventas!AE125*1))</f>
        <v>0</v>
      </c>
      <c r="H94" s="3"/>
      <c r="I94" s="8">
        <v>0</v>
      </c>
      <c r="J94" s="15">
        <f>IF(G94&gt;0,G94+I94,I94)</f>
        <v>0</v>
      </c>
      <c r="K94" s="3"/>
      <c r="L94" s="15">
        <v>84</v>
      </c>
      <c r="M94" s="17">
        <v>3.57E-4</v>
      </c>
      <c r="N94" s="12">
        <v>46275</v>
      </c>
      <c r="O94" s="7">
        <v>37</v>
      </c>
      <c r="P94" s="15">
        <f>(IF(G94&gt;0,G94+I94,I94)-(O94*Ventas!AE125*1))</f>
        <v>0</v>
      </c>
      <c r="Q94" s="3"/>
      <c r="R94" s="8">
        <v>0</v>
      </c>
      <c r="S94" s="15">
        <f>IF(P94&gt;0,P94+R94,R94)</f>
        <v>0</v>
      </c>
      <c r="T94" s="3"/>
      <c r="U94" s="15">
        <v>84</v>
      </c>
      <c r="V94" s="17">
        <v>3.57E-4</v>
      </c>
      <c r="W94" s="12">
        <v>46331</v>
      </c>
      <c r="X94" s="7">
        <v>56</v>
      </c>
      <c r="Y94" s="15">
        <f>(IF(P94&gt;0,P94+R94,R94)-(X94*Ventas!AE125*1))</f>
        <v>0</v>
      </c>
      <c r="Z94" s="3"/>
      <c r="AA94" s="15">
        <f>(120*(Ventas!AE125*1) - IF(Y94&gt;0,Y94,0))</f>
        <v>0</v>
      </c>
      <c r="AB94" s="15">
        <v>0</v>
      </c>
      <c r="AC94" s="15">
        <f>IF(Y94&gt;0,Y94+IF(AB94&gt;0,AB94,0),AB94)</f>
        <v>0</v>
      </c>
      <c r="AD94" s="3"/>
      <c r="AE94" s="8">
        <v>3010</v>
      </c>
      <c r="AF94" s="3"/>
      <c r="AG94" s="3"/>
      <c r="AH94" s="1" t="s">
        <v>35</v>
      </c>
      <c r="AI94">
        <f t="shared" si="1"/>
        <v>0</v>
      </c>
    </row>
    <row r="95" spans="1:35" x14ac:dyDescent="0.25">
      <c r="A95" s="1"/>
      <c r="B95" s="1" t="s">
        <v>204</v>
      </c>
      <c r="C95" s="14" t="s">
        <v>205</v>
      </c>
      <c r="D95" s="3"/>
      <c r="E95" s="12">
        <v>46238</v>
      </c>
      <c r="F95" s="7">
        <v>1</v>
      </c>
      <c r="G95" s="15">
        <f>(D95-(0)+0-(F95*Ventas!AE126*1))</f>
        <v>0</v>
      </c>
      <c r="H95" s="3"/>
      <c r="I95" s="8">
        <v>0</v>
      </c>
      <c r="J95" s="15">
        <f>IF(G95&gt;0,G95+I95,I95)</f>
        <v>0</v>
      </c>
      <c r="K95" s="3"/>
      <c r="L95" s="15">
        <v>44</v>
      </c>
      <c r="M95" s="17">
        <v>7.7300000000000003E-4</v>
      </c>
      <c r="N95" s="12">
        <v>46275</v>
      </c>
      <c r="O95" s="7">
        <v>37</v>
      </c>
      <c r="P95" s="15">
        <f>(IF(G95&gt;0,G95+I95,I95)-(O95*Ventas!AE126*1))</f>
        <v>0</v>
      </c>
      <c r="Q95" s="3"/>
      <c r="R95" s="8">
        <v>0</v>
      </c>
      <c r="S95" s="15">
        <f>IF(P95&gt;0,P95+R95,R95)</f>
        <v>0</v>
      </c>
      <c r="T95" s="3"/>
      <c r="U95" s="15">
        <v>44</v>
      </c>
      <c r="V95" s="17">
        <v>7.7300000000000003E-4</v>
      </c>
      <c r="W95" s="12">
        <v>46331</v>
      </c>
      <c r="X95" s="7">
        <v>56</v>
      </c>
      <c r="Y95" s="15">
        <f>(IF(P95&gt;0,P95+R95,R95)-(X95*Ventas!AE126*1))</f>
        <v>0</v>
      </c>
      <c r="Z95" s="3"/>
      <c r="AA95" s="15">
        <f>(120*(Ventas!AE126*1) - IF(Y95&gt;0,Y95,0))</f>
        <v>0</v>
      </c>
      <c r="AB95" s="15">
        <v>0</v>
      </c>
      <c r="AC95" s="15">
        <f>IF(Y95&gt;0,Y95+IF(AB95&gt;0,AB95,0),AB95)</f>
        <v>0</v>
      </c>
      <c r="AD95" s="3"/>
      <c r="AE95" s="8">
        <v>3010</v>
      </c>
      <c r="AF95" s="3"/>
      <c r="AG95" s="3"/>
      <c r="AH95" s="1" t="s">
        <v>35</v>
      </c>
      <c r="AI95">
        <f t="shared" si="1"/>
        <v>0</v>
      </c>
    </row>
    <row r="96" spans="1:35" x14ac:dyDescent="0.25">
      <c r="A96" s="1"/>
      <c r="B96" s="1" t="s">
        <v>206</v>
      </c>
      <c r="C96" s="14" t="s">
        <v>207</v>
      </c>
      <c r="D96" s="3"/>
      <c r="E96" s="12">
        <v>46238</v>
      </c>
      <c r="F96" s="7">
        <v>1</v>
      </c>
      <c r="G96" s="15">
        <f>(D96-(0)+0-(F96*Ventas!AE127*1))</f>
        <v>0</v>
      </c>
      <c r="H96" s="3"/>
      <c r="I96" s="8">
        <v>0</v>
      </c>
      <c r="J96" s="15">
        <f>IF(G96&gt;0,G96+I96,I96)</f>
        <v>0</v>
      </c>
      <c r="K96" s="3"/>
      <c r="L96" s="15">
        <v>84</v>
      </c>
      <c r="M96" s="17">
        <v>3.57E-4</v>
      </c>
      <c r="N96" s="12">
        <v>46275</v>
      </c>
      <c r="O96" s="7">
        <v>37</v>
      </c>
      <c r="P96" s="15">
        <f>(IF(G96&gt;0,G96+I96,I96)-(O96*Ventas!AE127*1))</f>
        <v>0</v>
      </c>
      <c r="Q96" s="3"/>
      <c r="R96" s="8">
        <v>0</v>
      </c>
      <c r="S96" s="15">
        <f>IF(P96&gt;0,P96+R96,R96)</f>
        <v>0</v>
      </c>
      <c r="T96" s="3"/>
      <c r="U96" s="15">
        <v>84</v>
      </c>
      <c r="V96" s="17">
        <v>3.57E-4</v>
      </c>
      <c r="W96" s="12">
        <v>46331</v>
      </c>
      <c r="X96" s="7">
        <v>56</v>
      </c>
      <c r="Y96" s="15">
        <f>(IF(P96&gt;0,P96+R96,R96)-(X96*Ventas!AE127*1))</f>
        <v>0</v>
      </c>
      <c r="Z96" s="3"/>
      <c r="AA96" s="15">
        <f>(120*(Ventas!AE127*1) - IF(Y96&gt;0,Y96,0))</f>
        <v>0</v>
      </c>
      <c r="AB96" s="15">
        <v>0</v>
      </c>
      <c r="AC96" s="15">
        <f>IF(Y96&gt;0,Y96+IF(AB96&gt;0,AB96,0),AB96)</f>
        <v>0</v>
      </c>
      <c r="AD96" s="3"/>
      <c r="AE96" s="8">
        <v>3010</v>
      </c>
      <c r="AF96" s="3"/>
      <c r="AG96" s="3"/>
      <c r="AH96" s="1" t="s">
        <v>35</v>
      </c>
      <c r="AI96">
        <f t="shared" si="1"/>
        <v>0</v>
      </c>
    </row>
    <row r="97" spans="1:35" x14ac:dyDescent="0.25">
      <c r="A97" s="1"/>
      <c r="B97" s="1" t="s">
        <v>208</v>
      </c>
      <c r="C97" s="14" t="s">
        <v>209</v>
      </c>
      <c r="D97" s="3"/>
      <c r="E97" s="12">
        <v>46238</v>
      </c>
      <c r="F97" s="7">
        <v>1</v>
      </c>
      <c r="G97" s="15">
        <f>(D97-(0)+0-(F97*Ventas!AE128*1))</f>
        <v>0</v>
      </c>
      <c r="H97" s="3"/>
      <c r="I97" s="8">
        <v>0</v>
      </c>
      <c r="J97" s="15">
        <f>IF(G97&gt;0,G97+I97,I97)</f>
        <v>0</v>
      </c>
      <c r="K97" s="3"/>
      <c r="L97" s="15">
        <v>84</v>
      </c>
      <c r="M97" s="17">
        <v>3.57E-4</v>
      </c>
      <c r="N97" s="12">
        <v>46275</v>
      </c>
      <c r="O97" s="7">
        <v>37</v>
      </c>
      <c r="P97" s="15">
        <f>(IF(G97&gt;0,G97+I97,I97)-(O97*Ventas!AE128*1))</f>
        <v>0</v>
      </c>
      <c r="Q97" s="3"/>
      <c r="R97" s="8">
        <v>0</v>
      </c>
      <c r="S97" s="15">
        <f>IF(P97&gt;0,P97+R97,R97)</f>
        <v>0</v>
      </c>
      <c r="T97" s="3"/>
      <c r="U97" s="15">
        <v>84</v>
      </c>
      <c r="V97" s="17">
        <v>3.57E-4</v>
      </c>
      <c r="W97" s="12">
        <v>46331</v>
      </c>
      <c r="X97" s="7">
        <v>56</v>
      </c>
      <c r="Y97" s="15">
        <f>(IF(P97&gt;0,P97+R97,R97)-(X97*Ventas!AE128*1))</f>
        <v>0</v>
      </c>
      <c r="Z97" s="3"/>
      <c r="AA97" s="15">
        <f>(120*(Ventas!AE128*1) - IF(Y97&gt;0,Y97,0))</f>
        <v>0</v>
      </c>
      <c r="AB97" s="15">
        <v>0</v>
      </c>
      <c r="AC97" s="15">
        <f>IF(Y97&gt;0,Y97+IF(AB97&gt;0,AB97,0),AB97)</f>
        <v>0</v>
      </c>
      <c r="AD97" s="3"/>
      <c r="AE97" s="8">
        <v>3010</v>
      </c>
      <c r="AF97" s="3"/>
      <c r="AG97" s="3"/>
      <c r="AH97" s="1" t="s">
        <v>35</v>
      </c>
      <c r="AI97">
        <f t="shared" si="1"/>
        <v>0</v>
      </c>
    </row>
    <row r="98" spans="1:35" x14ac:dyDescent="0.25">
      <c r="A98" s="1"/>
      <c r="B98" s="1" t="s">
        <v>210</v>
      </c>
      <c r="C98" s="14" t="s">
        <v>211</v>
      </c>
      <c r="D98" s="3"/>
      <c r="E98" s="12">
        <v>46238</v>
      </c>
      <c r="F98" s="7">
        <v>1</v>
      </c>
      <c r="G98" s="15">
        <f>(D98-(0)+0-(F98*Ventas!AE129*1))</f>
        <v>0</v>
      </c>
      <c r="H98" s="3"/>
      <c r="I98" s="8">
        <v>0</v>
      </c>
      <c r="J98" s="15">
        <f>IF(G98&gt;0,G98+I98,I98)</f>
        <v>0</v>
      </c>
      <c r="K98" s="3"/>
      <c r="L98" s="15">
        <v>84</v>
      </c>
      <c r="M98" s="17">
        <v>3.57E-4</v>
      </c>
      <c r="N98" s="12">
        <v>46275</v>
      </c>
      <c r="O98" s="7">
        <v>37</v>
      </c>
      <c r="P98" s="15">
        <f>(IF(G98&gt;0,G98+I98,I98)-(O98*Ventas!AE129*1))</f>
        <v>0</v>
      </c>
      <c r="Q98" s="3"/>
      <c r="R98" s="8">
        <v>0</v>
      </c>
      <c r="S98" s="15">
        <f>IF(P98&gt;0,P98+R98,R98)</f>
        <v>0</v>
      </c>
      <c r="T98" s="3"/>
      <c r="U98" s="15">
        <v>84</v>
      </c>
      <c r="V98" s="17">
        <v>3.57E-4</v>
      </c>
      <c r="W98" s="12">
        <v>46331</v>
      </c>
      <c r="X98" s="7">
        <v>56</v>
      </c>
      <c r="Y98" s="15">
        <f>(IF(P98&gt;0,P98+R98,R98)-(X98*Ventas!AE129*1))</f>
        <v>0</v>
      </c>
      <c r="Z98" s="3"/>
      <c r="AA98" s="15">
        <f>(120*(Ventas!AE129*1) - IF(Y98&gt;0,Y98,0))</f>
        <v>0</v>
      </c>
      <c r="AB98" s="15">
        <v>0</v>
      </c>
      <c r="AC98" s="15">
        <f>IF(Y98&gt;0,Y98+IF(AB98&gt;0,AB98,0),AB98)</f>
        <v>0</v>
      </c>
      <c r="AD98" s="3"/>
      <c r="AE98" s="8">
        <v>3010</v>
      </c>
      <c r="AF98" s="3"/>
      <c r="AG98" s="3"/>
      <c r="AH98" s="1" t="s">
        <v>35</v>
      </c>
      <c r="AI98">
        <f t="shared" si="1"/>
        <v>0</v>
      </c>
    </row>
    <row r="99" spans="1:35" x14ac:dyDescent="0.25">
      <c r="A99" s="1"/>
      <c r="B99" s="1" t="s">
        <v>212</v>
      </c>
      <c r="C99" s="14" t="s">
        <v>213</v>
      </c>
      <c r="D99" s="3"/>
      <c r="E99" s="12">
        <v>46238</v>
      </c>
      <c r="F99" s="7">
        <v>1</v>
      </c>
      <c r="G99" s="15">
        <f>(D99-(0)+0-(F99*Ventas!AE130*1))</f>
        <v>0</v>
      </c>
      <c r="H99" s="3"/>
      <c r="I99" s="8">
        <v>0</v>
      </c>
      <c r="J99" s="15">
        <f>IF(G99&gt;0,G99+I99,I99)</f>
        <v>0</v>
      </c>
      <c r="K99" s="3"/>
      <c r="L99" s="15">
        <v>84</v>
      </c>
      <c r="M99" s="17">
        <v>3.57E-4</v>
      </c>
      <c r="N99" s="12">
        <v>46275</v>
      </c>
      <c r="O99" s="7">
        <v>37</v>
      </c>
      <c r="P99" s="15">
        <f>(IF(G99&gt;0,G99+I99,I99)-(O99*Ventas!AE130*1))</f>
        <v>0</v>
      </c>
      <c r="Q99" s="3"/>
      <c r="R99" s="8">
        <v>0</v>
      </c>
      <c r="S99" s="15">
        <f>IF(P99&gt;0,P99+R99,R99)</f>
        <v>0</v>
      </c>
      <c r="T99" s="3"/>
      <c r="U99" s="15">
        <v>84</v>
      </c>
      <c r="V99" s="17">
        <v>3.57E-4</v>
      </c>
      <c r="W99" s="12">
        <v>46331</v>
      </c>
      <c r="X99" s="7">
        <v>56</v>
      </c>
      <c r="Y99" s="15">
        <f>(IF(P99&gt;0,P99+R99,R99)-(X99*Ventas!AE130*1))</f>
        <v>0</v>
      </c>
      <c r="Z99" s="3"/>
      <c r="AA99" s="15">
        <f>(120*(Ventas!AE130*1) - IF(Y99&gt;0,Y99,0))</f>
        <v>0</v>
      </c>
      <c r="AB99" s="15">
        <v>0</v>
      </c>
      <c r="AC99" s="15">
        <f>IF(Y99&gt;0,Y99+IF(AB99&gt;0,AB99,0),AB99)</f>
        <v>0</v>
      </c>
      <c r="AD99" s="3"/>
      <c r="AE99" s="8">
        <v>3010</v>
      </c>
      <c r="AF99" s="3"/>
      <c r="AG99" s="3"/>
      <c r="AH99" s="1" t="s">
        <v>35</v>
      </c>
      <c r="AI99">
        <f t="shared" si="1"/>
        <v>0</v>
      </c>
    </row>
    <row r="100" spans="1:35" x14ac:dyDescent="0.25">
      <c r="A100" s="1"/>
      <c r="B100" s="1" t="s">
        <v>214</v>
      </c>
      <c r="C100" s="14" t="s">
        <v>215</v>
      </c>
      <c r="D100" s="3"/>
      <c r="E100" s="12">
        <v>46238</v>
      </c>
      <c r="F100" s="7">
        <v>1</v>
      </c>
      <c r="G100" s="15">
        <f>(D100-(0)+0-(F100*Ventas!AE131*1))</f>
        <v>0</v>
      </c>
      <c r="H100" s="3"/>
      <c r="I100" s="8">
        <v>0</v>
      </c>
      <c r="J100" s="15">
        <f>IF(G100&gt;0,G100+I100,I100)</f>
        <v>0</v>
      </c>
      <c r="K100" s="3"/>
      <c r="L100" s="15">
        <v>84</v>
      </c>
      <c r="M100" s="17">
        <v>3.57E-4</v>
      </c>
      <c r="N100" s="12">
        <v>46275</v>
      </c>
      <c r="O100" s="7">
        <v>37</v>
      </c>
      <c r="P100" s="15">
        <f>(IF(G100&gt;0,G100+I100,I100)-(O100*Ventas!AE131*1))</f>
        <v>0</v>
      </c>
      <c r="Q100" s="3"/>
      <c r="R100" s="8">
        <v>0</v>
      </c>
      <c r="S100" s="15">
        <f>IF(P100&gt;0,P100+R100,R100)</f>
        <v>0</v>
      </c>
      <c r="T100" s="3"/>
      <c r="U100" s="15">
        <v>84</v>
      </c>
      <c r="V100" s="17">
        <v>3.57E-4</v>
      </c>
      <c r="W100" s="12">
        <v>46331</v>
      </c>
      <c r="X100" s="7">
        <v>56</v>
      </c>
      <c r="Y100" s="15">
        <f>(IF(P100&gt;0,P100+R100,R100)-(X100*Ventas!AE131*1))</f>
        <v>0</v>
      </c>
      <c r="Z100" s="3"/>
      <c r="AA100" s="15">
        <f>(120*(Ventas!AE131*1) - IF(Y100&gt;0,Y100,0))</f>
        <v>0</v>
      </c>
      <c r="AB100" s="15">
        <v>0</v>
      </c>
      <c r="AC100" s="15">
        <f>IF(Y100&gt;0,Y100+IF(AB100&gt;0,AB100,0),AB100)</f>
        <v>0</v>
      </c>
      <c r="AD100" s="3"/>
      <c r="AE100" s="8">
        <v>3010</v>
      </c>
      <c r="AF100" s="3"/>
      <c r="AG100" s="3"/>
      <c r="AH100" s="1" t="s">
        <v>35</v>
      </c>
      <c r="AI100">
        <f t="shared" si="1"/>
        <v>0</v>
      </c>
    </row>
    <row r="101" spans="1:35" x14ac:dyDescent="0.25">
      <c r="A101" s="1"/>
      <c r="B101" s="1" t="s">
        <v>216</v>
      </c>
      <c r="C101" s="14" t="s">
        <v>217</v>
      </c>
      <c r="D101" s="3"/>
      <c r="E101" s="12">
        <v>46238</v>
      </c>
      <c r="F101" s="7">
        <v>1</v>
      </c>
      <c r="G101" s="15">
        <f>(D101-(0)+0-(F101*Ventas!AE132*1))</f>
        <v>0</v>
      </c>
      <c r="H101" s="3"/>
      <c r="I101" s="8">
        <v>0</v>
      </c>
      <c r="J101" s="15">
        <f>IF(G101&gt;0,G101+I101,I101)</f>
        <v>0</v>
      </c>
      <c r="K101" s="3"/>
      <c r="L101" s="15">
        <v>84</v>
      </c>
      <c r="M101" s="17">
        <v>3.57E-4</v>
      </c>
      <c r="N101" s="12">
        <v>46275</v>
      </c>
      <c r="O101" s="7">
        <v>37</v>
      </c>
      <c r="P101" s="15">
        <f>(IF(G101&gt;0,G101+I101,I101)-(O101*Ventas!AE132*1))</f>
        <v>0</v>
      </c>
      <c r="Q101" s="3"/>
      <c r="R101" s="8">
        <v>0</v>
      </c>
      <c r="S101" s="15">
        <f>IF(P101&gt;0,P101+R101,R101)</f>
        <v>0</v>
      </c>
      <c r="T101" s="3"/>
      <c r="U101" s="15">
        <v>84</v>
      </c>
      <c r="V101" s="17">
        <v>3.57E-4</v>
      </c>
      <c r="W101" s="12">
        <v>46331</v>
      </c>
      <c r="X101" s="7">
        <v>56</v>
      </c>
      <c r="Y101" s="15">
        <f>(IF(P101&gt;0,P101+R101,R101)-(X101*Ventas!AE132*1))</f>
        <v>0</v>
      </c>
      <c r="Z101" s="3"/>
      <c r="AA101" s="15">
        <f>(120*(Ventas!AE132*1) - IF(Y101&gt;0,Y101,0))</f>
        <v>0</v>
      </c>
      <c r="AB101" s="15">
        <v>0</v>
      </c>
      <c r="AC101" s="15">
        <f>IF(Y101&gt;0,Y101+IF(AB101&gt;0,AB101,0),AB101)</f>
        <v>0</v>
      </c>
      <c r="AD101" s="3"/>
      <c r="AE101" s="8">
        <v>3010</v>
      </c>
      <c r="AF101" s="3"/>
      <c r="AG101" s="3"/>
      <c r="AH101" s="1" t="s">
        <v>35</v>
      </c>
      <c r="AI101">
        <f t="shared" si="1"/>
        <v>0</v>
      </c>
    </row>
    <row r="102" spans="1:35" x14ac:dyDescent="0.25">
      <c r="A102" s="1"/>
      <c r="B102" s="1" t="s">
        <v>248</v>
      </c>
      <c r="C102" s="14" t="s">
        <v>249</v>
      </c>
      <c r="D102" s="3"/>
      <c r="E102" s="12">
        <v>46238</v>
      </c>
      <c r="F102" s="7">
        <v>1</v>
      </c>
      <c r="G102" s="15">
        <f>(D102-(0)+0-(F102*Ventas!AE148*1))</f>
        <v>0</v>
      </c>
      <c r="H102" s="3"/>
      <c r="I102" s="8">
        <v>0</v>
      </c>
      <c r="J102" s="15">
        <f>IF(G102&gt;0,G102+I102,I102)</f>
        <v>0</v>
      </c>
      <c r="K102" s="3"/>
      <c r="L102" s="3">
        <v>84</v>
      </c>
      <c r="M102" s="3"/>
      <c r="N102" s="12">
        <v>46275</v>
      </c>
      <c r="O102" s="7">
        <v>37</v>
      </c>
      <c r="P102" s="15">
        <f>(IF(G102&gt;0,G102+I102,I102)-(O102*Ventas!AE148*1))</f>
        <v>0</v>
      </c>
      <c r="Q102" s="3"/>
      <c r="R102" s="8">
        <v>0</v>
      </c>
      <c r="S102" s="15">
        <f>IF(P102&gt;0,P102+R102,R102)</f>
        <v>0</v>
      </c>
      <c r="T102" s="3"/>
      <c r="U102" s="3">
        <v>84</v>
      </c>
      <c r="V102" s="3"/>
      <c r="W102" s="12">
        <v>46331</v>
      </c>
      <c r="X102" s="7">
        <v>56</v>
      </c>
      <c r="Y102" s="15">
        <f>(IF(P102&gt;0,P102+R102,R102)-(X102*Ventas!AE148*1))</f>
        <v>0</v>
      </c>
      <c r="Z102" s="3"/>
      <c r="AA102" s="15">
        <f>(120*(Ventas!AE148*1) - IF(Y102&gt;0,Y102,0))</f>
        <v>0</v>
      </c>
      <c r="AB102" s="15">
        <v>0</v>
      </c>
      <c r="AC102" s="15">
        <f>IF(Y102&gt;0,Y102+IF(AB102&gt;0,AB102,0),AB102)</f>
        <v>0</v>
      </c>
      <c r="AD102" s="3"/>
      <c r="AE102" s="3"/>
      <c r="AF102" s="3"/>
      <c r="AG102" s="3"/>
      <c r="AH102" s="1" t="s">
        <v>35</v>
      </c>
      <c r="AI102">
        <f t="shared" si="1"/>
        <v>0</v>
      </c>
    </row>
    <row r="103" spans="1:35" x14ac:dyDescent="0.25">
      <c r="A103" s="1"/>
      <c r="B103" s="42" t="s">
        <v>258</v>
      </c>
      <c r="C103" s="14" t="s">
        <v>259</v>
      </c>
      <c r="D103" s="3"/>
      <c r="E103" s="12">
        <v>46238</v>
      </c>
      <c r="F103" s="7">
        <v>1</v>
      </c>
      <c r="G103" s="15">
        <f>(D103-(0)+0-(F103*Ventas!AE153*1))</f>
        <v>0</v>
      </c>
      <c r="H103" s="3"/>
      <c r="I103" s="8">
        <v>0</v>
      </c>
      <c r="J103" s="15">
        <f>IF(G103&gt;0,G103+I103,I103)</f>
        <v>0</v>
      </c>
      <c r="K103" s="3"/>
      <c r="L103" s="3">
        <v>120</v>
      </c>
      <c r="M103" s="3"/>
      <c r="N103" s="12">
        <v>46275</v>
      </c>
      <c r="O103" s="7">
        <v>37</v>
      </c>
      <c r="P103" s="15">
        <f>(IF(G103&gt;0,G103+I103,I103)-(O103*Ventas!AE153*1))</f>
        <v>0</v>
      </c>
      <c r="Q103" s="3"/>
      <c r="R103" s="8">
        <v>360</v>
      </c>
      <c r="S103" s="15">
        <f>IF(P103&gt;0,P103+R103,R103)</f>
        <v>360</v>
      </c>
      <c r="T103" s="15">
        <v>0.38</v>
      </c>
      <c r="U103" s="3">
        <v>120</v>
      </c>
      <c r="V103" s="3"/>
      <c r="W103" s="12">
        <v>46331</v>
      </c>
      <c r="X103" s="7">
        <v>56</v>
      </c>
      <c r="Y103" s="15">
        <f>(IF(P103&gt;0,P103+R103,R103)-(X103*Ventas!AE153*1))</f>
        <v>360</v>
      </c>
      <c r="Z103" s="3"/>
      <c r="AA103" s="15">
        <f>(120*(Ventas!AE153*1) - IF(Y103&gt;0,Y103,0))</f>
        <v>-360</v>
      </c>
      <c r="AB103" s="15">
        <v>240</v>
      </c>
      <c r="AC103" s="15">
        <f>IF(Y103&gt;0,Y103+IF(AB103&gt;0,AB103,0),AB103)</f>
        <v>600</v>
      </c>
      <c r="AD103" s="3"/>
      <c r="AE103" s="3"/>
      <c r="AF103" s="3"/>
      <c r="AG103" s="3"/>
      <c r="AH103" s="1" t="s">
        <v>35</v>
      </c>
      <c r="AI103">
        <f t="shared" si="1"/>
        <v>0</v>
      </c>
    </row>
    <row r="104" spans="1:35" x14ac:dyDescent="0.25">
      <c r="A104" s="1"/>
      <c r="B104" s="81" t="s">
        <v>472</v>
      </c>
      <c r="C104" s="14" t="s">
        <v>473</v>
      </c>
      <c r="D104" s="3"/>
      <c r="E104" s="12">
        <v>46238</v>
      </c>
      <c r="F104" s="7">
        <v>1</v>
      </c>
      <c r="G104" s="15">
        <f>(D104-(0)+0-(F104*Ventas!AE238*1))</f>
        <v>0</v>
      </c>
      <c r="H104" s="3"/>
      <c r="I104" s="8">
        <v>312</v>
      </c>
      <c r="J104" s="15">
        <f>IF(G104&gt;0,G104+I104,I104)</f>
        <v>312</v>
      </c>
      <c r="K104" s="15">
        <v>0.9</v>
      </c>
      <c r="L104" s="3">
        <v>52</v>
      </c>
      <c r="M104" s="3"/>
      <c r="N104" s="12">
        <v>46275</v>
      </c>
      <c r="O104" s="7">
        <v>37</v>
      </c>
      <c r="P104" s="15">
        <f>(IF(G104&gt;0,G104+I104,I104)-(O104*Ventas!AE238*1))</f>
        <v>312</v>
      </c>
      <c r="Q104" s="3"/>
      <c r="R104" s="8">
        <v>728</v>
      </c>
      <c r="S104" s="15">
        <f>IF(P104&gt;0,P104+R104,R104)</f>
        <v>1040</v>
      </c>
      <c r="T104" s="15">
        <v>0.91</v>
      </c>
      <c r="U104" s="86">
        <v>52</v>
      </c>
      <c r="V104" s="3"/>
      <c r="W104" s="12">
        <v>46331</v>
      </c>
      <c r="X104" s="7">
        <v>56</v>
      </c>
      <c r="Y104" s="15">
        <f>(IF(P104&gt;0,P104+R104,R104)-(X104*Ventas!AE238*1))</f>
        <v>1040</v>
      </c>
      <c r="Z104" s="3"/>
      <c r="AA104" s="15">
        <f>(120*(Ventas!AE238*1) - IF(Y104&gt;0,Y104,0))</f>
        <v>-1040</v>
      </c>
      <c r="AB104" s="15">
        <v>624</v>
      </c>
      <c r="AC104" s="15">
        <f>IF(Y104&gt;0,Y104+IF(AB104&gt;0,AB104,0),AB104)</f>
        <v>1664</v>
      </c>
      <c r="AD104" s="16">
        <v>0.9</v>
      </c>
      <c r="AE104" s="8">
        <v>3025</v>
      </c>
      <c r="AF104" s="3"/>
      <c r="AG104" s="3"/>
      <c r="AH104" s="1" t="s">
        <v>35</v>
      </c>
      <c r="AI104">
        <f t="shared" si="1"/>
        <v>561.6</v>
      </c>
    </row>
    <row r="105" spans="1:35" x14ac:dyDescent="0.25">
      <c r="A105" s="1"/>
      <c r="B105" s="1" t="s">
        <v>254</v>
      </c>
      <c r="C105" s="14" t="s">
        <v>255</v>
      </c>
      <c r="D105" s="3"/>
      <c r="E105" s="12">
        <v>46238</v>
      </c>
      <c r="F105" s="7">
        <v>1</v>
      </c>
      <c r="G105" s="15">
        <f>(D105-(0)+0-(F105*Ventas!AE151*1))</f>
        <v>0</v>
      </c>
      <c r="H105" s="3"/>
      <c r="I105" s="8">
        <v>168</v>
      </c>
      <c r="J105" s="15">
        <f>IF(G105&gt;0,G105+I105,I105)</f>
        <v>168</v>
      </c>
      <c r="K105" s="15">
        <v>1.2</v>
      </c>
      <c r="L105" s="3">
        <v>84</v>
      </c>
      <c r="M105" s="3"/>
      <c r="N105" s="12">
        <v>46275</v>
      </c>
      <c r="O105" s="7">
        <v>37</v>
      </c>
      <c r="P105" s="15">
        <f>(IF(G105&gt;0,G105+I105,I105)-(O105*Ventas!AE151*1))</f>
        <v>168</v>
      </c>
      <c r="Q105" s="3"/>
      <c r="R105" s="8">
        <v>0</v>
      </c>
      <c r="S105" s="15">
        <f>IF(P105&gt;0,P105+R105,R105)</f>
        <v>168</v>
      </c>
      <c r="T105" s="3"/>
      <c r="U105" s="3">
        <v>84</v>
      </c>
      <c r="V105" s="3"/>
      <c r="W105" s="12">
        <v>46331</v>
      </c>
      <c r="X105" s="7">
        <v>56</v>
      </c>
      <c r="Y105" s="15">
        <f>(IF(P105&gt;0,P105+R105,R105)-(X105*Ventas!AE151*1))</f>
        <v>168</v>
      </c>
      <c r="Z105" s="3"/>
      <c r="AA105" s="15">
        <f>(120*(Ventas!AE151*1) - IF(Y105&gt;0,Y105,0))</f>
        <v>-168</v>
      </c>
      <c r="AB105" s="15">
        <v>0</v>
      </c>
      <c r="AC105" s="15">
        <f>IF(Y105&gt;0,Y105+IF(AB105&gt;0,AB105,0),AB105)</f>
        <v>168</v>
      </c>
      <c r="AD105" s="16">
        <v>1.2</v>
      </c>
      <c r="AE105" s="8">
        <v>3025</v>
      </c>
      <c r="AF105" s="3"/>
      <c r="AG105" s="3"/>
      <c r="AH105" s="1" t="s">
        <v>35</v>
      </c>
      <c r="AI105">
        <f t="shared" si="1"/>
        <v>0</v>
      </c>
    </row>
    <row r="106" spans="1:35" x14ac:dyDescent="0.25">
      <c r="A106" s="1"/>
      <c r="B106" s="1" t="s">
        <v>256</v>
      </c>
      <c r="C106" s="14" t="s">
        <v>257</v>
      </c>
      <c r="D106" s="3"/>
      <c r="E106" s="12">
        <v>46238</v>
      </c>
      <c r="F106" s="7">
        <v>1</v>
      </c>
      <c r="G106" s="15">
        <f>(D106-(0)+0-(F106*Ventas!AE152*1))</f>
        <v>0</v>
      </c>
      <c r="H106" s="3"/>
      <c r="I106" s="8">
        <v>0</v>
      </c>
      <c r="J106" s="15">
        <f>IF(G106&gt;0,G106+I106,I106)</f>
        <v>0</v>
      </c>
      <c r="K106" s="3"/>
      <c r="L106" s="3">
        <v>84</v>
      </c>
      <c r="M106" s="3"/>
      <c r="N106" s="12">
        <v>46275</v>
      </c>
      <c r="O106" s="7">
        <v>37</v>
      </c>
      <c r="P106" s="15">
        <f>(IF(G106&gt;0,G106+I106,I106)-(O106*Ventas!AE152*1))</f>
        <v>0</v>
      </c>
      <c r="Q106" s="3"/>
      <c r="R106" s="8">
        <v>84</v>
      </c>
      <c r="S106" s="15">
        <f>IF(P106&gt;0,P106+R106,R106)</f>
        <v>84</v>
      </c>
      <c r="T106" s="15">
        <v>1.1399999999999999</v>
      </c>
      <c r="U106" s="3">
        <v>84</v>
      </c>
      <c r="V106" s="3"/>
      <c r="W106" s="12">
        <v>46331</v>
      </c>
      <c r="X106" s="7">
        <v>56</v>
      </c>
      <c r="Y106" s="15">
        <f>(IF(P106&gt;0,P106+R106,R106)-(X106*Ventas!AE152*1))</f>
        <v>84</v>
      </c>
      <c r="Z106" s="3"/>
      <c r="AA106" s="15">
        <f>(120*(Ventas!AE152*1) - IF(Y106&gt;0,Y106,0))</f>
        <v>-84</v>
      </c>
      <c r="AB106" s="15">
        <v>0</v>
      </c>
      <c r="AC106" s="15">
        <f>IF(Y106&gt;0,Y106+IF(AB106&gt;0,AB106,0),AB106)</f>
        <v>84</v>
      </c>
      <c r="AD106" s="3"/>
      <c r="AE106" s="3"/>
      <c r="AF106" s="3"/>
      <c r="AG106" s="3"/>
      <c r="AH106" s="1" t="s">
        <v>35</v>
      </c>
      <c r="AI106">
        <f t="shared" si="1"/>
        <v>0</v>
      </c>
    </row>
    <row r="107" spans="1:35" x14ac:dyDescent="0.25">
      <c r="A107" s="1"/>
      <c r="B107" s="1" t="s">
        <v>260</v>
      </c>
      <c r="C107" s="14" t="s">
        <v>261</v>
      </c>
      <c r="D107" s="3"/>
      <c r="E107" s="12">
        <v>46238</v>
      </c>
      <c r="F107" s="7">
        <v>1</v>
      </c>
      <c r="G107" s="15">
        <f>(D107-(0)+0-(F107*Ventas!AE154*1))</f>
        <v>0</v>
      </c>
      <c r="H107" s="3"/>
      <c r="I107" s="8">
        <v>0</v>
      </c>
      <c r="J107" s="15">
        <f>IF(G107&gt;0,G107+I107,I107)</f>
        <v>0</v>
      </c>
      <c r="K107" s="3"/>
      <c r="L107" s="3">
        <v>120</v>
      </c>
      <c r="M107" s="3"/>
      <c r="N107" s="12">
        <v>46275</v>
      </c>
      <c r="O107" s="7">
        <v>37</v>
      </c>
      <c r="P107" s="15">
        <f>(IF(G107&gt;0,G107+I107,I107)-(O107*Ventas!AE154*1))</f>
        <v>0</v>
      </c>
      <c r="Q107" s="3"/>
      <c r="R107" s="8">
        <v>120</v>
      </c>
      <c r="S107" s="15">
        <f>IF(P107&gt;0,P107+R107,R107)</f>
        <v>120</v>
      </c>
      <c r="T107" s="15">
        <v>0.38</v>
      </c>
      <c r="U107" s="3">
        <v>120</v>
      </c>
      <c r="V107" s="3"/>
      <c r="W107" s="12">
        <v>46331</v>
      </c>
      <c r="X107" s="7">
        <v>56</v>
      </c>
      <c r="Y107" s="15">
        <f>(IF(P107&gt;0,P107+R107,R107)-(X107*Ventas!AE154*1))</f>
        <v>120</v>
      </c>
      <c r="Z107" s="3"/>
      <c r="AA107" s="15">
        <f>(120*(Ventas!AE154*1) - IF(Y107&gt;0,Y107,0))</f>
        <v>-120</v>
      </c>
      <c r="AB107" s="15">
        <v>0</v>
      </c>
      <c r="AC107" s="15">
        <f>IF(Y107&gt;0,Y107+IF(AB107&gt;0,AB107,0),AB107)</f>
        <v>120</v>
      </c>
      <c r="AD107" s="3"/>
      <c r="AE107" s="3"/>
      <c r="AF107" s="3"/>
      <c r="AG107" s="3"/>
      <c r="AH107" s="1" t="s">
        <v>35</v>
      </c>
      <c r="AI107">
        <f t="shared" si="1"/>
        <v>0</v>
      </c>
    </row>
    <row r="108" spans="1:35" x14ac:dyDescent="0.25">
      <c r="A108" s="1"/>
      <c r="B108" s="1" t="s">
        <v>262</v>
      </c>
      <c r="C108" s="14" t="s">
        <v>263</v>
      </c>
      <c r="D108" s="3"/>
      <c r="E108" s="12">
        <v>46238</v>
      </c>
      <c r="F108" s="7">
        <v>1</v>
      </c>
      <c r="G108" s="15">
        <f>(D108-(0)+0-(F108*Ventas!AE155*1))</f>
        <v>0</v>
      </c>
      <c r="H108" s="3"/>
      <c r="I108" s="8">
        <v>0</v>
      </c>
      <c r="J108" s="15">
        <f>IF(G108&gt;0,G108+I108,I108)</f>
        <v>0</v>
      </c>
      <c r="K108" s="3"/>
      <c r="L108" s="3">
        <v>84</v>
      </c>
      <c r="M108" s="3"/>
      <c r="N108" s="12">
        <v>46275</v>
      </c>
      <c r="O108" s="7">
        <v>37</v>
      </c>
      <c r="P108" s="15">
        <f>(IF(G108&gt;0,G108+I108,I108)-(O108*Ventas!AE155*1))</f>
        <v>0</v>
      </c>
      <c r="Q108" s="3"/>
      <c r="R108" s="8">
        <v>84</v>
      </c>
      <c r="S108" s="15">
        <f>IF(P108&gt;0,P108+R108,R108)</f>
        <v>84</v>
      </c>
      <c r="T108" s="15">
        <v>0.98</v>
      </c>
      <c r="U108" s="3">
        <v>84</v>
      </c>
      <c r="V108" s="3"/>
      <c r="W108" s="12">
        <v>46331</v>
      </c>
      <c r="X108" s="7">
        <v>56</v>
      </c>
      <c r="Y108" s="15">
        <f>(IF(P108&gt;0,P108+R108,R108)-(X108*Ventas!AE155*1))</f>
        <v>84</v>
      </c>
      <c r="Z108" s="3"/>
      <c r="AA108" s="15">
        <f>(120*(Ventas!AE155*1) - IF(Y108&gt;0,Y108,0))</f>
        <v>-84</v>
      </c>
      <c r="AB108" s="15">
        <v>0</v>
      </c>
      <c r="AC108" s="15">
        <f>IF(Y108&gt;0,Y108+IF(AB108&gt;0,AB108,0),AB108)</f>
        <v>84</v>
      </c>
      <c r="AD108" s="3"/>
      <c r="AE108" s="3"/>
      <c r="AF108" s="3"/>
      <c r="AG108" s="3"/>
      <c r="AH108" s="1" t="s">
        <v>35</v>
      </c>
      <c r="AI108">
        <f t="shared" si="1"/>
        <v>0</v>
      </c>
    </row>
    <row r="109" spans="1:35" x14ac:dyDescent="0.25">
      <c r="A109" s="1"/>
      <c r="B109" s="1" t="s">
        <v>266</v>
      </c>
      <c r="C109" s="14" t="s">
        <v>267</v>
      </c>
      <c r="D109" s="3"/>
      <c r="E109" s="12">
        <v>46238</v>
      </c>
      <c r="F109" s="7">
        <v>1</v>
      </c>
      <c r="G109" s="15">
        <f>(D109-(0)+0-(F109*Ventas!AE157*1))</f>
        <v>0</v>
      </c>
      <c r="H109" s="3"/>
      <c r="I109" s="8">
        <v>0</v>
      </c>
      <c r="J109" s="15">
        <f>IF(G109&gt;0,G109+I109,I109)</f>
        <v>0</v>
      </c>
      <c r="K109" s="3"/>
      <c r="L109" s="15">
        <v>10</v>
      </c>
      <c r="M109" s="17">
        <v>1.08E-3</v>
      </c>
      <c r="N109" s="12">
        <v>46275</v>
      </c>
      <c r="O109" s="7">
        <v>37</v>
      </c>
      <c r="P109" s="15">
        <f>(IF(G109&gt;0,G109+I109,I109)-(O109*Ventas!AE157*1))</f>
        <v>0</v>
      </c>
      <c r="Q109" s="3"/>
      <c r="R109" s="8">
        <v>0</v>
      </c>
      <c r="S109" s="15">
        <f>IF(P109&gt;0,P109+R109,R109)</f>
        <v>0</v>
      </c>
      <c r="T109" s="3"/>
      <c r="U109" s="15">
        <v>10</v>
      </c>
      <c r="V109" s="17">
        <v>1.08E-3</v>
      </c>
      <c r="W109" s="12">
        <v>46331</v>
      </c>
      <c r="X109" s="7">
        <v>56</v>
      </c>
      <c r="Y109" s="15">
        <f>(IF(P109&gt;0,P109+R109,R109)-(X109*Ventas!AE157*1))</f>
        <v>0</v>
      </c>
      <c r="Z109" s="3"/>
      <c r="AA109" s="15">
        <f>(120*(Ventas!AE157*1) - IF(Y109&gt;0,Y109,0))</f>
        <v>0</v>
      </c>
      <c r="AB109" s="15">
        <v>0</v>
      </c>
      <c r="AC109" s="15">
        <f>IF(Y109&gt;0,Y109+IF(AB109&gt;0,AB109,0),AB109)</f>
        <v>0</v>
      </c>
      <c r="AD109" s="16">
        <v>1.06</v>
      </c>
      <c r="AE109" s="8">
        <v>3025</v>
      </c>
      <c r="AF109" s="3"/>
      <c r="AG109" s="3"/>
      <c r="AH109" s="1" t="s">
        <v>35</v>
      </c>
      <c r="AI109">
        <f t="shared" si="1"/>
        <v>0</v>
      </c>
    </row>
    <row r="110" spans="1:35" x14ac:dyDescent="0.25">
      <c r="A110" s="1"/>
      <c r="B110" s="1" t="s">
        <v>268</v>
      </c>
      <c r="C110" s="14" t="s">
        <v>269</v>
      </c>
      <c r="D110" s="3"/>
      <c r="E110" s="12">
        <v>46238</v>
      </c>
      <c r="F110" s="7">
        <v>1</v>
      </c>
      <c r="G110" s="15">
        <f>(D110-(0)+0-(F110*Ventas!AE158*1))</f>
        <v>0</v>
      </c>
      <c r="H110" s="3"/>
      <c r="I110" s="8">
        <v>0</v>
      </c>
      <c r="J110" s="15">
        <f>IF(G110&gt;0,G110+I110,I110)</f>
        <v>0</v>
      </c>
      <c r="K110" s="3"/>
      <c r="L110" s="15">
        <v>10</v>
      </c>
      <c r="M110" s="17">
        <v>1.08E-3</v>
      </c>
      <c r="N110" s="12">
        <v>46275</v>
      </c>
      <c r="O110" s="7">
        <v>37</v>
      </c>
      <c r="P110" s="15">
        <f>(IF(G110&gt;0,G110+I110,I110)-(O110*Ventas!AE158*1))</f>
        <v>0</v>
      </c>
      <c r="Q110" s="3"/>
      <c r="R110" s="8">
        <v>0</v>
      </c>
      <c r="S110" s="15">
        <f>IF(P110&gt;0,P110+R110,R110)</f>
        <v>0</v>
      </c>
      <c r="T110" s="3"/>
      <c r="U110" s="15">
        <v>10</v>
      </c>
      <c r="V110" s="17">
        <v>1.08E-3</v>
      </c>
      <c r="W110" s="12">
        <v>46331</v>
      </c>
      <c r="X110" s="7">
        <v>56</v>
      </c>
      <c r="Y110" s="15">
        <f>(IF(P110&gt;0,P110+R110,R110)-(X110*Ventas!AE158*1))</f>
        <v>0</v>
      </c>
      <c r="Z110" s="3"/>
      <c r="AA110" s="15">
        <f>(120*(Ventas!AE158*1) - IF(Y110&gt;0,Y110,0))</f>
        <v>0</v>
      </c>
      <c r="AB110" s="15">
        <v>0</v>
      </c>
      <c r="AC110" s="15">
        <f>IF(Y110&gt;0,Y110+IF(AB110&gt;0,AB110,0),AB110)</f>
        <v>0</v>
      </c>
      <c r="AD110" s="16">
        <v>1.06</v>
      </c>
      <c r="AE110" s="8">
        <v>3025</v>
      </c>
      <c r="AF110" s="3"/>
      <c r="AG110" s="3"/>
      <c r="AH110" s="1" t="s">
        <v>35</v>
      </c>
      <c r="AI110">
        <f t="shared" si="1"/>
        <v>0</v>
      </c>
    </row>
    <row r="111" spans="1:35" x14ac:dyDescent="0.25">
      <c r="A111" s="1" t="s">
        <v>273</v>
      </c>
      <c r="B111" s="26" t="s">
        <v>274</v>
      </c>
      <c r="C111" s="14" t="s">
        <v>275</v>
      </c>
      <c r="D111" s="3"/>
      <c r="E111" s="12">
        <v>46238</v>
      </c>
      <c r="F111" s="7">
        <v>1</v>
      </c>
      <c r="G111" s="15">
        <f>(D111-(0)+0-(F111*Ventas!AE160*1))</f>
        <v>0</v>
      </c>
      <c r="H111" s="3"/>
      <c r="I111" s="8">
        <v>0</v>
      </c>
      <c r="J111" s="15">
        <f>IF(G111&gt;0,G111+I111,I111)</f>
        <v>0</v>
      </c>
      <c r="K111" s="3"/>
      <c r="L111" s="15">
        <v>54</v>
      </c>
      <c r="M111" s="17">
        <v>8.0599999999999997E-4</v>
      </c>
      <c r="N111" s="12">
        <v>46275</v>
      </c>
      <c r="O111" s="7">
        <v>37</v>
      </c>
      <c r="P111" s="15">
        <f>(IF(G111&gt;0,G111+I111,I111)-(O111*Ventas!AE160*1))</f>
        <v>0</v>
      </c>
      <c r="Q111" s="3"/>
      <c r="R111" s="8">
        <v>0</v>
      </c>
      <c r="S111" s="15">
        <f>IF(P111&gt;0,P111+R111,R111)</f>
        <v>0</v>
      </c>
      <c r="T111" s="3"/>
      <c r="U111" s="15">
        <v>54</v>
      </c>
      <c r="V111" s="17">
        <v>8.0599999999999997E-4</v>
      </c>
      <c r="W111" s="12">
        <v>46331</v>
      </c>
      <c r="X111" s="7">
        <v>56</v>
      </c>
      <c r="Y111" s="15">
        <f>(IF(P111&gt;0,P111+R111,R111)-(X111*Ventas!AE160*1))</f>
        <v>0</v>
      </c>
      <c r="Z111" s="3"/>
      <c r="AA111" s="15">
        <f>(120*(Ventas!AE160*1) - IF(Y111&gt;0,Y111,0))</f>
        <v>0</v>
      </c>
      <c r="AB111" s="15">
        <v>0</v>
      </c>
      <c r="AC111" s="15">
        <f>IF(Y111&gt;0,Y111+IF(AB111&gt;0,AB111,0),AB111)</f>
        <v>0</v>
      </c>
      <c r="AD111" s="16">
        <v>1.17</v>
      </c>
      <c r="AE111" s="8">
        <v>3027</v>
      </c>
      <c r="AF111" s="3"/>
      <c r="AG111" s="3"/>
      <c r="AH111" s="1" t="s">
        <v>32</v>
      </c>
      <c r="AI111">
        <f t="shared" si="1"/>
        <v>0</v>
      </c>
    </row>
    <row r="112" spans="1:35" x14ac:dyDescent="0.25">
      <c r="A112" s="1" t="s">
        <v>276</v>
      </c>
      <c r="B112" s="30" t="s">
        <v>277</v>
      </c>
      <c r="C112" s="14" t="s">
        <v>278</v>
      </c>
      <c r="D112" s="3"/>
      <c r="E112" s="12">
        <v>46238</v>
      </c>
      <c r="F112" s="7">
        <v>1</v>
      </c>
      <c r="G112" s="15">
        <f>(D112-(0)+0-(F112*Ventas!AE161*1))</f>
        <v>0</v>
      </c>
      <c r="H112" s="18" t="e">
        <f>(G112/(Ventas!AE161*1)/60)</f>
        <v>#DIV/0!</v>
      </c>
      <c r="I112" s="8">
        <v>0</v>
      </c>
      <c r="J112" s="15">
        <f>IF(G112&gt;0,G112+I112,I112)</f>
        <v>0</v>
      </c>
      <c r="K112" s="3"/>
      <c r="L112" s="15">
        <v>52</v>
      </c>
      <c r="M112" s="17">
        <v>6.4899999999999995E-4</v>
      </c>
      <c r="N112" s="12">
        <v>46275</v>
      </c>
      <c r="O112" s="7">
        <v>37</v>
      </c>
      <c r="P112" s="15">
        <f>(IF(G112&gt;0,G112+I112,I112)-(O112*Ventas!AE161*1))</f>
        <v>0</v>
      </c>
      <c r="Q112" s="18" t="e">
        <f>(P112/(Ventas!AE161*1)/60)</f>
        <v>#DIV/0!</v>
      </c>
      <c r="R112" s="8">
        <v>0</v>
      </c>
      <c r="S112" s="15">
        <f>IF(P112&gt;0,P112+R112,R112)</f>
        <v>0</v>
      </c>
      <c r="T112" s="3"/>
      <c r="U112" s="15">
        <v>52</v>
      </c>
      <c r="V112" s="17">
        <v>6.4899999999999995E-4</v>
      </c>
      <c r="W112" s="12">
        <v>46331</v>
      </c>
      <c r="X112" s="7">
        <v>56</v>
      </c>
      <c r="Y112" s="15">
        <f>(IF(P112&gt;0,P112+R112,R112)-(X112*Ventas!AE161*1))</f>
        <v>0</v>
      </c>
      <c r="Z112" s="18" t="e">
        <f>(Y112/(Ventas!AE161*1)/60)</f>
        <v>#DIV/0!</v>
      </c>
      <c r="AA112" s="15">
        <f>(120*(Ventas!AE161*1) - IF(Y112&gt;0,Y112,0))</f>
        <v>0</v>
      </c>
      <c r="AB112" s="15">
        <v>0</v>
      </c>
      <c r="AC112" s="15">
        <f>IF(Y112&gt;0,Y112+IF(AB112&gt;0,AB112,0),AB112)</f>
        <v>0</v>
      </c>
      <c r="AD112" s="16">
        <v>1.17</v>
      </c>
      <c r="AE112" s="8">
        <v>3027</v>
      </c>
      <c r="AF112" s="15">
        <f>(AC112-(60*Ventas!AE161*1))</f>
        <v>0</v>
      </c>
      <c r="AG112" s="18" t="e">
        <f>(AF112/(Ventas!AE161*1)/60)</f>
        <v>#DIV/0!</v>
      </c>
      <c r="AH112" s="1" t="s">
        <v>32</v>
      </c>
      <c r="AI112">
        <f t="shared" si="1"/>
        <v>0</v>
      </c>
    </row>
    <row r="113" spans="1:35" x14ac:dyDescent="0.25">
      <c r="A113" s="1" t="s">
        <v>282</v>
      </c>
      <c r="B113" s="27" t="s">
        <v>283</v>
      </c>
      <c r="C113" s="14" t="s">
        <v>284</v>
      </c>
      <c r="D113" s="3"/>
      <c r="E113" s="12">
        <v>46238</v>
      </c>
      <c r="F113" s="7">
        <v>1</v>
      </c>
      <c r="G113" s="15">
        <f>(D113-(0)+0-(F113*Ventas!AE163*1))</f>
        <v>0</v>
      </c>
      <c r="H113" s="3"/>
      <c r="I113" s="8">
        <v>0</v>
      </c>
      <c r="J113" s="15">
        <f>IF(G113&gt;0,G113+I113,I113)</f>
        <v>0</v>
      </c>
      <c r="K113" s="3"/>
      <c r="L113" s="15">
        <v>52</v>
      </c>
      <c r="M113" s="17">
        <v>6.4899999999999995E-4</v>
      </c>
      <c r="N113" s="12">
        <v>46275</v>
      </c>
      <c r="O113" s="7">
        <v>37</v>
      </c>
      <c r="P113" s="15">
        <f>(IF(G113&gt;0,G113+I113,I113)-(O113*Ventas!AE163*1))</f>
        <v>0</v>
      </c>
      <c r="Q113" s="3"/>
      <c r="R113" s="8">
        <v>0</v>
      </c>
      <c r="S113" s="15">
        <f>IF(P113&gt;0,P113+R113,R113)</f>
        <v>0</v>
      </c>
      <c r="T113" s="3"/>
      <c r="U113" s="15">
        <v>52</v>
      </c>
      <c r="V113" s="17">
        <v>6.4899999999999995E-4</v>
      </c>
      <c r="W113" s="12">
        <v>46331</v>
      </c>
      <c r="X113" s="7">
        <v>56</v>
      </c>
      <c r="Y113" s="15">
        <f>(IF(P113&gt;0,P113+R113,R113)-(X113*Ventas!AE163*1))</f>
        <v>0</v>
      </c>
      <c r="Z113" s="3"/>
      <c r="AA113" s="15">
        <f>(120*(Ventas!AE163*1) - IF(Y113&gt;0,Y113,0))</f>
        <v>0</v>
      </c>
      <c r="AB113" s="15">
        <v>0</v>
      </c>
      <c r="AC113" s="15">
        <f>IF(Y113&gt;0,Y113+IF(AB113&gt;0,AB113,0),AB113)</f>
        <v>0</v>
      </c>
      <c r="AD113" s="16">
        <v>1.45</v>
      </c>
      <c r="AE113" s="8">
        <v>3017</v>
      </c>
      <c r="AF113" s="3"/>
      <c r="AG113" s="3"/>
      <c r="AH113" s="1" t="s">
        <v>32</v>
      </c>
      <c r="AI113">
        <f t="shared" si="1"/>
        <v>0</v>
      </c>
    </row>
    <row r="114" spans="1:35" x14ac:dyDescent="0.25">
      <c r="A114" s="1" t="s">
        <v>285</v>
      </c>
      <c r="B114" s="32" t="s">
        <v>286</v>
      </c>
      <c r="C114" s="14" t="s">
        <v>287</v>
      </c>
      <c r="D114" s="3"/>
      <c r="E114" s="12">
        <v>46238</v>
      </c>
      <c r="F114" s="7">
        <v>1</v>
      </c>
      <c r="G114" s="15">
        <f>(D114-(0)+0-(F114*Ventas!AE164*1))</f>
        <v>0</v>
      </c>
      <c r="H114" s="3"/>
      <c r="I114" s="8">
        <v>0</v>
      </c>
      <c r="J114" s="15">
        <f>IF(G114&gt;0,G114+I114,I114)</f>
        <v>0</v>
      </c>
      <c r="K114" s="3"/>
      <c r="L114" s="15">
        <v>52</v>
      </c>
      <c r="M114" s="17">
        <v>6.4899999999999995E-4</v>
      </c>
      <c r="N114" s="12">
        <v>46275</v>
      </c>
      <c r="O114" s="7">
        <v>37</v>
      </c>
      <c r="P114" s="15">
        <f>(IF(G114&gt;0,G114+I114,I114)-(O114*Ventas!AE164*1))</f>
        <v>0</v>
      </c>
      <c r="Q114" s="3"/>
      <c r="R114" s="8">
        <v>0</v>
      </c>
      <c r="S114" s="15">
        <f>IF(P114&gt;0,P114+R114,R114)</f>
        <v>0</v>
      </c>
      <c r="T114" s="3"/>
      <c r="U114" s="15">
        <v>52</v>
      </c>
      <c r="V114" s="17">
        <v>6.4899999999999995E-4</v>
      </c>
      <c r="W114" s="12">
        <v>46331</v>
      </c>
      <c r="X114" s="7">
        <v>56</v>
      </c>
      <c r="Y114" s="15">
        <f>(IF(P114&gt;0,P114+R114,R114)-(X114*Ventas!AE164*1))</f>
        <v>0</v>
      </c>
      <c r="Z114" s="3"/>
      <c r="AA114" s="15">
        <f>(120*(Ventas!AE164*1) - IF(Y114&gt;0,Y114,0))</f>
        <v>0</v>
      </c>
      <c r="AB114" s="15">
        <v>0</v>
      </c>
      <c r="AC114" s="15">
        <f>IF(Y114&gt;0,Y114+IF(AB114&gt;0,AB114,0),AB114)</f>
        <v>0</v>
      </c>
      <c r="AD114" s="16">
        <v>1.45</v>
      </c>
      <c r="AE114" s="8">
        <v>3017</v>
      </c>
      <c r="AF114" s="3"/>
      <c r="AG114" s="3"/>
      <c r="AH114" s="1" t="s">
        <v>32</v>
      </c>
      <c r="AI114">
        <f t="shared" si="1"/>
        <v>0</v>
      </c>
    </row>
    <row r="115" spans="1:35" x14ac:dyDescent="0.25">
      <c r="A115" s="1"/>
      <c r="B115" s="1" t="s">
        <v>288</v>
      </c>
      <c r="C115" s="14" t="s">
        <v>289</v>
      </c>
      <c r="D115" s="3"/>
      <c r="E115" s="12">
        <v>46238</v>
      </c>
      <c r="F115" s="7">
        <v>1</v>
      </c>
      <c r="G115" s="15">
        <f>(D115-(0)+0-(F115*Ventas!AE165*1))</f>
        <v>0</v>
      </c>
      <c r="H115" s="3"/>
      <c r="I115" s="8">
        <v>0</v>
      </c>
      <c r="J115" s="15">
        <f>IF(G115&gt;0,G115+I115,I115)</f>
        <v>0</v>
      </c>
      <c r="K115" s="3"/>
      <c r="L115" s="15">
        <v>10</v>
      </c>
      <c r="M115" s="17">
        <v>1.08E-3</v>
      </c>
      <c r="N115" s="12">
        <v>46275</v>
      </c>
      <c r="O115" s="7">
        <v>37</v>
      </c>
      <c r="P115" s="15">
        <f>(IF(G115&gt;0,G115+I115,I115)-(O115*Ventas!AE165*1))</f>
        <v>0</v>
      </c>
      <c r="Q115" s="3"/>
      <c r="R115" s="8">
        <v>0</v>
      </c>
      <c r="S115" s="15">
        <f>IF(P115&gt;0,P115+R115,R115)</f>
        <v>0</v>
      </c>
      <c r="T115" s="3"/>
      <c r="U115" s="15">
        <v>10</v>
      </c>
      <c r="V115" s="17">
        <v>1.08E-3</v>
      </c>
      <c r="W115" s="12">
        <v>46331</v>
      </c>
      <c r="X115" s="7">
        <v>56</v>
      </c>
      <c r="Y115" s="15">
        <f>(IF(P115&gt;0,P115+R115,R115)-(X115*Ventas!AE165*1))</f>
        <v>0</v>
      </c>
      <c r="Z115" s="3"/>
      <c r="AA115" s="15">
        <f>(120*(Ventas!AE165*1) - IF(Y115&gt;0,Y115,0))</f>
        <v>0</v>
      </c>
      <c r="AB115" s="15">
        <v>0</v>
      </c>
      <c r="AC115" s="15">
        <f>IF(Y115&gt;0,Y115+IF(AB115&gt;0,AB115,0),AB115)</f>
        <v>0</v>
      </c>
      <c r="AD115" s="16">
        <v>21.23</v>
      </c>
      <c r="AE115" s="8">
        <v>3025</v>
      </c>
      <c r="AF115" s="3"/>
      <c r="AG115" s="3"/>
      <c r="AH115" s="1" t="s">
        <v>32</v>
      </c>
      <c r="AI115">
        <f t="shared" si="1"/>
        <v>0</v>
      </c>
    </row>
    <row r="116" spans="1:35" x14ac:dyDescent="0.25">
      <c r="A116" s="1"/>
      <c r="B116" s="1" t="s">
        <v>290</v>
      </c>
      <c r="C116" s="14" t="s">
        <v>291</v>
      </c>
      <c r="D116" s="3"/>
      <c r="E116" s="12">
        <v>46238</v>
      </c>
      <c r="F116" s="7">
        <v>1</v>
      </c>
      <c r="G116" s="15">
        <f>(D116-(0)+0-(F116*Ventas!AE31*1))</f>
        <v>0</v>
      </c>
      <c r="H116" s="3"/>
      <c r="I116" s="8">
        <v>0</v>
      </c>
      <c r="J116" s="15">
        <f>IF(G116&gt;0,G116+I116,I116)</f>
        <v>0</v>
      </c>
      <c r="K116" s="3"/>
      <c r="L116" s="15">
        <v>70</v>
      </c>
      <c r="M116" s="17">
        <v>4.3600000000000003E-4</v>
      </c>
      <c r="N116" s="12">
        <v>46275</v>
      </c>
      <c r="O116" s="7">
        <v>37</v>
      </c>
      <c r="P116" s="15">
        <f>(IF(G116&gt;0,G116+I116,I116)-(O116*Ventas!AE31*1))</f>
        <v>0</v>
      </c>
      <c r="Q116" s="3"/>
      <c r="R116" s="8">
        <v>0</v>
      </c>
      <c r="S116" s="15">
        <f>IF(P116&gt;0,P116+R116,R116)</f>
        <v>0</v>
      </c>
      <c r="T116" s="3"/>
      <c r="U116" s="15">
        <v>70</v>
      </c>
      <c r="V116" s="17">
        <v>4.3600000000000003E-4</v>
      </c>
      <c r="W116" s="12">
        <v>46331</v>
      </c>
      <c r="X116" s="7">
        <v>56</v>
      </c>
      <c r="Y116" s="15">
        <f>(IF(P116&gt;0,P116+R116,R116)-(X116*Ventas!AE31*1))</f>
        <v>0</v>
      </c>
      <c r="Z116" s="3"/>
      <c r="AA116" s="15">
        <f>(120*(Ventas!AE31*1) - IF(Y116&gt;0,Y116,0))</f>
        <v>0</v>
      </c>
      <c r="AB116" s="15">
        <v>0</v>
      </c>
      <c r="AC116" s="15">
        <f>IF(Y116&gt;0,Y116+IF(AB116&gt;0,AB116,0),AB116)</f>
        <v>0</v>
      </c>
      <c r="AD116" s="16">
        <v>3.33</v>
      </c>
      <c r="AE116" s="8">
        <v>3017</v>
      </c>
      <c r="AF116" s="3"/>
      <c r="AG116" s="3"/>
      <c r="AH116" s="1" t="s">
        <v>32</v>
      </c>
      <c r="AI116">
        <f t="shared" si="1"/>
        <v>0</v>
      </c>
    </row>
    <row r="117" spans="1:35" x14ac:dyDescent="0.25">
      <c r="A117" s="1"/>
      <c r="B117" s="52" t="s">
        <v>150</v>
      </c>
      <c r="C117" s="14" t="s">
        <v>151</v>
      </c>
      <c r="D117" s="3"/>
      <c r="E117" s="12">
        <v>46238</v>
      </c>
      <c r="F117" s="7">
        <v>1</v>
      </c>
      <c r="G117" s="15">
        <f>(D117-(0)+0-(F117*Ventas!AE102*1))</f>
        <v>0</v>
      </c>
      <c r="H117" s="18" t="e">
        <f>(G117/(Ventas!AE102*1)/60)</f>
        <v>#DIV/0!</v>
      </c>
      <c r="I117" s="8">
        <v>0</v>
      </c>
      <c r="J117" s="15">
        <f>IF(G117&gt;0,G117+I117,I117)</f>
        <v>0</v>
      </c>
      <c r="K117" s="3"/>
      <c r="L117" s="15">
        <v>60</v>
      </c>
      <c r="M117" s="17">
        <v>4.7199999999999998E-4</v>
      </c>
      <c r="N117" s="12">
        <v>46275</v>
      </c>
      <c r="O117" s="7">
        <v>37</v>
      </c>
      <c r="P117" s="15">
        <f>(IF(G117&gt;0,G117+I117,I117)-(O117*Ventas!AE102*1))</f>
        <v>0</v>
      </c>
      <c r="Q117" s="18" t="e">
        <f>(P117/(Ventas!AE102*1)/60)</f>
        <v>#DIV/0!</v>
      </c>
      <c r="R117" s="8">
        <v>0</v>
      </c>
      <c r="S117" s="15">
        <f>IF(P117&gt;0,P117+R117,R117)</f>
        <v>0</v>
      </c>
      <c r="T117" s="3"/>
      <c r="U117" s="15">
        <v>60</v>
      </c>
      <c r="V117" s="17">
        <v>4.7199999999999998E-4</v>
      </c>
      <c r="W117" s="12">
        <v>46331</v>
      </c>
      <c r="X117" s="7">
        <v>56</v>
      </c>
      <c r="Y117" s="15">
        <f>(IF(P117&gt;0,P117+R117,R117)-(X117*Ventas!AE102*1))</f>
        <v>0</v>
      </c>
      <c r="Z117" s="18" t="e">
        <f>(Y117/(Ventas!AE102*1)/60)</f>
        <v>#DIV/0!</v>
      </c>
      <c r="AA117" s="15">
        <f>(120*(Ventas!AE102*1) - IF(Y117&gt;0,Y117,0))</f>
        <v>0</v>
      </c>
      <c r="AB117" s="89">
        <v>0</v>
      </c>
      <c r="AC117" s="15">
        <f>IF(Y117&gt;0,Y117+IF(AB117&gt;0,AB117,0),AB117)</f>
        <v>0</v>
      </c>
      <c r="AD117" s="16">
        <v>1.05</v>
      </c>
      <c r="AE117" s="8">
        <v>3010</v>
      </c>
      <c r="AF117" s="15">
        <f>(AC117-(60*Ventas!AE102*1))</f>
        <v>0</v>
      </c>
      <c r="AG117" s="18" t="e">
        <f>(AF117/(Ventas!AE102*1)/60)</f>
        <v>#DIV/0!</v>
      </c>
      <c r="AH117" s="1" t="s">
        <v>32</v>
      </c>
      <c r="AI117">
        <f t="shared" si="1"/>
        <v>0</v>
      </c>
    </row>
    <row r="118" spans="1:35" x14ac:dyDescent="0.25">
      <c r="A118" s="1" t="s">
        <v>301</v>
      </c>
      <c r="B118" s="1" t="s">
        <v>302</v>
      </c>
      <c r="C118" s="14" t="s">
        <v>303</v>
      </c>
      <c r="D118" s="3"/>
      <c r="E118" s="12">
        <v>46238</v>
      </c>
      <c r="F118" s="7">
        <v>1</v>
      </c>
      <c r="G118" s="15">
        <f>(D118-(0)+0-(F118*Ventas!AE170*1))</f>
        <v>0</v>
      </c>
      <c r="H118" s="3"/>
      <c r="I118" s="8">
        <v>0</v>
      </c>
      <c r="J118" s="15">
        <f>IF(G118&gt;0,G118+I118,I118)</f>
        <v>0</v>
      </c>
      <c r="K118" s="3"/>
      <c r="L118" s="15">
        <v>52</v>
      </c>
      <c r="M118" s="17">
        <v>6.4899999999999995E-4</v>
      </c>
      <c r="N118" s="12">
        <v>46275</v>
      </c>
      <c r="O118" s="7">
        <v>37</v>
      </c>
      <c r="P118" s="15">
        <f>(IF(G118&gt;0,G118+I118,I118)-(O118*Ventas!AE170*1))</f>
        <v>0</v>
      </c>
      <c r="Q118" s="3"/>
      <c r="R118" s="8">
        <v>0</v>
      </c>
      <c r="S118" s="15">
        <f>IF(P118&gt;0,P118+R118,R118)</f>
        <v>0</v>
      </c>
      <c r="T118" s="3"/>
      <c r="U118" s="15">
        <v>52</v>
      </c>
      <c r="V118" s="17">
        <v>6.4899999999999995E-4</v>
      </c>
      <c r="W118" s="12">
        <v>46331</v>
      </c>
      <c r="X118" s="7">
        <v>56</v>
      </c>
      <c r="Y118" s="15">
        <f>(IF(P118&gt;0,P118+R118,R118)-(X118*Ventas!AE170*1))</f>
        <v>0</v>
      </c>
      <c r="Z118" s="3"/>
      <c r="AA118" s="15">
        <f>(120*(Ventas!AE170*1) - IF(Y118&gt;0,Y118,0))</f>
        <v>0</v>
      </c>
      <c r="AB118" s="15">
        <v>0</v>
      </c>
      <c r="AC118" s="15">
        <f>IF(Y118&gt;0,Y118+IF(AB118&gt;0,AB118,0),AB118)</f>
        <v>0</v>
      </c>
      <c r="AD118" s="16">
        <v>1.3</v>
      </c>
      <c r="AE118" s="8">
        <v>3017</v>
      </c>
      <c r="AF118" s="3"/>
      <c r="AG118" s="3"/>
      <c r="AH118" s="1" t="s">
        <v>32</v>
      </c>
      <c r="AI118">
        <f t="shared" si="1"/>
        <v>0</v>
      </c>
    </row>
    <row r="119" spans="1:35" x14ac:dyDescent="0.25">
      <c r="A119" s="1" t="s">
        <v>301</v>
      </c>
      <c r="B119" s="1" t="s">
        <v>304</v>
      </c>
      <c r="C119" s="14" t="s">
        <v>305</v>
      </c>
      <c r="D119" s="3"/>
      <c r="E119" s="12">
        <v>46238</v>
      </c>
      <c r="F119" s="7">
        <v>1</v>
      </c>
      <c r="G119" s="15">
        <f>(D119-(0)+0-(F119*Ventas!AE171*1))</f>
        <v>0</v>
      </c>
      <c r="H119" s="3"/>
      <c r="I119" s="8">
        <v>0</v>
      </c>
      <c r="J119" s="15">
        <f>IF(G119&gt;0,G119+I119,I119)</f>
        <v>0</v>
      </c>
      <c r="K119" s="3"/>
      <c r="L119" s="15">
        <v>52</v>
      </c>
      <c r="M119" s="17">
        <v>6.4899999999999995E-4</v>
      </c>
      <c r="N119" s="12">
        <v>46275</v>
      </c>
      <c r="O119" s="7">
        <v>37</v>
      </c>
      <c r="P119" s="15">
        <f>(IF(G119&gt;0,G119+I119,I119)-(O119*Ventas!AE171*1))</f>
        <v>0</v>
      </c>
      <c r="Q119" s="3"/>
      <c r="R119" s="8">
        <v>0</v>
      </c>
      <c r="S119" s="15">
        <f>IF(P119&gt;0,P119+R119,R119)</f>
        <v>0</v>
      </c>
      <c r="T119" s="3"/>
      <c r="U119" s="15">
        <v>52</v>
      </c>
      <c r="V119" s="17">
        <v>6.4899999999999995E-4</v>
      </c>
      <c r="W119" s="12">
        <v>46331</v>
      </c>
      <c r="X119" s="7">
        <v>56</v>
      </c>
      <c r="Y119" s="15">
        <f>(IF(P119&gt;0,P119+R119,R119)-(X119*Ventas!AE171*1))</f>
        <v>0</v>
      </c>
      <c r="Z119" s="3"/>
      <c r="AA119" s="15">
        <f>(120*(Ventas!AE171*1) - IF(Y119&gt;0,Y119,0))</f>
        <v>0</v>
      </c>
      <c r="AB119" s="15">
        <v>0</v>
      </c>
      <c r="AC119" s="15">
        <f>IF(Y119&gt;0,Y119+IF(AB119&gt;0,AB119,0),AB119)</f>
        <v>0</v>
      </c>
      <c r="AD119" s="16">
        <v>1.34</v>
      </c>
      <c r="AE119" s="8">
        <v>3027</v>
      </c>
      <c r="AF119" s="3"/>
      <c r="AG119" s="3"/>
      <c r="AH119" s="1" t="s">
        <v>35</v>
      </c>
      <c r="AI119">
        <f t="shared" si="1"/>
        <v>0</v>
      </c>
    </row>
    <row r="120" spans="1:35" x14ac:dyDescent="0.25">
      <c r="A120" s="1" t="s">
        <v>306</v>
      </c>
      <c r="B120" s="1" t="s">
        <v>307</v>
      </c>
      <c r="C120" s="14" t="s">
        <v>308</v>
      </c>
      <c r="D120" s="3"/>
      <c r="E120" s="12">
        <v>46238</v>
      </c>
      <c r="F120" s="7">
        <v>1</v>
      </c>
      <c r="G120" s="15">
        <f>(D120-(0)+0-(F120*Ventas!AE172*1))</f>
        <v>0</v>
      </c>
      <c r="H120" s="3"/>
      <c r="I120" s="8">
        <v>0</v>
      </c>
      <c r="J120" s="15">
        <f>IF(G120&gt;0,G120+I120,I120)</f>
        <v>0</v>
      </c>
      <c r="K120" s="3"/>
      <c r="L120" s="15">
        <v>52</v>
      </c>
      <c r="M120" s="17">
        <v>6.4899999999999995E-4</v>
      </c>
      <c r="N120" s="12">
        <v>46275</v>
      </c>
      <c r="O120" s="7">
        <v>37</v>
      </c>
      <c r="P120" s="15">
        <f>(IF(G120&gt;0,G120+I120,I120)-(O120*Ventas!AE172*1))</f>
        <v>0</v>
      </c>
      <c r="Q120" s="3"/>
      <c r="R120" s="8">
        <v>0</v>
      </c>
      <c r="S120" s="15">
        <f>IF(P120&gt;0,P120+R120,R120)</f>
        <v>0</v>
      </c>
      <c r="T120" s="3"/>
      <c r="U120" s="15">
        <v>52</v>
      </c>
      <c r="V120" s="17">
        <v>6.4899999999999995E-4</v>
      </c>
      <c r="W120" s="12">
        <v>46331</v>
      </c>
      <c r="X120" s="7">
        <v>56</v>
      </c>
      <c r="Y120" s="15">
        <f>(IF(P120&gt;0,P120+R120,R120)-(X120*Ventas!AE172*1))</f>
        <v>0</v>
      </c>
      <c r="Z120" s="3"/>
      <c r="AA120" s="15">
        <f>(120*(Ventas!AE172*1) - IF(Y120&gt;0,Y120,0))</f>
        <v>0</v>
      </c>
      <c r="AB120" s="15">
        <v>0</v>
      </c>
      <c r="AC120" s="15">
        <f>IF(Y120&gt;0,Y120+IF(AB120&gt;0,AB120,0),AB120)</f>
        <v>0</v>
      </c>
      <c r="AD120" s="16">
        <v>1.3</v>
      </c>
      <c r="AE120" s="8">
        <v>3017</v>
      </c>
      <c r="AF120" s="3"/>
      <c r="AG120" s="3"/>
      <c r="AH120" s="1" t="s">
        <v>32</v>
      </c>
      <c r="AI120">
        <f t="shared" si="1"/>
        <v>0</v>
      </c>
    </row>
    <row r="121" spans="1:35" x14ac:dyDescent="0.25">
      <c r="A121" s="1" t="s">
        <v>306</v>
      </c>
      <c r="B121" s="1" t="s">
        <v>309</v>
      </c>
      <c r="C121" s="14" t="s">
        <v>310</v>
      </c>
      <c r="D121" s="3"/>
      <c r="E121" s="12">
        <v>46238</v>
      </c>
      <c r="F121" s="7">
        <v>1</v>
      </c>
      <c r="G121" s="15">
        <f>(D121-(0)+0-(F121*Ventas!AE173*1))</f>
        <v>0</v>
      </c>
      <c r="H121" s="3"/>
      <c r="I121" s="8">
        <v>0</v>
      </c>
      <c r="J121" s="15">
        <f>IF(G121&gt;0,G121+I121,I121)</f>
        <v>0</v>
      </c>
      <c r="K121" s="3"/>
      <c r="L121" s="15">
        <v>52</v>
      </c>
      <c r="M121" s="17">
        <v>6.4899999999999995E-4</v>
      </c>
      <c r="N121" s="12">
        <v>46275</v>
      </c>
      <c r="O121" s="7">
        <v>37</v>
      </c>
      <c r="P121" s="15">
        <f>(IF(G121&gt;0,G121+I121,I121)-(O121*Ventas!AE173*1))</f>
        <v>0</v>
      </c>
      <c r="Q121" s="3"/>
      <c r="R121" s="8">
        <v>0</v>
      </c>
      <c r="S121" s="15">
        <f>IF(P121&gt;0,P121+R121,R121)</f>
        <v>0</v>
      </c>
      <c r="T121" s="3"/>
      <c r="U121" s="15">
        <v>52</v>
      </c>
      <c r="V121" s="17">
        <v>6.4899999999999995E-4</v>
      </c>
      <c r="W121" s="12">
        <v>46331</v>
      </c>
      <c r="X121" s="7">
        <v>56</v>
      </c>
      <c r="Y121" s="15">
        <f>(IF(P121&gt;0,P121+R121,R121)-(X121*Ventas!AE173*1))</f>
        <v>0</v>
      </c>
      <c r="Z121" s="3"/>
      <c r="AA121" s="15">
        <f>(120*(Ventas!AE173*1) - IF(Y121&gt;0,Y121,0))</f>
        <v>0</v>
      </c>
      <c r="AB121" s="15">
        <v>0</v>
      </c>
      <c r="AC121" s="15">
        <f>IF(Y121&gt;0,Y121+IF(AB121&gt;0,AB121,0),AB121)</f>
        <v>0</v>
      </c>
      <c r="AD121" s="16">
        <v>1.34</v>
      </c>
      <c r="AE121" s="8">
        <v>3027</v>
      </c>
      <c r="AF121" s="3"/>
      <c r="AG121" s="3"/>
      <c r="AH121" s="1" t="s">
        <v>35</v>
      </c>
      <c r="AI121">
        <f t="shared" si="1"/>
        <v>0</v>
      </c>
    </row>
    <row r="122" spans="1:35" x14ac:dyDescent="0.25">
      <c r="A122" s="1" t="s">
        <v>311</v>
      </c>
      <c r="B122" s="1" t="s">
        <v>312</v>
      </c>
      <c r="C122" s="14" t="s">
        <v>313</v>
      </c>
      <c r="D122" s="3"/>
      <c r="E122" s="12">
        <v>46238</v>
      </c>
      <c r="F122" s="7">
        <v>1</v>
      </c>
      <c r="G122" s="15">
        <f>(D122-(0)+0-(F122*Ventas!AE174*1))</f>
        <v>0</v>
      </c>
      <c r="H122" s="3"/>
      <c r="I122" s="8">
        <v>0</v>
      </c>
      <c r="J122" s="15">
        <f>IF(G122&gt;0,G122+I122,I122)</f>
        <v>0</v>
      </c>
      <c r="K122" s="3"/>
      <c r="L122" s="15">
        <v>52</v>
      </c>
      <c r="M122" s="17">
        <v>6.4899999999999995E-4</v>
      </c>
      <c r="N122" s="12">
        <v>46275</v>
      </c>
      <c r="O122" s="7">
        <v>37</v>
      </c>
      <c r="P122" s="15">
        <f>(IF(G122&gt;0,G122+I122,I122)-(O122*Ventas!AE174*1))</f>
        <v>0</v>
      </c>
      <c r="Q122" s="3"/>
      <c r="R122" s="8">
        <v>0</v>
      </c>
      <c r="S122" s="15">
        <f>IF(P122&gt;0,P122+R122,R122)</f>
        <v>0</v>
      </c>
      <c r="T122" s="3"/>
      <c r="U122" s="15">
        <v>52</v>
      </c>
      <c r="V122" s="17">
        <v>6.4899999999999995E-4</v>
      </c>
      <c r="W122" s="12">
        <v>46331</v>
      </c>
      <c r="X122" s="7">
        <v>56</v>
      </c>
      <c r="Y122" s="15">
        <f>(IF(P122&gt;0,P122+R122,R122)-(X122*Ventas!AE174*1))</f>
        <v>0</v>
      </c>
      <c r="Z122" s="3"/>
      <c r="AA122" s="15">
        <f>(120*(Ventas!AE174*1) - IF(Y122&gt;0,Y122,0))</f>
        <v>0</v>
      </c>
      <c r="AB122" s="15">
        <v>0</v>
      </c>
      <c r="AC122" s="15">
        <f>IF(Y122&gt;0,Y122+IF(AB122&gt;0,AB122,0),AB122)</f>
        <v>0</v>
      </c>
      <c r="AD122" s="16">
        <v>1.21</v>
      </c>
      <c r="AE122" s="8">
        <v>3017</v>
      </c>
      <c r="AF122" s="3"/>
      <c r="AG122" s="3"/>
      <c r="AH122" s="1" t="s">
        <v>32</v>
      </c>
      <c r="AI122">
        <f t="shared" si="1"/>
        <v>0</v>
      </c>
    </row>
    <row r="123" spans="1:35" x14ac:dyDescent="0.25">
      <c r="A123" s="1" t="s">
        <v>282</v>
      </c>
      <c r="B123" s="27" t="s">
        <v>314</v>
      </c>
      <c r="C123" s="14" t="s">
        <v>315</v>
      </c>
      <c r="D123" s="3"/>
      <c r="E123" s="12">
        <v>46238</v>
      </c>
      <c r="F123" s="7">
        <v>1</v>
      </c>
      <c r="G123" s="15">
        <f>(D123-(0)+0-(F123*Ventas!AE175*1))</f>
        <v>0</v>
      </c>
      <c r="H123" s="3"/>
      <c r="I123" s="8">
        <v>0</v>
      </c>
      <c r="J123" s="15">
        <f>IF(G123&gt;0,G123+I123,I123)</f>
        <v>0</v>
      </c>
      <c r="K123" s="3"/>
      <c r="L123" s="15">
        <v>52</v>
      </c>
      <c r="M123" s="17">
        <v>6.4899999999999995E-4</v>
      </c>
      <c r="N123" s="12">
        <v>46275</v>
      </c>
      <c r="O123" s="7">
        <v>37</v>
      </c>
      <c r="P123" s="15">
        <f>(IF(G123&gt;0,G123+I123,I123)-(O123*Ventas!AE175*1))</f>
        <v>0</v>
      </c>
      <c r="Q123" s="3"/>
      <c r="R123" s="8">
        <v>0</v>
      </c>
      <c r="S123" s="15">
        <f>IF(P123&gt;0,P123+R123,R123)</f>
        <v>0</v>
      </c>
      <c r="T123" s="3"/>
      <c r="U123" s="15">
        <v>52</v>
      </c>
      <c r="V123" s="17">
        <v>6.4899999999999995E-4</v>
      </c>
      <c r="W123" s="12">
        <v>46331</v>
      </c>
      <c r="X123" s="7">
        <v>56</v>
      </c>
      <c r="Y123" s="15">
        <f>(IF(P123&gt;0,P123+R123,R123)-(X123*Ventas!AE175*1))</f>
        <v>0</v>
      </c>
      <c r="Z123" s="3"/>
      <c r="AA123" s="15">
        <f>(120*(Ventas!AE175*1) - IF(Y123&gt;0,Y123,0))</f>
        <v>0</v>
      </c>
      <c r="AB123" s="15">
        <v>0</v>
      </c>
      <c r="AC123" s="15">
        <f>IF(Y123&gt;0,Y123+IF(AB123&gt;0,AB123,0),AB123)</f>
        <v>0</v>
      </c>
      <c r="AD123" s="16">
        <v>1.68</v>
      </c>
      <c r="AE123" s="8">
        <v>3017</v>
      </c>
      <c r="AF123" s="3"/>
      <c r="AG123" s="3"/>
      <c r="AH123" s="1" t="s">
        <v>32</v>
      </c>
      <c r="AI123">
        <f t="shared" si="1"/>
        <v>0</v>
      </c>
    </row>
    <row r="124" spans="1:35" x14ac:dyDescent="0.25">
      <c r="A124" s="1" t="s">
        <v>285</v>
      </c>
      <c r="B124" s="32" t="s">
        <v>316</v>
      </c>
      <c r="C124" s="14" t="s">
        <v>317</v>
      </c>
      <c r="D124" s="3"/>
      <c r="E124" s="12">
        <v>46238</v>
      </c>
      <c r="F124" s="7">
        <v>1</v>
      </c>
      <c r="G124" s="15">
        <f>(D124-(0)+0-(F124*Ventas!AE176*1))</f>
        <v>0</v>
      </c>
      <c r="H124" s="3"/>
      <c r="I124" s="8">
        <v>0</v>
      </c>
      <c r="J124" s="15">
        <f>IF(G124&gt;0,G124+I124,I124)</f>
        <v>0</v>
      </c>
      <c r="K124" s="3"/>
      <c r="L124" s="15">
        <v>52</v>
      </c>
      <c r="M124" s="17">
        <v>6.4899999999999995E-4</v>
      </c>
      <c r="N124" s="12">
        <v>46275</v>
      </c>
      <c r="O124" s="7">
        <v>37</v>
      </c>
      <c r="P124" s="15">
        <f>(IF(G124&gt;0,G124+I124,I124)-(O124*Ventas!AE176*1))</f>
        <v>0</v>
      </c>
      <c r="Q124" s="3"/>
      <c r="R124" s="8">
        <v>0</v>
      </c>
      <c r="S124" s="15">
        <f>IF(P124&gt;0,P124+R124,R124)</f>
        <v>0</v>
      </c>
      <c r="T124" s="3"/>
      <c r="U124" s="15">
        <v>52</v>
      </c>
      <c r="V124" s="17">
        <v>6.4899999999999995E-4</v>
      </c>
      <c r="W124" s="12">
        <v>46331</v>
      </c>
      <c r="X124" s="7">
        <v>56</v>
      </c>
      <c r="Y124" s="15">
        <f>(IF(P124&gt;0,P124+R124,R124)-(X124*Ventas!AE176*1))</f>
        <v>0</v>
      </c>
      <c r="Z124" s="3"/>
      <c r="AA124" s="15">
        <f>(120*(Ventas!AE176*1) - IF(Y124&gt;0,Y124,0))</f>
        <v>0</v>
      </c>
      <c r="AB124" s="15">
        <v>0</v>
      </c>
      <c r="AC124" s="15">
        <f>IF(Y124&gt;0,Y124+IF(AB124&gt;0,AB124,0),AB124)</f>
        <v>0</v>
      </c>
      <c r="AD124" s="16">
        <v>1.68</v>
      </c>
      <c r="AE124" s="8">
        <v>3017</v>
      </c>
      <c r="AF124" s="3"/>
      <c r="AG124" s="3"/>
      <c r="AH124" s="1" t="s">
        <v>32</v>
      </c>
      <c r="AI124">
        <f t="shared" si="1"/>
        <v>0</v>
      </c>
    </row>
    <row r="125" spans="1:35" x14ac:dyDescent="0.25">
      <c r="A125" s="1" t="s">
        <v>318</v>
      </c>
      <c r="B125" s="82" t="s">
        <v>319</v>
      </c>
      <c r="C125" s="14" t="s">
        <v>320</v>
      </c>
      <c r="D125" s="3"/>
      <c r="E125" s="12">
        <v>46238</v>
      </c>
      <c r="F125" s="7">
        <v>1</v>
      </c>
      <c r="G125" s="15">
        <f>(D125-(0)+0-(F125*Ventas!AE177*1))</f>
        <v>0</v>
      </c>
      <c r="H125" s="3"/>
      <c r="I125" s="8">
        <v>0</v>
      </c>
      <c r="J125" s="15">
        <f>IF(G125&gt;0,G125+I125,I125)</f>
        <v>0</v>
      </c>
      <c r="K125" s="3"/>
      <c r="L125" s="15">
        <v>52</v>
      </c>
      <c r="M125" s="17">
        <v>6.4899999999999995E-4</v>
      </c>
      <c r="N125" s="12">
        <v>46275</v>
      </c>
      <c r="O125" s="7">
        <v>37</v>
      </c>
      <c r="P125" s="15">
        <f>(IF(G125&gt;0,G125+I125,I125)-(O125*Ventas!AE177*1))</f>
        <v>0</v>
      </c>
      <c r="Q125" s="3"/>
      <c r="R125" s="8">
        <v>0</v>
      </c>
      <c r="S125" s="15">
        <f>IF(P125&gt;0,P125+R125,R125)</f>
        <v>0</v>
      </c>
      <c r="T125" s="3"/>
      <c r="U125" s="15">
        <v>52</v>
      </c>
      <c r="V125" s="17">
        <v>6.4899999999999995E-4</v>
      </c>
      <c r="W125" s="12">
        <v>46331</v>
      </c>
      <c r="X125" s="7">
        <v>56</v>
      </c>
      <c r="Y125" s="15">
        <f>(IF(P125&gt;0,P125+R125,R125)-(X125*Ventas!AE177*1))</f>
        <v>0</v>
      </c>
      <c r="Z125" s="3"/>
      <c r="AA125" s="15">
        <f>(120*(Ventas!AE177*1) - IF(Y125&gt;0,Y125,0))</f>
        <v>0</v>
      </c>
      <c r="AB125" s="15">
        <v>0</v>
      </c>
      <c r="AC125" s="15">
        <f>IF(Y125&gt;0,Y125+IF(AB125&gt;0,AB125,0),AB125)</f>
        <v>0</v>
      </c>
      <c r="AD125" s="3"/>
      <c r="AE125" s="3"/>
      <c r="AF125" s="3"/>
      <c r="AG125" s="3"/>
      <c r="AH125" s="1" t="s">
        <v>35</v>
      </c>
      <c r="AI125">
        <f t="shared" si="1"/>
        <v>0</v>
      </c>
    </row>
    <row r="126" spans="1:35" x14ac:dyDescent="0.25">
      <c r="A126" s="1" t="s">
        <v>321</v>
      </c>
      <c r="B126" s="1" t="s">
        <v>322</v>
      </c>
      <c r="C126" s="14" t="s">
        <v>323</v>
      </c>
      <c r="D126" s="3"/>
      <c r="E126" s="12">
        <v>46238</v>
      </c>
      <c r="F126" s="7">
        <v>1</v>
      </c>
      <c r="G126" s="15">
        <f>(D126-(0)+0-(F126*Ventas!AE178*1))</f>
        <v>0</v>
      </c>
      <c r="H126" s="3"/>
      <c r="I126" s="8">
        <v>0</v>
      </c>
      <c r="J126" s="15">
        <f>IF(G126&gt;0,G126+I126,I126)</f>
        <v>0</v>
      </c>
      <c r="K126" s="3"/>
      <c r="L126" s="15">
        <v>52</v>
      </c>
      <c r="M126" s="17">
        <v>6.4899999999999995E-4</v>
      </c>
      <c r="N126" s="12">
        <v>46275</v>
      </c>
      <c r="O126" s="7">
        <v>37</v>
      </c>
      <c r="P126" s="15">
        <f>(IF(G126&gt;0,G126+I126,I126)-(O126*Ventas!AE178*1))</f>
        <v>0</v>
      </c>
      <c r="Q126" s="3"/>
      <c r="R126" s="8">
        <v>0</v>
      </c>
      <c r="S126" s="15">
        <f>IF(P126&gt;0,P126+R126,R126)</f>
        <v>0</v>
      </c>
      <c r="T126" s="3"/>
      <c r="U126" s="15">
        <v>52</v>
      </c>
      <c r="V126" s="17">
        <v>6.4899999999999995E-4</v>
      </c>
      <c r="W126" s="12">
        <v>46331</v>
      </c>
      <c r="X126" s="7">
        <v>56</v>
      </c>
      <c r="Y126" s="15">
        <f>(IF(P126&gt;0,P126+R126,R126)-(X126*Ventas!AE178*1))</f>
        <v>0</v>
      </c>
      <c r="Z126" s="3"/>
      <c r="AA126" s="15">
        <f>(120*(Ventas!AE178*1) - IF(Y126&gt;0,Y126,0))</f>
        <v>0</v>
      </c>
      <c r="AB126" s="15">
        <v>0</v>
      </c>
      <c r="AC126" s="15">
        <f>IF(Y126&gt;0,Y126+IF(AB126&gt;0,AB126,0),AB126)</f>
        <v>0</v>
      </c>
      <c r="AD126" s="16">
        <v>3.37</v>
      </c>
      <c r="AE126" s="8">
        <v>3010</v>
      </c>
      <c r="AF126" s="3"/>
      <c r="AG126" s="3"/>
      <c r="AH126" s="1" t="s">
        <v>32</v>
      </c>
      <c r="AI126">
        <f t="shared" si="1"/>
        <v>0</v>
      </c>
    </row>
    <row r="127" spans="1:35" x14ac:dyDescent="0.25">
      <c r="A127" s="1" t="s">
        <v>324</v>
      </c>
      <c r="B127" s="1" t="s">
        <v>325</v>
      </c>
      <c r="C127" s="14" t="s">
        <v>326</v>
      </c>
      <c r="D127" s="3"/>
      <c r="E127" s="12">
        <v>46238</v>
      </c>
      <c r="F127" s="7">
        <v>1</v>
      </c>
      <c r="G127" s="15">
        <f>(D127-(0)+0-(F127*Ventas!AE179*1))</f>
        <v>0</v>
      </c>
      <c r="H127" s="3"/>
      <c r="I127" s="8">
        <v>0</v>
      </c>
      <c r="J127" s="15">
        <f>IF(G127&gt;0,G127+I127,I127)</f>
        <v>0</v>
      </c>
      <c r="K127" s="3"/>
      <c r="L127" s="15">
        <v>52</v>
      </c>
      <c r="M127" s="17">
        <v>6.4899999999999995E-4</v>
      </c>
      <c r="N127" s="12">
        <v>46275</v>
      </c>
      <c r="O127" s="7">
        <v>37</v>
      </c>
      <c r="P127" s="15">
        <f>(IF(G127&gt;0,G127+I127,I127)-(O127*Ventas!AE179*1))</f>
        <v>0</v>
      </c>
      <c r="Q127" s="3"/>
      <c r="R127" s="8">
        <v>0</v>
      </c>
      <c r="S127" s="15">
        <f>IF(P127&gt;0,P127+R127,R127)</f>
        <v>0</v>
      </c>
      <c r="T127" s="3"/>
      <c r="U127" s="15">
        <v>52</v>
      </c>
      <c r="V127" s="17">
        <v>6.4899999999999995E-4</v>
      </c>
      <c r="W127" s="12">
        <v>46331</v>
      </c>
      <c r="X127" s="7">
        <v>56</v>
      </c>
      <c r="Y127" s="15">
        <f>(IF(P127&gt;0,P127+R127,R127)-(X127*Ventas!AE179*1))</f>
        <v>0</v>
      </c>
      <c r="Z127" s="3"/>
      <c r="AA127" s="15">
        <f>(120*(Ventas!AE179*1) - IF(Y127&gt;0,Y127,0))</f>
        <v>0</v>
      </c>
      <c r="AB127" s="15">
        <v>0</v>
      </c>
      <c r="AC127" s="15">
        <f>IF(Y127&gt;0,Y127+IF(AB127&gt;0,AB127,0),AB127)</f>
        <v>0</v>
      </c>
      <c r="AD127" s="16">
        <v>2.81</v>
      </c>
      <c r="AE127" s="8">
        <v>3010</v>
      </c>
      <c r="AF127" s="3"/>
      <c r="AG127" s="3"/>
      <c r="AH127" s="1" t="s">
        <v>32</v>
      </c>
      <c r="AI127">
        <f t="shared" si="1"/>
        <v>0</v>
      </c>
    </row>
    <row r="128" spans="1:35" x14ac:dyDescent="0.25">
      <c r="A128" s="1" t="s">
        <v>327</v>
      </c>
      <c r="B128" s="1" t="s">
        <v>328</v>
      </c>
      <c r="C128" s="14" t="s">
        <v>329</v>
      </c>
      <c r="D128" s="3"/>
      <c r="E128" s="12">
        <v>46238</v>
      </c>
      <c r="F128" s="7">
        <v>1</v>
      </c>
      <c r="G128" s="15">
        <f>(D128-(0)+0-(F128*Ventas!AE180*1))</f>
        <v>0</v>
      </c>
      <c r="H128" s="3"/>
      <c r="I128" s="8">
        <v>0</v>
      </c>
      <c r="J128" s="15">
        <f>IF(G128&gt;0,G128+I128,I128)</f>
        <v>0</v>
      </c>
      <c r="K128" s="3"/>
      <c r="L128" s="15">
        <v>52</v>
      </c>
      <c r="M128" s="17">
        <v>6.4899999999999995E-4</v>
      </c>
      <c r="N128" s="12">
        <v>46275</v>
      </c>
      <c r="O128" s="7">
        <v>37</v>
      </c>
      <c r="P128" s="15">
        <f>(IF(G128&gt;0,G128+I128,I128)-(O128*Ventas!AE180*1))</f>
        <v>0</v>
      </c>
      <c r="Q128" s="3"/>
      <c r="R128" s="8">
        <v>0</v>
      </c>
      <c r="S128" s="15">
        <f>IF(P128&gt;0,P128+R128,R128)</f>
        <v>0</v>
      </c>
      <c r="T128" s="3"/>
      <c r="U128" s="15">
        <v>52</v>
      </c>
      <c r="V128" s="17">
        <v>6.4899999999999995E-4</v>
      </c>
      <c r="W128" s="12">
        <v>46331</v>
      </c>
      <c r="X128" s="7">
        <v>56</v>
      </c>
      <c r="Y128" s="15">
        <f>(IF(P128&gt;0,P128+R128,R128)-(X128*Ventas!AE180*1))</f>
        <v>0</v>
      </c>
      <c r="Z128" s="3"/>
      <c r="AA128" s="15">
        <f>(120*(Ventas!AE180*1) - IF(Y128&gt;0,Y128,0))</f>
        <v>0</v>
      </c>
      <c r="AB128" s="15">
        <v>0</v>
      </c>
      <c r="AC128" s="15">
        <f>IF(Y128&gt;0,Y128+IF(AB128&gt;0,AB128,0),AB128)</f>
        <v>0</v>
      </c>
      <c r="AD128" s="16">
        <v>2.4900000000000002</v>
      </c>
      <c r="AE128" s="8">
        <v>3025</v>
      </c>
      <c r="AF128" s="3"/>
      <c r="AG128" s="3"/>
      <c r="AH128" s="1" t="s">
        <v>32</v>
      </c>
      <c r="AI128">
        <f t="shared" si="1"/>
        <v>0</v>
      </c>
    </row>
    <row r="129" spans="1:35" x14ac:dyDescent="0.25">
      <c r="A129" s="1" t="s">
        <v>330</v>
      </c>
      <c r="B129" s="1" t="s">
        <v>331</v>
      </c>
      <c r="C129" s="14" t="s">
        <v>332</v>
      </c>
      <c r="D129" s="3"/>
      <c r="E129" s="12">
        <v>46238</v>
      </c>
      <c r="F129" s="7">
        <v>1</v>
      </c>
      <c r="G129" s="15">
        <f>(D129-(0)+0-(F129*Ventas!AE181*1))</f>
        <v>0</v>
      </c>
      <c r="H129" s="3"/>
      <c r="I129" s="8">
        <v>0</v>
      </c>
      <c r="J129" s="15">
        <f>IF(G129&gt;0,G129+I129,I129)</f>
        <v>0</v>
      </c>
      <c r="K129" s="3"/>
      <c r="L129" s="15">
        <v>52</v>
      </c>
      <c r="M129" s="17">
        <v>6.4899999999999995E-4</v>
      </c>
      <c r="N129" s="12">
        <v>46275</v>
      </c>
      <c r="O129" s="7">
        <v>37</v>
      </c>
      <c r="P129" s="15">
        <f>(IF(G129&gt;0,G129+I129,I129)-(O129*Ventas!AE181*1))</f>
        <v>0</v>
      </c>
      <c r="Q129" s="3"/>
      <c r="R129" s="8">
        <v>0</v>
      </c>
      <c r="S129" s="15">
        <f>IF(P129&gt;0,P129+R129,R129)</f>
        <v>0</v>
      </c>
      <c r="T129" s="3"/>
      <c r="U129" s="15">
        <v>52</v>
      </c>
      <c r="V129" s="17">
        <v>6.4899999999999995E-4</v>
      </c>
      <c r="W129" s="12">
        <v>46331</v>
      </c>
      <c r="X129" s="7">
        <v>56</v>
      </c>
      <c r="Y129" s="15">
        <f>(IF(P129&gt;0,P129+R129,R129)-(X129*Ventas!AE181*1))</f>
        <v>0</v>
      </c>
      <c r="Z129" s="3"/>
      <c r="AA129" s="15">
        <f>(120*(Ventas!AE181*1) - IF(Y129&gt;0,Y129,0))</f>
        <v>0</v>
      </c>
      <c r="AB129" s="15">
        <v>0</v>
      </c>
      <c r="AC129" s="15">
        <f>IF(Y129&gt;0,Y129+IF(AB129&gt;0,AB129,0),AB129)</f>
        <v>0</v>
      </c>
      <c r="AD129" s="3"/>
      <c r="AE129" s="3"/>
      <c r="AF129" s="3"/>
      <c r="AG129" s="3"/>
      <c r="AH129" s="1" t="s">
        <v>32</v>
      </c>
      <c r="AI129">
        <f t="shared" si="1"/>
        <v>0</v>
      </c>
    </row>
    <row r="130" spans="1:35" x14ac:dyDescent="0.25">
      <c r="A130" s="1" t="s">
        <v>333</v>
      </c>
      <c r="B130" s="1" t="s">
        <v>334</v>
      </c>
      <c r="C130" s="14" t="s">
        <v>335</v>
      </c>
      <c r="D130" s="3"/>
      <c r="E130" s="12">
        <v>46238</v>
      </c>
      <c r="F130" s="7">
        <v>1</v>
      </c>
      <c r="G130" s="15">
        <f>(D130-(0)+0-(F130*Ventas!AE182*1))</f>
        <v>0</v>
      </c>
      <c r="H130" s="3"/>
      <c r="I130" s="8">
        <v>0</v>
      </c>
      <c r="J130" s="15">
        <f>IF(G130&gt;0,G130+I130,I130)</f>
        <v>0</v>
      </c>
      <c r="K130" s="3"/>
      <c r="L130" s="15">
        <v>120</v>
      </c>
      <c r="M130" s="17">
        <v>3.3100000000000002E-4</v>
      </c>
      <c r="N130" s="12">
        <v>46275</v>
      </c>
      <c r="O130" s="7">
        <v>37</v>
      </c>
      <c r="P130" s="15">
        <f>(IF(G130&gt;0,G130+I130,I130)-(O130*Ventas!AE182*1))</f>
        <v>0</v>
      </c>
      <c r="Q130" s="3"/>
      <c r="R130" s="8">
        <v>0</v>
      </c>
      <c r="S130" s="15">
        <f>IF(P130&gt;0,P130+R130,R130)</f>
        <v>0</v>
      </c>
      <c r="T130" s="3"/>
      <c r="U130" s="15">
        <v>120</v>
      </c>
      <c r="V130" s="17">
        <v>3.3100000000000002E-4</v>
      </c>
      <c r="W130" s="12">
        <v>46331</v>
      </c>
      <c r="X130" s="7">
        <v>56</v>
      </c>
      <c r="Y130" s="15">
        <f>(IF(P130&gt;0,P130+R130,R130)-(X130*Ventas!AE182*1))</f>
        <v>0</v>
      </c>
      <c r="Z130" s="3"/>
      <c r="AA130" s="15">
        <f>(120*(Ventas!AE182*1) - IF(Y130&gt;0,Y130,0))</f>
        <v>0</v>
      </c>
      <c r="AB130" s="15">
        <v>0</v>
      </c>
      <c r="AC130" s="15">
        <f>IF(Y130&gt;0,Y130+IF(AB130&gt;0,AB130,0),AB130)</f>
        <v>0</v>
      </c>
      <c r="AD130" s="16">
        <v>1.46</v>
      </c>
      <c r="AE130" s="8">
        <v>3025</v>
      </c>
      <c r="AF130" s="3"/>
      <c r="AG130" s="3"/>
      <c r="AH130" s="1" t="s">
        <v>32</v>
      </c>
      <c r="AI130">
        <f t="shared" si="1"/>
        <v>0</v>
      </c>
    </row>
    <row r="131" spans="1:35" x14ac:dyDescent="0.25">
      <c r="A131" s="1" t="s">
        <v>336</v>
      </c>
      <c r="B131" s="1" t="s">
        <v>337</v>
      </c>
      <c r="C131" s="14" t="s">
        <v>338</v>
      </c>
      <c r="D131" s="3"/>
      <c r="E131" s="12">
        <v>46238</v>
      </c>
      <c r="F131" s="7">
        <v>1</v>
      </c>
      <c r="G131" s="15">
        <f>(D131-(0)+0-(F131*Ventas!AE183*1))</f>
        <v>0</v>
      </c>
      <c r="H131" s="3"/>
      <c r="I131" s="8">
        <v>0</v>
      </c>
      <c r="J131" s="15">
        <f>IF(G131&gt;0,G131+I131,I131)</f>
        <v>0</v>
      </c>
      <c r="K131" s="3"/>
      <c r="L131" s="15">
        <v>120</v>
      </c>
      <c r="M131" s="17">
        <v>3.3100000000000002E-4</v>
      </c>
      <c r="N131" s="12">
        <v>46275</v>
      </c>
      <c r="O131" s="7">
        <v>37</v>
      </c>
      <c r="P131" s="15">
        <f>(IF(G131&gt;0,G131+I131,I131)-(O131*Ventas!AE183*1))</f>
        <v>0</v>
      </c>
      <c r="Q131" s="3"/>
      <c r="R131" s="8">
        <v>0</v>
      </c>
      <c r="S131" s="15">
        <f>IF(P131&gt;0,P131+R131,R131)</f>
        <v>0</v>
      </c>
      <c r="T131" s="3"/>
      <c r="U131" s="15">
        <v>120</v>
      </c>
      <c r="V131" s="17">
        <v>3.3100000000000002E-4</v>
      </c>
      <c r="W131" s="12">
        <v>46331</v>
      </c>
      <c r="X131" s="7">
        <v>56</v>
      </c>
      <c r="Y131" s="15">
        <f>(IF(P131&gt;0,P131+R131,R131)-(X131*Ventas!AE183*1))</f>
        <v>0</v>
      </c>
      <c r="Z131" s="3"/>
      <c r="AA131" s="15">
        <f>(120*(Ventas!AE183*1) - IF(Y131&gt;0,Y131,0))</f>
        <v>0</v>
      </c>
      <c r="AB131" s="15">
        <v>0</v>
      </c>
      <c r="AC131" s="15">
        <f>IF(Y131&gt;0,Y131+IF(AB131&gt;0,AB131,0),AB131)</f>
        <v>0</v>
      </c>
      <c r="AD131" s="16">
        <v>1.61</v>
      </c>
      <c r="AE131" s="8">
        <v>3025</v>
      </c>
      <c r="AF131" s="3"/>
      <c r="AG131" s="3"/>
      <c r="AH131" s="1" t="s">
        <v>32</v>
      </c>
      <c r="AI131">
        <f t="shared" si="1"/>
        <v>0</v>
      </c>
    </row>
    <row r="132" spans="1:35" x14ac:dyDescent="0.25">
      <c r="A132" s="1" t="s">
        <v>339</v>
      </c>
      <c r="B132" s="1" t="s">
        <v>340</v>
      </c>
      <c r="C132" s="14" t="s">
        <v>341</v>
      </c>
      <c r="D132" s="3"/>
      <c r="E132" s="12">
        <v>46238</v>
      </c>
      <c r="F132" s="7">
        <v>1</v>
      </c>
      <c r="G132" s="15">
        <f>(D132-(0)+0-(F132*Ventas!AE184*1))</f>
        <v>0</v>
      </c>
      <c r="H132" s="3"/>
      <c r="I132" s="8">
        <v>0</v>
      </c>
      <c r="J132" s="15">
        <f>IF(G132&gt;0,G132+I132,I132)</f>
        <v>0</v>
      </c>
      <c r="K132" s="3"/>
      <c r="L132" s="15">
        <v>120</v>
      </c>
      <c r="M132" s="17">
        <v>3.3100000000000002E-4</v>
      </c>
      <c r="N132" s="12">
        <v>46275</v>
      </c>
      <c r="O132" s="7">
        <v>37</v>
      </c>
      <c r="P132" s="15">
        <f>(IF(G132&gt;0,G132+I132,I132)-(O132*Ventas!AE184*1))</f>
        <v>0</v>
      </c>
      <c r="Q132" s="3"/>
      <c r="R132" s="8">
        <v>0</v>
      </c>
      <c r="S132" s="15">
        <f>IF(P132&gt;0,P132+R132,R132)</f>
        <v>0</v>
      </c>
      <c r="T132" s="3"/>
      <c r="U132" s="15">
        <v>120</v>
      </c>
      <c r="V132" s="17">
        <v>3.3100000000000002E-4</v>
      </c>
      <c r="W132" s="12">
        <v>46331</v>
      </c>
      <c r="X132" s="7">
        <v>56</v>
      </c>
      <c r="Y132" s="15">
        <f>(IF(P132&gt;0,P132+R132,R132)-(X132*Ventas!AE184*1))</f>
        <v>0</v>
      </c>
      <c r="Z132" s="3"/>
      <c r="AA132" s="15">
        <f>(120*(Ventas!AE184*1) - IF(Y132&gt;0,Y132,0))</f>
        <v>0</v>
      </c>
      <c r="AB132" s="15">
        <v>0</v>
      </c>
      <c r="AC132" s="15">
        <f>IF(Y132&gt;0,Y132+IF(AB132&gt;0,AB132,0),AB132)</f>
        <v>0</v>
      </c>
      <c r="AD132" s="3"/>
      <c r="AE132" s="3"/>
      <c r="AF132" s="3"/>
      <c r="AG132" s="3"/>
      <c r="AH132" s="1" t="s">
        <v>35</v>
      </c>
      <c r="AI132">
        <f t="shared" si="1"/>
        <v>0</v>
      </c>
    </row>
    <row r="133" spans="1:35" x14ac:dyDescent="0.25">
      <c r="A133" s="1" t="s">
        <v>318</v>
      </c>
      <c r="B133" s="82" t="s">
        <v>342</v>
      </c>
      <c r="C133" s="14" t="s">
        <v>343</v>
      </c>
      <c r="D133" s="3"/>
      <c r="E133" s="12">
        <v>46238</v>
      </c>
      <c r="F133" s="7">
        <v>1</v>
      </c>
      <c r="G133" s="15">
        <f>(D133-(0)+0-(F133*Ventas!AE185*1))</f>
        <v>0</v>
      </c>
      <c r="H133" s="3"/>
      <c r="I133" s="8">
        <v>0</v>
      </c>
      <c r="J133" s="15">
        <f>IF(G133&gt;0,G133+I133,I133)</f>
        <v>0</v>
      </c>
      <c r="K133" s="3"/>
      <c r="L133" s="15">
        <v>52</v>
      </c>
      <c r="M133" s="17">
        <v>6.4899999999999995E-4</v>
      </c>
      <c r="N133" s="12">
        <v>46275</v>
      </c>
      <c r="O133" s="7">
        <v>37</v>
      </c>
      <c r="P133" s="15">
        <f>(IF(G133&gt;0,G133+I133,I133)-(O133*Ventas!AE185*1))</f>
        <v>0</v>
      </c>
      <c r="Q133" s="3"/>
      <c r="R133" s="8">
        <v>0</v>
      </c>
      <c r="S133" s="15">
        <f>IF(P133&gt;0,P133+R133,R133)</f>
        <v>0</v>
      </c>
      <c r="T133" s="3"/>
      <c r="U133" s="15">
        <v>52</v>
      </c>
      <c r="V133" s="17">
        <v>6.4899999999999995E-4</v>
      </c>
      <c r="W133" s="12">
        <v>46331</v>
      </c>
      <c r="X133" s="7">
        <v>56</v>
      </c>
      <c r="Y133" s="15">
        <f>(IF(P133&gt;0,P133+R133,R133)-(X133*Ventas!AE185*1))</f>
        <v>0</v>
      </c>
      <c r="Z133" s="3"/>
      <c r="AA133" s="15">
        <f>(120*(Ventas!AE185*1) - IF(Y133&gt;0,Y133,0))</f>
        <v>0</v>
      </c>
      <c r="AB133" s="15">
        <v>0</v>
      </c>
      <c r="AC133" s="15">
        <f>IF(Y133&gt;0,Y133+IF(AB133&gt;0,AB133,0),AB133)</f>
        <v>0</v>
      </c>
      <c r="AD133" s="16">
        <v>1.17</v>
      </c>
      <c r="AE133" s="8">
        <v>3025</v>
      </c>
      <c r="AF133" s="3"/>
      <c r="AG133" s="3"/>
      <c r="AH133" s="1" t="s">
        <v>32</v>
      </c>
      <c r="AI133">
        <f t="shared" si="1"/>
        <v>0</v>
      </c>
    </row>
    <row r="134" spans="1:35" x14ac:dyDescent="0.25">
      <c r="A134" s="1" t="s">
        <v>279</v>
      </c>
      <c r="B134" s="1" t="s">
        <v>347</v>
      </c>
      <c r="C134" s="14" t="s">
        <v>348</v>
      </c>
      <c r="D134" s="3"/>
      <c r="E134" s="12">
        <v>46238</v>
      </c>
      <c r="F134" s="7">
        <v>1</v>
      </c>
      <c r="G134" s="15">
        <f>(D134-(0)+0-(F134*Ventas!AE187*1))</f>
        <v>0</v>
      </c>
      <c r="H134" s="3"/>
      <c r="I134" s="8">
        <v>0</v>
      </c>
      <c r="J134" s="15">
        <f>IF(G134&gt;0,G134+I134,I134)</f>
        <v>0</v>
      </c>
      <c r="K134" s="3"/>
      <c r="L134" s="15">
        <v>60</v>
      </c>
      <c r="M134" s="17">
        <v>7.2499999999999995E-4</v>
      </c>
      <c r="N134" s="12">
        <v>46275</v>
      </c>
      <c r="O134" s="7">
        <v>37</v>
      </c>
      <c r="P134" s="15">
        <f>(IF(G134&gt;0,G134+I134,I134)-(O134*Ventas!AE187*1))</f>
        <v>0</v>
      </c>
      <c r="Q134" s="3"/>
      <c r="R134" s="8">
        <v>0</v>
      </c>
      <c r="S134" s="15">
        <f>IF(P134&gt;0,P134+R134,R134)</f>
        <v>0</v>
      </c>
      <c r="T134" s="3"/>
      <c r="U134" s="15">
        <v>60</v>
      </c>
      <c r="V134" s="17">
        <v>7.2499999999999995E-4</v>
      </c>
      <c r="W134" s="12">
        <v>46331</v>
      </c>
      <c r="X134" s="7">
        <v>56</v>
      </c>
      <c r="Y134" s="15">
        <f>(IF(P134&gt;0,P134+R134,R134)-(X134*Ventas!AE187*1))</f>
        <v>0</v>
      </c>
      <c r="Z134" s="3"/>
      <c r="AA134" s="15">
        <f>(120*(Ventas!AE187*1) - IF(Y134&gt;0,Y134,0))</f>
        <v>0</v>
      </c>
      <c r="AB134" s="15">
        <v>0</v>
      </c>
      <c r="AC134" s="15">
        <f>IF(Y134&gt;0,Y134+IF(AB134&gt;0,AB134,0),AB134)</f>
        <v>0</v>
      </c>
      <c r="AD134" s="3"/>
      <c r="AE134" s="3"/>
      <c r="AF134" s="3"/>
      <c r="AG134" s="3"/>
      <c r="AH134" s="1" t="s">
        <v>35</v>
      </c>
      <c r="AI134">
        <f t="shared" ref="AI134:AI197" si="2">AD134*AB134</f>
        <v>0</v>
      </c>
    </row>
    <row r="135" spans="1:35" x14ac:dyDescent="0.25">
      <c r="A135" s="1" t="s">
        <v>349</v>
      </c>
      <c r="B135" s="1" t="s">
        <v>350</v>
      </c>
      <c r="C135" s="14" t="s">
        <v>351</v>
      </c>
      <c r="D135" s="3"/>
      <c r="E135" s="12">
        <v>46238</v>
      </c>
      <c r="F135" s="7">
        <v>1</v>
      </c>
      <c r="G135" s="15">
        <f>(D135-(0)+0-(F135*Ventas!AE188*1))</f>
        <v>0</v>
      </c>
      <c r="H135" s="3"/>
      <c r="I135" s="8">
        <v>0</v>
      </c>
      <c r="J135" s="15">
        <f>IF(G135&gt;0,G135+I135,I135)</f>
        <v>0</v>
      </c>
      <c r="K135" s="3"/>
      <c r="L135" s="15">
        <v>52</v>
      </c>
      <c r="M135" s="17">
        <v>6.4899999999999995E-4</v>
      </c>
      <c r="N135" s="12">
        <v>46275</v>
      </c>
      <c r="O135" s="7">
        <v>37</v>
      </c>
      <c r="P135" s="15">
        <f>(IF(G135&gt;0,G135+I135,I135)-(O135*Ventas!AE188*1))</f>
        <v>0</v>
      </c>
      <c r="Q135" s="3"/>
      <c r="R135" s="8">
        <v>0</v>
      </c>
      <c r="S135" s="15">
        <f>IF(P135&gt;0,P135+R135,R135)</f>
        <v>0</v>
      </c>
      <c r="T135" s="3"/>
      <c r="U135" s="15">
        <v>52</v>
      </c>
      <c r="V135" s="17">
        <v>6.4899999999999995E-4</v>
      </c>
      <c r="W135" s="12">
        <v>46331</v>
      </c>
      <c r="X135" s="7">
        <v>56</v>
      </c>
      <c r="Y135" s="15">
        <f>(IF(P135&gt;0,P135+R135,R135)-(X135*Ventas!AE188*1))</f>
        <v>0</v>
      </c>
      <c r="Z135" s="3"/>
      <c r="AA135" s="15">
        <f>(120*(Ventas!AE188*1) - IF(Y135&gt;0,Y135,0))</f>
        <v>0</v>
      </c>
      <c r="AB135" s="15">
        <v>0</v>
      </c>
      <c r="AC135" s="15">
        <f>IF(Y135&gt;0,Y135+IF(AB135&gt;0,AB135,0),AB135)</f>
        <v>0</v>
      </c>
      <c r="AD135" s="3"/>
      <c r="AE135" s="3"/>
      <c r="AF135" s="3"/>
      <c r="AG135" s="3"/>
      <c r="AH135" s="1" t="s">
        <v>35</v>
      </c>
      <c r="AI135">
        <f t="shared" si="2"/>
        <v>0</v>
      </c>
    </row>
    <row r="136" spans="1:35" x14ac:dyDescent="0.25">
      <c r="A136" s="1" t="s">
        <v>352</v>
      </c>
      <c r="B136" s="1" t="s">
        <v>353</v>
      </c>
      <c r="C136" s="14" t="s">
        <v>354</v>
      </c>
      <c r="D136" s="3"/>
      <c r="E136" s="12">
        <v>46238</v>
      </c>
      <c r="F136" s="7">
        <v>1</v>
      </c>
      <c r="G136" s="15">
        <f>(D136-(0)+0-(F136*Ventas!AE189*1))</f>
        <v>0</v>
      </c>
      <c r="H136" s="3"/>
      <c r="I136" s="8">
        <v>0</v>
      </c>
      <c r="J136" s="15">
        <f>IF(G136&gt;0,G136+I136,I136)</f>
        <v>0</v>
      </c>
      <c r="K136" s="3"/>
      <c r="L136" s="15">
        <v>52</v>
      </c>
      <c r="M136" s="17">
        <v>6.4899999999999995E-4</v>
      </c>
      <c r="N136" s="12">
        <v>46275</v>
      </c>
      <c r="O136" s="7">
        <v>37</v>
      </c>
      <c r="P136" s="15">
        <f>(IF(G136&gt;0,G136+I136,I136)-(O136*Ventas!AE189*1))</f>
        <v>0</v>
      </c>
      <c r="Q136" s="3"/>
      <c r="R136" s="8">
        <v>0</v>
      </c>
      <c r="S136" s="15">
        <f>IF(P136&gt;0,P136+R136,R136)</f>
        <v>0</v>
      </c>
      <c r="T136" s="3"/>
      <c r="U136" s="15">
        <v>52</v>
      </c>
      <c r="V136" s="17">
        <v>6.4899999999999995E-4</v>
      </c>
      <c r="W136" s="12">
        <v>46331</v>
      </c>
      <c r="X136" s="7">
        <v>56</v>
      </c>
      <c r="Y136" s="15">
        <f>(IF(P136&gt;0,P136+R136,R136)-(X136*Ventas!AE189*1))</f>
        <v>0</v>
      </c>
      <c r="Z136" s="3"/>
      <c r="AA136" s="15">
        <f>(120*(Ventas!AE189*1) - IF(Y136&gt;0,Y136,0))</f>
        <v>0</v>
      </c>
      <c r="AB136" s="15">
        <v>0</v>
      </c>
      <c r="AC136" s="15">
        <f>IF(Y136&gt;0,Y136+IF(AB136&gt;0,AB136,0),AB136)</f>
        <v>0</v>
      </c>
      <c r="AD136" s="16">
        <v>2.0499999999999998</v>
      </c>
      <c r="AE136" s="8">
        <v>3025</v>
      </c>
      <c r="AF136" s="3"/>
      <c r="AG136" s="3"/>
      <c r="AH136" s="1" t="s">
        <v>32</v>
      </c>
      <c r="AI136">
        <f t="shared" si="2"/>
        <v>0</v>
      </c>
    </row>
    <row r="137" spans="1:35" x14ac:dyDescent="0.25">
      <c r="A137" s="1" t="s">
        <v>355</v>
      </c>
      <c r="B137" s="1" t="s">
        <v>356</v>
      </c>
      <c r="C137" s="14" t="s">
        <v>357</v>
      </c>
      <c r="D137" s="3"/>
      <c r="E137" s="12">
        <v>46238</v>
      </c>
      <c r="F137" s="7">
        <v>1</v>
      </c>
      <c r="G137" s="15">
        <f>(D137-(0)+0-(F137*Ventas!AE190*1))</f>
        <v>0</v>
      </c>
      <c r="H137" s="3"/>
      <c r="I137" s="8">
        <v>0</v>
      </c>
      <c r="J137" s="15">
        <f>IF(G137&gt;0,G137+I137,I137)</f>
        <v>0</v>
      </c>
      <c r="K137" s="3"/>
      <c r="L137" s="15">
        <v>52</v>
      </c>
      <c r="M137" s="17">
        <v>6.4899999999999995E-4</v>
      </c>
      <c r="N137" s="12">
        <v>46275</v>
      </c>
      <c r="O137" s="7">
        <v>37</v>
      </c>
      <c r="P137" s="15">
        <f>(IF(G137&gt;0,G137+I137,I137)-(O137*Ventas!AE190*1))</f>
        <v>0</v>
      </c>
      <c r="Q137" s="3"/>
      <c r="R137" s="8">
        <v>0</v>
      </c>
      <c r="S137" s="15">
        <f>IF(P137&gt;0,P137+R137,R137)</f>
        <v>0</v>
      </c>
      <c r="T137" s="3"/>
      <c r="U137" s="15">
        <v>52</v>
      </c>
      <c r="V137" s="17">
        <v>6.4899999999999995E-4</v>
      </c>
      <c r="W137" s="12">
        <v>46331</v>
      </c>
      <c r="X137" s="7">
        <v>56</v>
      </c>
      <c r="Y137" s="15">
        <f>(IF(P137&gt;0,P137+R137,R137)-(X137*Ventas!AE190*1))</f>
        <v>0</v>
      </c>
      <c r="Z137" s="3"/>
      <c r="AA137" s="15">
        <f>(120*(Ventas!AE190*1) - IF(Y137&gt;0,Y137,0))</f>
        <v>0</v>
      </c>
      <c r="AB137" s="15">
        <v>0</v>
      </c>
      <c r="AC137" s="15">
        <f>IF(Y137&gt;0,Y137+IF(AB137&gt;0,AB137,0),AB137)</f>
        <v>0</v>
      </c>
      <c r="AD137" s="3"/>
      <c r="AE137" s="3"/>
      <c r="AF137" s="3"/>
      <c r="AG137" s="3"/>
      <c r="AH137" s="1" t="s">
        <v>35</v>
      </c>
      <c r="AI137">
        <f t="shared" si="2"/>
        <v>0</v>
      </c>
    </row>
    <row r="138" spans="1:35" x14ac:dyDescent="0.25">
      <c r="A138" s="1" t="s">
        <v>358</v>
      </c>
      <c r="B138" s="1" t="s">
        <v>359</v>
      </c>
      <c r="C138" s="14" t="s">
        <v>360</v>
      </c>
      <c r="D138" s="3"/>
      <c r="E138" s="12">
        <v>46238</v>
      </c>
      <c r="F138" s="7">
        <v>1</v>
      </c>
      <c r="G138" s="15">
        <f>(D138-(0)+0-(F138*Ventas!AE191*1))</f>
        <v>0</v>
      </c>
      <c r="H138" s="3"/>
      <c r="I138" s="8">
        <v>0</v>
      </c>
      <c r="J138" s="15">
        <f>IF(G138&gt;0,G138+I138,I138)</f>
        <v>0</v>
      </c>
      <c r="K138" s="3"/>
      <c r="L138" s="15">
        <v>52</v>
      </c>
      <c r="M138" s="17">
        <v>6.4899999999999995E-4</v>
      </c>
      <c r="N138" s="12">
        <v>46275</v>
      </c>
      <c r="O138" s="7">
        <v>37</v>
      </c>
      <c r="P138" s="15">
        <f>(IF(G138&gt;0,G138+I138,I138)-(O138*Ventas!AE191*1))</f>
        <v>0</v>
      </c>
      <c r="Q138" s="3"/>
      <c r="R138" s="8">
        <v>0</v>
      </c>
      <c r="S138" s="15">
        <f>IF(P138&gt;0,P138+R138,R138)</f>
        <v>0</v>
      </c>
      <c r="T138" s="3"/>
      <c r="U138" s="15">
        <v>52</v>
      </c>
      <c r="V138" s="17">
        <v>6.4899999999999995E-4</v>
      </c>
      <c r="W138" s="12">
        <v>46331</v>
      </c>
      <c r="X138" s="7">
        <v>56</v>
      </c>
      <c r="Y138" s="15">
        <f>(IF(P138&gt;0,P138+R138,R138)-(X138*Ventas!AE191*1))</f>
        <v>0</v>
      </c>
      <c r="Z138" s="3"/>
      <c r="AA138" s="15">
        <f>(120*(Ventas!AE191*1) - IF(Y138&gt;0,Y138,0))</f>
        <v>0</v>
      </c>
      <c r="AB138" s="15">
        <v>0</v>
      </c>
      <c r="AC138" s="15">
        <f>IF(Y138&gt;0,Y138+IF(AB138&gt;0,AB138,0),AB138)</f>
        <v>0</v>
      </c>
      <c r="AD138" s="16">
        <v>2.2200000000000002</v>
      </c>
      <c r="AE138" s="8">
        <v>3017</v>
      </c>
      <c r="AF138" s="3"/>
      <c r="AG138" s="3"/>
      <c r="AH138" s="1" t="s">
        <v>32</v>
      </c>
      <c r="AI138">
        <f t="shared" si="2"/>
        <v>0</v>
      </c>
    </row>
    <row r="139" spans="1:35" x14ac:dyDescent="0.25">
      <c r="A139" s="1"/>
      <c r="B139" s="58" t="s">
        <v>194</v>
      </c>
      <c r="C139" s="14" t="s">
        <v>195</v>
      </c>
      <c r="D139" s="3"/>
      <c r="E139" s="12">
        <v>46238</v>
      </c>
      <c r="F139" s="7">
        <v>1</v>
      </c>
      <c r="G139" s="15">
        <f>(D139-(0)+0-(F139*Ventas!AE121*1))</f>
        <v>0</v>
      </c>
      <c r="H139" s="3"/>
      <c r="I139" s="8">
        <v>0</v>
      </c>
      <c r="J139" s="15">
        <f>IF(G139&gt;0,G139+I139,I139)</f>
        <v>0</v>
      </c>
      <c r="K139" s="3"/>
      <c r="L139" s="15">
        <v>84</v>
      </c>
      <c r="M139" s="17">
        <v>3.57E-4</v>
      </c>
      <c r="N139" s="12">
        <v>46275</v>
      </c>
      <c r="O139" s="7">
        <v>37</v>
      </c>
      <c r="P139" s="15">
        <f>(IF(G139&gt;0,G139+I139,I139)-(O139*Ventas!AE121*1))</f>
        <v>0</v>
      </c>
      <c r="Q139" s="3"/>
      <c r="R139" s="8">
        <v>0</v>
      </c>
      <c r="S139" s="15">
        <f>IF(P139&gt;0,P139+R139,R139)</f>
        <v>0</v>
      </c>
      <c r="T139" s="3"/>
      <c r="U139" s="15">
        <v>84</v>
      </c>
      <c r="V139" s="17">
        <v>3.57E-4</v>
      </c>
      <c r="W139" s="12">
        <v>46331</v>
      </c>
      <c r="X139" s="7">
        <v>56</v>
      </c>
      <c r="Y139" s="15">
        <f>(IF(P139&gt;0,P139+R139,R139)-(X139*Ventas!AE121*1))</f>
        <v>0</v>
      </c>
      <c r="Z139" s="3"/>
      <c r="AA139" s="15">
        <f>(120*(Ventas!AE121*1) - IF(Y139&gt;0,Y139,0))</f>
        <v>0</v>
      </c>
      <c r="AB139" s="15">
        <v>168</v>
      </c>
      <c r="AC139" s="15">
        <f>IF(Y139&gt;0,Y139+IF(AB139&gt;0,AB139,0),AB139)</f>
        <v>168</v>
      </c>
      <c r="AD139" s="3"/>
      <c r="AE139" s="8">
        <v>3010</v>
      </c>
      <c r="AF139" s="3"/>
      <c r="AG139" s="3"/>
      <c r="AH139" s="1" t="s">
        <v>35</v>
      </c>
      <c r="AI139">
        <f t="shared" si="2"/>
        <v>0</v>
      </c>
    </row>
    <row r="140" spans="1:35" x14ac:dyDescent="0.25">
      <c r="A140" s="1"/>
      <c r="B140" s="1" t="s">
        <v>364</v>
      </c>
      <c r="C140" s="14" t="s">
        <v>365</v>
      </c>
      <c r="D140" s="3"/>
      <c r="E140" s="12">
        <v>46238</v>
      </c>
      <c r="F140" s="7">
        <v>1</v>
      </c>
      <c r="G140" s="15">
        <f>(D140-(0)+0-(F140*Ventas!AE193*1))</f>
        <v>0</v>
      </c>
      <c r="H140" s="3"/>
      <c r="I140" s="8">
        <v>0</v>
      </c>
      <c r="J140" s="15">
        <f>IF(G140&gt;0,G140+I140,I140)</f>
        <v>0</v>
      </c>
      <c r="K140" s="3"/>
      <c r="L140" s="15">
        <v>70</v>
      </c>
      <c r="M140" s="17">
        <v>4.3600000000000003E-4</v>
      </c>
      <c r="N140" s="12">
        <v>46275</v>
      </c>
      <c r="O140" s="7">
        <v>37</v>
      </c>
      <c r="P140" s="15">
        <f>(IF(G140&gt;0,G140+I140,I140)-(O140*Ventas!AE193*1))</f>
        <v>0</v>
      </c>
      <c r="Q140" s="3"/>
      <c r="R140" s="8">
        <v>0</v>
      </c>
      <c r="S140" s="15">
        <f>IF(P140&gt;0,P140+R140,R140)</f>
        <v>0</v>
      </c>
      <c r="T140" s="3"/>
      <c r="U140" s="15">
        <v>70</v>
      </c>
      <c r="V140" s="17">
        <v>4.3600000000000003E-4</v>
      </c>
      <c r="W140" s="12">
        <v>46331</v>
      </c>
      <c r="X140" s="7">
        <v>56</v>
      </c>
      <c r="Y140" s="15">
        <f>(IF(P140&gt;0,P140+R140,R140)-(X140*Ventas!AE193*1))</f>
        <v>0</v>
      </c>
      <c r="Z140" s="3"/>
      <c r="AA140" s="15">
        <f>(120*(Ventas!AE193*1) - IF(Y140&gt;0,Y140,0))</f>
        <v>0</v>
      </c>
      <c r="AB140" s="15">
        <v>0</v>
      </c>
      <c r="AC140" s="15">
        <f>IF(Y140&gt;0,Y140+IF(AB140&gt;0,AB140,0),AB140)</f>
        <v>0</v>
      </c>
      <c r="AD140" s="3"/>
      <c r="AE140" s="3"/>
      <c r="AF140" s="3"/>
      <c r="AG140" s="3"/>
      <c r="AH140" s="1" t="s">
        <v>35</v>
      </c>
      <c r="AI140">
        <f t="shared" si="2"/>
        <v>0</v>
      </c>
    </row>
    <row r="141" spans="1:35" x14ac:dyDescent="0.25">
      <c r="A141" s="1" t="s">
        <v>366</v>
      </c>
      <c r="B141" s="84" t="s">
        <v>367</v>
      </c>
      <c r="C141" s="14" t="s">
        <v>368</v>
      </c>
      <c r="D141" s="3"/>
      <c r="E141" s="12">
        <v>46238</v>
      </c>
      <c r="F141" s="7">
        <v>1</v>
      </c>
      <c r="G141" s="15">
        <f>(D141-(0)+0-(F141*Ventas!AE194*1))</f>
        <v>0</v>
      </c>
      <c r="H141" s="3"/>
      <c r="I141" s="8">
        <v>0</v>
      </c>
      <c r="J141" s="15">
        <f>IF(G141&gt;0,G141+I141,I141)</f>
        <v>0</v>
      </c>
      <c r="K141" s="3"/>
      <c r="L141" s="15">
        <v>52</v>
      </c>
      <c r="M141" s="17">
        <v>6.4899999999999995E-4</v>
      </c>
      <c r="N141" s="12">
        <v>46275</v>
      </c>
      <c r="O141" s="7">
        <v>37</v>
      </c>
      <c r="P141" s="15">
        <f>(IF(G141&gt;0,G141+I141,I141)-(O141*Ventas!AE194*1))</f>
        <v>0</v>
      </c>
      <c r="Q141" s="3"/>
      <c r="R141" s="8">
        <v>0</v>
      </c>
      <c r="S141" s="15">
        <f>IF(P141&gt;0,P141+R141,R141)</f>
        <v>0</v>
      </c>
      <c r="T141" s="3"/>
      <c r="U141" s="15">
        <v>52</v>
      </c>
      <c r="V141" s="17">
        <v>6.4899999999999995E-4</v>
      </c>
      <c r="W141" s="12">
        <v>46331</v>
      </c>
      <c r="X141" s="7">
        <v>56</v>
      </c>
      <c r="Y141" s="15">
        <f>(IF(P141&gt;0,P141+R141,R141)-(X141*Ventas!AE194*1))</f>
        <v>0</v>
      </c>
      <c r="Z141" s="3"/>
      <c r="AA141" s="15">
        <f>(120*(Ventas!AE194*1) - IF(Y141&gt;0,Y141,0))</f>
        <v>0</v>
      </c>
      <c r="AB141" s="15">
        <v>0</v>
      </c>
      <c r="AC141" s="15">
        <f>IF(Y141&gt;0,Y141+IF(AB141&gt;0,AB141,0),AB141)</f>
        <v>0</v>
      </c>
      <c r="AD141" s="16">
        <v>1.47</v>
      </c>
      <c r="AE141" s="8">
        <v>3025</v>
      </c>
      <c r="AF141" s="3"/>
      <c r="AG141" s="3"/>
      <c r="AH141" s="1" t="s">
        <v>35</v>
      </c>
      <c r="AI141">
        <f t="shared" si="2"/>
        <v>0</v>
      </c>
    </row>
    <row r="142" spans="1:35" x14ac:dyDescent="0.25">
      <c r="A142" s="1"/>
      <c r="B142" s="70" t="s">
        <v>636</v>
      </c>
      <c r="C142" s="14" t="s">
        <v>637</v>
      </c>
      <c r="D142" s="3"/>
      <c r="E142" s="12">
        <v>46238</v>
      </c>
      <c r="F142" s="7">
        <v>1</v>
      </c>
      <c r="G142" s="15">
        <f>(D142-(0)+0-(F142*Ventas!AE284*1))</f>
        <v>0</v>
      </c>
      <c r="H142" s="3"/>
      <c r="I142" s="8">
        <v>0</v>
      </c>
      <c r="J142" s="15">
        <f>IF(G142&gt;0,G142+I142,I142)</f>
        <v>0</v>
      </c>
      <c r="K142" s="3"/>
      <c r="L142" s="3">
        <v>44</v>
      </c>
      <c r="M142" s="3"/>
      <c r="N142" s="12">
        <v>46275</v>
      </c>
      <c r="O142" s="7">
        <v>37</v>
      </c>
      <c r="P142" s="15">
        <f>(IF(G142&gt;0,G142+I142,I142)-(O142*Ventas!AE284*0.9189))</f>
        <v>0</v>
      </c>
      <c r="Q142" s="3"/>
      <c r="R142" s="8">
        <v>0</v>
      </c>
      <c r="S142" s="15">
        <f>IF(P142&gt;0,P142+R142,R142)</f>
        <v>0</v>
      </c>
      <c r="T142" s="3"/>
      <c r="U142" s="86">
        <v>44</v>
      </c>
      <c r="V142" s="3"/>
      <c r="W142" s="12">
        <v>46331</v>
      </c>
      <c r="X142" s="7">
        <v>56</v>
      </c>
      <c r="Y142" s="15">
        <f>(IF(P142&gt;0,P142+R142,R142)-(X142*Ventas!AE284*0.925))</f>
        <v>0</v>
      </c>
      <c r="Z142" s="3"/>
      <c r="AA142" s="15">
        <f>(120*(Ventas!AE284*1.485) - IF(Y142&gt;0,Y142,0))</f>
        <v>0</v>
      </c>
      <c r="AB142" s="15">
        <v>264</v>
      </c>
      <c r="AC142" s="15">
        <f>IF(Y142&gt;0,Y142+IF(AB142&gt;0,AB142,0),AB142)</f>
        <v>264</v>
      </c>
      <c r="AD142" s="3"/>
      <c r="AE142" s="3"/>
      <c r="AF142" s="3"/>
      <c r="AG142" s="3"/>
      <c r="AH142" s="1" t="s">
        <v>35</v>
      </c>
      <c r="AI142">
        <f t="shared" si="2"/>
        <v>0</v>
      </c>
    </row>
    <row r="143" spans="1:35" x14ac:dyDescent="0.25">
      <c r="A143" s="1"/>
      <c r="B143" s="72" t="s">
        <v>638</v>
      </c>
      <c r="C143" s="14" t="s">
        <v>639</v>
      </c>
      <c r="D143" s="3"/>
      <c r="E143" s="12">
        <v>46238</v>
      </c>
      <c r="F143" s="7">
        <v>1</v>
      </c>
      <c r="G143" s="15">
        <f>(D143-(0)+0-(F143*Ventas!AE285*1))</f>
        <v>0</v>
      </c>
      <c r="H143" s="3"/>
      <c r="I143" s="8">
        <v>88</v>
      </c>
      <c r="J143" s="15">
        <f>IF(G143&gt;0,G143+I143,I143)</f>
        <v>88</v>
      </c>
      <c r="K143" s="15">
        <v>3.6</v>
      </c>
      <c r="L143" s="3">
        <v>44</v>
      </c>
      <c r="M143" s="3"/>
      <c r="N143" s="12">
        <v>46275</v>
      </c>
      <c r="O143" s="7">
        <v>37</v>
      </c>
      <c r="P143" s="15">
        <f>(IF(G143&gt;0,G143+I143,I143)-(O143*Ventas!AE285*0.9189))</f>
        <v>88</v>
      </c>
      <c r="Q143" s="3"/>
      <c r="R143" s="8">
        <v>0</v>
      </c>
      <c r="S143" s="15">
        <f>IF(P143&gt;0,P143+R143,R143)</f>
        <v>88</v>
      </c>
      <c r="T143" s="3"/>
      <c r="U143" s="86">
        <v>44</v>
      </c>
      <c r="V143" s="3"/>
      <c r="W143" s="12">
        <v>46331</v>
      </c>
      <c r="X143" s="7">
        <v>56</v>
      </c>
      <c r="Y143" s="15">
        <f>(IF(P143&gt;0,P143+R143,R143)-(X143*Ventas!AE285*0.925))</f>
        <v>88</v>
      </c>
      <c r="Z143" s="3"/>
      <c r="AA143" s="15">
        <f>(120*(Ventas!AE285*1.485) - IF(Y143&gt;0,Y143,0))</f>
        <v>-88</v>
      </c>
      <c r="AB143" s="15">
        <v>220</v>
      </c>
      <c r="AC143" s="15">
        <f>IF(Y143&gt;0,Y143+IF(AB143&gt;0,AB143,0),AB143)</f>
        <v>308</v>
      </c>
      <c r="AD143" s="16">
        <v>3.6</v>
      </c>
      <c r="AE143" s="8">
        <v>3025</v>
      </c>
      <c r="AF143" s="3"/>
      <c r="AG143" s="3"/>
      <c r="AH143" s="1" t="s">
        <v>35</v>
      </c>
      <c r="AI143">
        <f t="shared" si="2"/>
        <v>792</v>
      </c>
    </row>
    <row r="144" spans="1:35" x14ac:dyDescent="0.25">
      <c r="A144" s="1" t="s">
        <v>282</v>
      </c>
      <c r="B144" s="27" t="s">
        <v>378</v>
      </c>
      <c r="C144" s="14" t="s">
        <v>379</v>
      </c>
      <c r="D144" s="3"/>
      <c r="E144" s="12">
        <v>46238</v>
      </c>
      <c r="F144" s="7">
        <v>1</v>
      </c>
      <c r="G144" s="15">
        <f>(D144-(0)+0-(F144*Ventas!AE199*1))</f>
        <v>0</v>
      </c>
      <c r="H144" s="18" t="e">
        <f>(G144/(Ventas!AE199*1)/60)</f>
        <v>#DIV/0!</v>
      </c>
      <c r="I144" s="8">
        <v>0</v>
      </c>
      <c r="J144" s="15">
        <f>IF(G144&gt;0,G144+I144,I144)</f>
        <v>0</v>
      </c>
      <c r="K144" s="3"/>
      <c r="L144" s="15">
        <v>52</v>
      </c>
      <c r="M144" s="17">
        <v>6.4899999999999995E-4</v>
      </c>
      <c r="N144" s="12">
        <v>46275</v>
      </c>
      <c r="O144" s="7">
        <v>37</v>
      </c>
      <c r="P144" s="15">
        <f>(IF(G144&gt;0,G144+I144,I144)-(O144*Ventas!AE199*1))</f>
        <v>0</v>
      </c>
      <c r="Q144" s="18" t="e">
        <f>(P144/(Ventas!AE199*1)/60)</f>
        <v>#DIV/0!</v>
      </c>
      <c r="R144" s="8">
        <v>0</v>
      </c>
      <c r="S144" s="15">
        <f>IF(P144&gt;0,P144+R144,R144)</f>
        <v>0</v>
      </c>
      <c r="T144" s="3"/>
      <c r="U144" s="15">
        <v>52</v>
      </c>
      <c r="V144" s="17">
        <v>6.4899999999999995E-4</v>
      </c>
      <c r="W144" s="12">
        <v>46331</v>
      </c>
      <c r="X144" s="7">
        <v>56</v>
      </c>
      <c r="Y144" s="15">
        <f>(IF(P144&gt;0,P144+R144,R144)-(X144*Ventas!AE199*1))</f>
        <v>0</v>
      </c>
      <c r="Z144" s="18" t="e">
        <f>(Y144/(Ventas!AE199*1)/60)</f>
        <v>#DIV/0!</v>
      </c>
      <c r="AA144" s="15">
        <f>(120*(Ventas!AE199*1) - IF(Y144&gt;0,Y144,0))</f>
        <v>0</v>
      </c>
      <c r="AB144" s="15">
        <v>0</v>
      </c>
      <c r="AC144" s="15">
        <f>IF(Y144&gt;0,Y144+IF(AB144&gt;0,AB144,0),AB144)</f>
        <v>0</v>
      </c>
      <c r="AD144" s="16">
        <v>1.27</v>
      </c>
      <c r="AE144" s="8">
        <v>3010</v>
      </c>
      <c r="AF144" s="15">
        <f>(AC144-(60*Ventas!AE199*1))</f>
        <v>0</v>
      </c>
      <c r="AG144" s="18" t="e">
        <f>(AF144/(Ventas!AE199*1)/60)</f>
        <v>#DIV/0!</v>
      </c>
      <c r="AH144" s="1" t="s">
        <v>32</v>
      </c>
      <c r="AI144">
        <f t="shared" si="2"/>
        <v>0</v>
      </c>
    </row>
    <row r="145" spans="1:35" x14ac:dyDescent="0.25">
      <c r="A145" s="1" t="s">
        <v>396</v>
      </c>
      <c r="B145" s="1" t="s">
        <v>397</v>
      </c>
      <c r="C145" s="14" t="s">
        <v>398</v>
      </c>
      <c r="D145" s="3"/>
      <c r="E145" s="12">
        <v>46238</v>
      </c>
      <c r="F145" s="7">
        <v>1</v>
      </c>
      <c r="G145" s="15">
        <f>(D145-(0)+0-(F145*Ventas!AE206*1))</f>
        <v>0</v>
      </c>
      <c r="H145" s="18" t="e">
        <f>(G145/(Ventas!AE206*1)/60)</f>
        <v>#DIV/0!</v>
      </c>
      <c r="I145" s="8">
        <v>0</v>
      </c>
      <c r="J145" s="15">
        <f>IF(G145&gt;0,G145+I145,I145)</f>
        <v>0</v>
      </c>
      <c r="K145" s="3"/>
      <c r="L145" s="15">
        <v>52</v>
      </c>
      <c r="M145" s="17">
        <v>6.4899999999999995E-4</v>
      </c>
      <c r="N145" s="12">
        <v>46275</v>
      </c>
      <c r="O145" s="7">
        <v>37</v>
      </c>
      <c r="P145" s="15">
        <f>(IF(G145&gt;0,G145+I145,I145)-(O145*Ventas!AE206*1))</f>
        <v>0</v>
      </c>
      <c r="Q145" s="18" t="e">
        <f>(P145/(Ventas!AE206*1)/60)</f>
        <v>#DIV/0!</v>
      </c>
      <c r="R145" s="8">
        <v>0</v>
      </c>
      <c r="S145" s="15">
        <f>IF(P145&gt;0,P145+R145,R145)</f>
        <v>0</v>
      </c>
      <c r="T145" s="3"/>
      <c r="U145" s="15">
        <v>52</v>
      </c>
      <c r="V145" s="17">
        <v>6.4899999999999995E-4</v>
      </c>
      <c r="W145" s="12">
        <v>46331</v>
      </c>
      <c r="X145" s="7">
        <v>56</v>
      </c>
      <c r="Y145" s="15">
        <f>(IF(P145&gt;0,P145+R145,R145)-(X145*Ventas!AE206*1))</f>
        <v>0</v>
      </c>
      <c r="Z145" s="18" t="e">
        <f>(Y145/(Ventas!AE206*1)/60)</f>
        <v>#DIV/0!</v>
      </c>
      <c r="AA145" s="15">
        <f>(120*(Ventas!AE206*1) - IF(Y145&gt;0,Y145,0))</f>
        <v>0</v>
      </c>
      <c r="AB145" s="15">
        <v>0</v>
      </c>
      <c r="AC145" s="15">
        <f>IF(Y145&gt;0,Y145+IF(AB145&gt;0,AB145,0),AB145)</f>
        <v>0</v>
      </c>
      <c r="AD145" s="16">
        <v>4.1399999999999997</v>
      </c>
      <c r="AE145" s="8">
        <v>3010</v>
      </c>
      <c r="AF145" s="15">
        <f>(AC145-(60*Ventas!AE206*1))</f>
        <v>0</v>
      </c>
      <c r="AG145" s="18" t="e">
        <f>(AF145/(Ventas!AE206*1)/60)</f>
        <v>#DIV/0!</v>
      </c>
      <c r="AH145" s="1" t="s">
        <v>32</v>
      </c>
      <c r="AI145">
        <f t="shared" si="2"/>
        <v>0</v>
      </c>
    </row>
    <row r="146" spans="1:35" x14ac:dyDescent="0.25">
      <c r="A146" s="1" t="s">
        <v>402</v>
      </c>
      <c r="B146" s="33" t="s">
        <v>403</v>
      </c>
      <c r="C146" s="14" t="s">
        <v>404</v>
      </c>
      <c r="D146" s="3"/>
      <c r="E146" s="12">
        <v>46238</v>
      </c>
      <c r="F146" s="7">
        <v>1</v>
      </c>
      <c r="G146" s="15">
        <f>(D146-(0)+0-(F146*Ventas!AE208*1))</f>
        <v>0</v>
      </c>
      <c r="H146" s="3"/>
      <c r="I146" s="8">
        <v>0</v>
      </c>
      <c r="J146" s="15">
        <f>IF(G146&gt;0,G146+I146,I146)</f>
        <v>0</v>
      </c>
      <c r="K146" s="3"/>
      <c r="L146" s="15">
        <v>40</v>
      </c>
      <c r="M146" s="17">
        <v>8.4400000000000002E-4</v>
      </c>
      <c r="N146" s="12">
        <v>46275</v>
      </c>
      <c r="O146" s="7">
        <v>37</v>
      </c>
      <c r="P146" s="15">
        <f>(IF(G146&gt;0,G146+I146,I146)-(O146*Ventas!AE208*1))</f>
        <v>0</v>
      </c>
      <c r="Q146" s="3"/>
      <c r="R146" s="8">
        <v>0</v>
      </c>
      <c r="S146" s="15">
        <f>IF(P146&gt;0,P146+R146,R146)</f>
        <v>0</v>
      </c>
      <c r="T146" s="3"/>
      <c r="U146" s="15">
        <v>40</v>
      </c>
      <c r="V146" s="17">
        <v>8.4400000000000002E-4</v>
      </c>
      <c r="W146" s="12">
        <v>46331</v>
      </c>
      <c r="X146" s="7">
        <v>56</v>
      </c>
      <c r="Y146" s="15">
        <f>(IF(P146&gt;0,P146+R146,R146)-(X146*Ventas!AE208*1))</f>
        <v>0</v>
      </c>
      <c r="Z146" s="3"/>
      <c r="AA146" s="15">
        <f>(120*(Ventas!AE208*1) - IF(Y146&gt;0,Y146,0))</f>
        <v>0</v>
      </c>
      <c r="AB146" s="15">
        <v>0</v>
      </c>
      <c r="AC146" s="15">
        <f>IF(Y146&gt;0,Y146+IF(AB146&gt;0,AB146,0),AB146)</f>
        <v>0</v>
      </c>
      <c r="AD146" s="16">
        <v>9.5</v>
      </c>
      <c r="AE146" s="8">
        <v>3010</v>
      </c>
      <c r="AF146" s="3"/>
      <c r="AG146" s="3"/>
      <c r="AH146" s="1" t="s">
        <v>32</v>
      </c>
      <c r="AI146">
        <f t="shared" si="2"/>
        <v>0</v>
      </c>
    </row>
    <row r="147" spans="1:35" x14ac:dyDescent="0.25">
      <c r="A147" s="1" t="s">
        <v>384</v>
      </c>
      <c r="B147" s="1" t="s">
        <v>405</v>
      </c>
      <c r="C147" s="14" t="s">
        <v>406</v>
      </c>
      <c r="D147" s="3"/>
      <c r="E147" s="12">
        <v>46238</v>
      </c>
      <c r="F147" s="7">
        <v>1</v>
      </c>
      <c r="G147" s="15">
        <f>(D147-(0)+0-(F147*Ventas!AE209*1))</f>
        <v>0</v>
      </c>
      <c r="H147" s="3"/>
      <c r="I147" s="8">
        <v>0</v>
      </c>
      <c r="J147" s="15">
        <f>IF(G147&gt;0,G147+I147,I147)</f>
        <v>0</v>
      </c>
      <c r="K147" s="3"/>
      <c r="L147" s="15">
        <v>48</v>
      </c>
      <c r="M147" s="17">
        <v>6.2500000000000001E-4</v>
      </c>
      <c r="N147" s="12">
        <v>46275</v>
      </c>
      <c r="O147" s="7">
        <v>37</v>
      </c>
      <c r="P147" s="15">
        <f>(IF(G147&gt;0,G147+I147,I147)-(O147*Ventas!AE209*1))</f>
        <v>0</v>
      </c>
      <c r="Q147" s="3"/>
      <c r="R147" s="8">
        <v>0</v>
      </c>
      <c r="S147" s="15">
        <f>IF(P147&gt;0,P147+R147,R147)</f>
        <v>0</v>
      </c>
      <c r="T147" s="3"/>
      <c r="U147" s="15">
        <v>48</v>
      </c>
      <c r="V147" s="17">
        <v>6.2500000000000001E-4</v>
      </c>
      <c r="W147" s="12">
        <v>46331</v>
      </c>
      <c r="X147" s="7">
        <v>56</v>
      </c>
      <c r="Y147" s="15">
        <f>(IF(P147&gt;0,P147+R147,R147)-(X147*Ventas!AE209*1))</f>
        <v>0</v>
      </c>
      <c r="Z147" s="3"/>
      <c r="AA147" s="15">
        <f>(120*(Ventas!AE209*1) - IF(Y147&gt;0,Y147,0))</f>
        <v>0</v>
      </c>
      <c r="AB147" s="15">
        <v>0</v>
      </c>
      <c r="AC147" s="15">
        <f>IF(Y147&gt;0,Y147+IF(AB147&gt;0,AB147,0),AB147)</f>
        <v>0</v>
      </c>
      <c r="AD147" s="3"/>
      <c r="AE147" s="3"/>
      <c r="AF147" s="3"/>
      <c r="AG147" s="3"/>
      <c r="AH147" s="1" t="s">
        <v>35</v>
      </c>
      <c r="AI147">
        <f t="shared" si="2"/>
        <v>0</v>
      </c>
    </row>
    <row r="148" spans="1:35" x14ac:dyDescent="0.25">
      <c r="A148" s="1" t="s">
        <v>387</v>
      </c>
      <c r="B148" s="1" t="s">
        <v>407</v>
      </c>
      <c r="C148" s="14" t="s">
        <v>408</v>
      </c>
      <c r="D148" s="3"/>
      <c r="E148" s="12">
        <v>46238</v>
      </c>
      <c r="F148" s="7">
        <v>1</v>
      </c>
      <c r="G148" s="15">
        <f>(D148-(0)+0-(F148*Ventas!AE210*1))</f>
        <v>0</v>
      </c>
      <c r="H148" s="3"/>
      <c r="I148" s="8">
        <v>0</v>
      </c>
      <c r="J148" s="15">
        <f>IF(G148&gt;0,G148+I148,I148)</f>
        <v>0</v>
      </c>
      <c r="K148" s="3"/>
      <c r="L148" s="15">
        <v>48</v>
      </c>
      <c r="M148" s="17">
        <v>6.2500000000000001E-4</v>
      </c>
      <c r="N148" s="12">
        <v>46275</v>
      </c>
      <c r="O148" s="7">
        <v>37</v>
      </c>
      <c r="P148" s="15">
        <f>(IF(G148&gt;0,G148+I148,I148)-(O148*Ventas!AE210*1))</f>
        <v>0</v>
      </c>
      <c r="Q148" s="3"/>
      <c r="R148" s="8">
        <v>0</v>
      </c>
      <c r="S148" s="15">
        <f>IF(P148&gt;0,P148+R148,R148)</f>
        <v>0</v>
      </c>
      <c r="T148" s="3"/>
      <c r="U148" s="15">
        <v>48</v>
      </c>
      <c r="V148" s="17">
        <v>6.2500000000000001E-4</v>
      </c>
      <c r="W148" s="12">
        <v>46331</v>
      </c>
      <c r="X148" s="7">
        <v>56</v>
      </c>
      <c r="Y148" s="15">
        <f>(IF(P148&gt;0,P148+R148,R148)-(X148*Ventas!AE210*1))</f>
        <v>0</v>
      </c>
      <c r="Z148" s="3"/>
      <c r="AA148" s="15">
        <f>(120*(Ventas!AE210*1) - IF(Y148&gt;0,Y148,0))</f>
        <v>0</v>
      </c>
      <c r="AB148" s="15">
        <v>0</v>
      </c>
      <c r="AC148" s="15">
        <f>IF(Y148&gt;0,Y148+IF(AB148&gt;0,AB148,0),AB148)</f>
        <v>0</v>
      </c>
      <c r="AD148" s="3"/>
      <c r="AE148" s="3"/>
      <c r="AF148" s="3"/>
      <c r="AG148" s="3"/>
      <c r="AH148" s="1" t="s">
        <v>35</v>
      </c>
      <c r="AI148">
        <f t="shared" si="2"/>
        <v>0</v>
      </c>
    </row>
    <row r="149" spans="1:35" x14ac:dyDescent="0.25">
      <c r="A149" s="1" t="s">
        <v>409</v>
      </c>
      <c r="B149" s="35" t="s">
        <v>410</v>
      </c>
      <c r="C149" s="14" t="s">
        <v>411</v>
      </c>
      <c r="D149" s="3"/>
      <c r="E149" s="12">
        <v>46238</v>
      </c>
      <c r="F149" s="7">
        <v>1</v>
      </c>
      <c r="G149" s="15">
        <f>(D149-(0)+0-(F149*Ventas!AE211*1))</f>
        <v>0</v>
      </c>
      <c r="H149" s="3"/>
      <c r="I149" s="8">
        <v>0</v>
      </c>
      <c r="J149" s="15">
        <f>IF(G149&gt;0,G149+I149,I149)</f>
        <v>0</v>
      </c>
      <c r="K149" s="3"/>
      <c r="L149" s="15">
        <v>40</v>
      </c>
      <c r="M149" s="17">
        <v>8.4400000000000002E-4</v>
      </c>
      <c r="N149" s="12">
        <v>46275</v>
      </c>
      <c r="O149" s="7">
        <v>37</v>
      </c>
      <c r="P149" s="15">
        <f>(IF(G149&gt;0,G149+I149,I149)-(O149*Ventas!AE211*1))</f>
        <v>0</v>
      </c>
      <c r="Q149" s="3"/>
      <c r="R149" s="8">
        <v>0</v>
      </c>
      <c r="S149" s="15">
        <f>IF(P149&gt;0,P149+R149,R149)</f>
        <v>0</v>
      </c>
      <c r="T149" s="3"/>
      <c r="U149" s="15">
        <v>40</v>
      </c>
      <c r="V149" s="17">
        <v>8.4400000000000002E-4</v>
      </c>
      <c r="W149" s="12">
        <v>46331</v>
      </c>
      <c r="X149" s="7">
        <v>56</v>
      </c>
      <c r="Y149" s="15">
        <f>(IF(P149&gt;0,P149+R149,R149)-(X149*Ventas!AE211*1))</f>
        <v>0</v>
      </c>
      <c r="Z149" s="3"/>
      <c r="AA149" s="15">
        <f>(120*(Ventas!AE211*1) - IF(Y149&gt;0,Y149,0))</f>
        <v>0</v>
      </c>
      <c r="AB149" s="15">
        <v>0</v>
      </c>
      <c r="AC149" s="15">
        <f>IF(Y149&gt;0,Y149+IF(AB149&gt;0,AB149,0),AB149)</f>
        <v>0</v>
      </c>
      <c r="AD149" s="16">
        <v>5.07</v>
      </c>
      <c r="AE149" s="8">
        <v>3010</v>
      </c>
      <c r="AF149" s="3"/>
      <c r="AG149" s="3"/>
      <c r="AH149" s="1" t="s">
        <v>32</v>
      </c>
      <c r="AI149">
        <f t="shared" si="2"/>
        <v>0</v>
      </c>
    </row>
    <row r="150" spans="1:35" x14ac:dyDescent="0.25">
      <c r="A150" s="1"/>
      <c r="B150" s="1" t="s">
        <v>427</v>
      </c>
      <c r="C150" s="14" t="s">
        <v>428</v>
      </c>
      <c r="D150" s="3"/>
      <c r="E150" s="12">
        <v>46238</v>
      </c>
      <c r="F150" s="7">
        <v>1</v>
      </c>
      <c r="G150" s="15">
        <f>(D150-(0)+0-(F150*Ventas!AE217*1))</f>
        <v>0</v>
      </c>
      <c r="H150" s="3"/>
      <c r="I150" s="8">
        <v>0</v>
      </c>
      <c r="J150" s="15">
        <f>IF(G150&gt;0,G150+I150,I150)</f>
        <v>0</v>
      </c>
      <c r="K150" s="3"/>
      <c r="L150" s="3">
        <v>52</v>
      </c>
      <c r="M150" s="3"/>
      <c r="N150" s="12">
        <v>46275</v>
      </c>
      <c r="O150" s="7">
        <v>37</v>
      </c>
      <c r="P150" s="15">
        <f>(IF(G150&gt;0,G150+I150,I150)-(O150*Ventas!AE217*1))</f>
        <v>0</v>
      </c>
      <c r="Q150" s="3"/>
      <c r="R150" s="8">
        <v>0</v>
      </c>
      <c r="S150" s="15">
        <f>IF(P150&gt;0,P150+R150,R150)</f>
        <v>0</v>
      </c>
      <c r="T150" s="3"/>
      <c r="U150" s="3">
        <v>52</v>
      </c>
      <c r="V150" s="3"/>
      <c r="W150" s="12">
        <v>46331</v>
      </c>
      <c r="X150" s="7">
        <v>56</v>
      </c>
      <c r="Y150" s="15">
        <f>(IF(P150&gt;0,P150+R150,R150)-(X150*Ventas!AE217*1))</f>
        <v>0</v>
      </c>
      <c r="Z150" s="3"/>
      <c r="AA150" s="15">
        <f>(120*(Ventas!AE217*1) - IF(Y150&gt;0,Y150,0))</f>
        <v>0</v>
      </c>
      <c r="AB150" s="15">
        <v>0</v>
      </c>
      <c r="AC150" s="15">
        <f>IF(Y150&gt;0,Y150+IF(AB150&gt;0,AB150,0),AB150)</f>
        <v>0</v>
      </c>
      <c r="AD150" s="3"/>
      <c r="AE150" s="3"/>
      <c r="AF150" s="3"/>
      <c r="AG150" s="3"/>
      <c r="AH150" s="1" t="s">
        <v>35</v>
      </c>
      <c r="AI150">
        <f t="shared" si="2"/>
        <v>0</v>
      </c>
    </row>
    <row r="151" spans="1:35" x14ac:dyDescent="0.25">
      <c r="A151" s="1"/>
      <c r="B151" s="1" t="s">
        <v>429</v>
      </c>
      <c r="C151" s="14" t="s">
        <v>430</v>
      </c>
      <c r="D151" s="3"/>
      <c r="E151" s="12">
        <v>46238</v>
      </c>
      <c r="F151" s="7">
        <v>1</v>
      </c>
      <c r="G151" s="15">
        <f>(D151-(0)+0-(F151*Ventas!AE218*1))</f>
        <v>0</v>
      </c>
      <c r="H151" s="3"/>
      <c r="I151" s="8">
        <v>0</v>
      </c>
      <c r="J151" s="15">
        <f>IF(G151&gt;0,G151+I151,I151)</f>
        <v>0</v>
      </c>
      <c r="K151" s="3"/>
      <c r="L151" s="3">
        <v>52</v>
      </c>
      <c r="M151" s="3"/>
      <c r="N151" s="12">
        <v>46275</v>
      </c>
      <c r="O151" s="7">
        <v>37</v>
      </c>
      <c r="P151" s="15">
        <f>(IF(G151&gt;0,G151+I151,I151)-(O151*Ventas!AE218*1))</f>
        <v>0</v>
      </c>
      <c r="Q151" s="3"/>
      <c r="R151" s="8">
        <v>0</v>
      </c>
      <c r="S151" s="15">
        <f>IF(P151&gt;0,P151+R151,R151)</f>
        <v>0</v>
      </c>
      <c r="T151" s="3"/>
      <c r="U151" s="3">
        <v>52</v>
      </c>
      <c r="V151" s="3"/>
      <c r="W151" s="12">
        <v>46331</v>
      </c>
      <c r="X151" s="7">
        <v>56</v>
      </c>
      <c r="Y151" s="15">
        <f>(IF(P151&gt;0,P151+R151,R151)-(X151*Ventas!AE218*1))</f>
        <v>0</v>
      </c>
      <c r="Z151" s="3"/>
      <c r="AA151" s="15">
        <f>(120*(Ventas!AE218*1) - IF(Y151&gt;0,Y151,0))</f>
        <v>0</v>
      </c>
      <c r="AB151" s="15">
        <v>0</v>
      </c>
      <c r="AC151" s="15">
        <f>IF(Y151&gt;0,Y151+IF(AB151&gt;0,AB151,0),AB151)</f>
        <v>0</v>
      </c>
      <c r="AD151" s="3"/>
      <c r="AE151" s="3"/>
      <c r="AF151" s="3"/>
      <c r="AG151" s="3"/>
      <c r="AH151" s="1" t="s">
        <v>35</v>
      </c>
      <c r="AI151">
        <f t="shared" si="2"/>
        <v>0</v>
      </c>
    </row>
    <row r="152" spans="1:35" x14ac:dyDescent="0.25">
      <c r="A152" s="1"/>
      <c r="B152" s="1" t="s">
        <v>452</v>
      </c>
      <c r="C152" s="14" t="s">
        <v>453</v>
      </c>
      <c r="D152" s="3"/>
      <c r="E152" s="12">
        <v>46238</v>
      </c>
      <c r="F152" s="7">
        <v>1</v>
      </c>
      <c r="G152" s="15">
        <f>(D152-(0)+0-(F152*Ventas!AE228*1))</f>
        <v>0</v>
      </c>
      <c r="H152" s="3"/>
      <c r="I152" s="8">
        <v>0</v>
      </c>
      <c r="J152" s="15">
        <f>IF(G152&gt;0,G152+I152,I152)</f>
        <v>0</v>
      </c>
      <c r="K152" s="3"/>
      <c r="L152" s="15">
        <v>10</v>
      </c>
      <c r="M152" s="17">
        <v>1.08E-3</v>
      </c>
      <c r="N152" s="12">
        <v>46275</v>
      </c>
      <c r="O152" s="7">
        <v>37</v>
      </c>
      <c r="P152" s="15">
        <f>(IF(G152&gt;0,G152+I152,I152)-(O152*Ventas!AE228*1))</f>
        <v>0</v>
      </c>
      <c r="Q152" s="3"/>
      <c r="R152" s="8">
        <v>0</v>
      </c>
      <c r="S152" s="15">
        <f>IF(P152&gt;0,P152+R152,R152)</f>
        <v>0</v>
      </c>
      <c r="T152" s="3"/>
      <c r="U152" s="15">
        <v>10</v>
      </c>
      <c r="V152" s="17">
        <v>1.08E-3</v>
      </c>
      <c r="W152" s="12">
        <v>46331</v>
      </c>
      <c r="X152" s="7">
        <v>56</v>
      </c>
      <c r="Y152" s="15">
        <f>(IF(P152&gt;0,P152+R152,R152)-(X152*Ventas!AE228*1))</f>
        <v>0</v>
      </c>
      <c r="Z152" s="3"/>
      <c r="AA152" s="15">
        <f>(120*(Ventas!AE228*1) - IF(Y152&gt;0,Y152,0))</f>
        <v>0</v>
      </c>
      <c r="AB152" s="15">
        <v>0</v>
      </c>
      <c r="AC152" s="15">
        <f>IF(Y152&gt;0,Y152+IF(AB152&gt;0,AB152,0),AB152)</f>
        <v>0</v>
      </c>
      <c r="AD152" s="3"/>
      <c r="AE152" s="8">
        <v>3010</v>
      </c>
      <c r="AF152" s="3"/>
      <c r="AG152" s="3"/>
      <c r="AH152" s="1" t="s">
        <v>35</v>
      </c>
      <c r="AI152">
        <f t="shared" si="2"/>
        <v>0</v>
      </c>
    </row>
    <row r="153" spans="1:35" x14ac:dyDescent="0.25">
      <c r="A153" s="1"/>
      <c r="B153" s="1" t="s">
        <v>454</v>
      </c>
      <c r="C153" s="14" t="s">
        <v>455</v>
      </c>
      <c r="D153" s="3"/>
      <c r="E153" s="12">
        <v>46238</v>
      </c>
      <c r="F153" s="7">
        <v>1</v>
      </c>
      <c r="G153" s="15">
        <f>(D153-(0)+0-(F153*Ventas!AE229*1))</f>
        <v>0</v>
      </c>
      <c r="H153" s="3"/>
      <c r="I153" s="8">
        <v>0</v>
      </c>
      <c r="J153" s="15">
        <f>IF(G153&gt;0,G153+I153,I153)</f>
        <v>0</v>
      </c>
      <c r="K153" s="3"/>
      <c r="L153" s="15">
        <v>36</v>
      </c>
      <c r="M153" s="17">
        <v>8.3299999999999997E-4</v>
      </c>
      <c r="N153" s="12">
        <v>46275</v>
      </c>
      <c r="O153" s="7">
        <v>37</v>
      </c>
      <c r="P153" s="15">
        <f>(IF(G153&gt;0,G153+I153,I153)-(O153*Ventas!AE229*1))</f>
        <v>0</v>
      </c>
      <c r="Q153" s="3"/>
      <c r="R153" s="8">
        <v>0</v>
      </c>
      <c r="S153" s="15">
        <f>IF(P153&gt;0,P153+R153,R153)</f>
        <v>0</v>
      </c>
      <c r="T153" s="3"/>
      <c r="U153" s="15">
        <v>36</v>
      </c>
      <c r="V153" s="17">
        <v>8.3299999999999997E-4</v>
      </c>
      <c r="W153" s="12">
        <v>46331</v>
      </c>
      <c r="X153" s="7">
        <v>56</v>
      </c>
      <c r="Y153" s="15">
        <f>(IF(P153&gt;0,P153+R153,R153)-(X153*Ventas!AE229*1))</f>
        <v>0</v>
      </c>
      <c r="Z153" s="3"/>
      <c r="AA153" s="15">
        <f>(120*(Ventas!AE229*1) - IF(Y153&gt;0,Y153,0))</f>
        <v>0</v>
      </c>
      <c r="AB153" s="15">
        <v>0</v>
      </c>
      <c r="AC153" s="15">
        <f>IF(Y153&gt;0,Y153+IF(AB153&gt;0,AB153,0),AB153)</f>
        <v>0</v>
      </c>
      <c r="AD153" s="3"/>
      <c r="AE153" s="8">
        <v>3010</v>
      </c>
      <c r="AF153" s="3"/>
      <c r="AG153" s="3"/>
      <c r="AH153" s="1" t="s">
        <v>35</v>
      </c>
      <c r="AI153">
        <f t="shared" si="2"/>
        <v>0</v>
      </c>
    </row>
    <row r="154" spans="1:35" x14ac:dyDescent="0.25">
      <c r="A154" s="1" t="s">
        <v>318</v>
      </c>
      <c r="B154" s="83" t="s">
        <v>456</v>
      </c>
      <c r="C154" s="14" t="s">
        <v>457</v>
      </c>
      <c r="D154" s="3"/>
      <c r="E154" s="12">
        <v>46238</v>
      </c>
      <c r="F154" s="7">
        <v>1</v>
      </c>
      <c r="G154" s="15">
        <f>(D154-(0)+0-(F154*Ventas!AE230*1))</f>
        <v>0</v>
      </c>
      <c r="H154" s="3"/>
      <c r="I154" s="8">
        <v>0</v>
      </c>
      <c r="J154" s="15">
        <f>IF(G154&gt;0,G154+I154,I154)</f>
        <v>0</v>
      </c>
      <c r="K154" s="3"/>
      <c r="L154" s="15">
        <v>52</v>
      </c>
      <c r="M154" s="17">
        <v>5.7700000000000004E-4</v>
      </c>
      <c r="N154" s="12">
        <v>46275</v>
      </c>
      <c r="O154" s="7">
        <v>37</v>
      </c>
      <c r="P154" s="15">
        <f>(IF(G154&gt;0,G154+I154,I154)-(O154*Ventas!AE230*1))</f>
        <v>0</v>
      </c>
      <c r="Q154" s="3"/>
      <c r="R154" s="8">
        <v>0</v>
      </c>
      <c r="S154" s="15">
        <f>IF(P154&gt;0,P154+R154,R154)</f>
        <v>0</v>
      </c>
      <c r="T154" s="3"/>
      <c r="U154" s="15">
        <v>52</v>
      </c>
      <c r="V154" s="17">
        <v>5.7700000000000004E-4</v>
      </c>
      <c r="W154" s="12">
        <v>46331</v>
      </c>
      <c r="X154" s="7">
        <v>56</v>
      </c>
      <c r="Y154" s="15">
        <f>(IF(P154&gt;0,P154+R154,R154)-(X154*Ventas!AE230*1))</f>
        <v>0</v>
      </c>
      <c r="Z154" s="3"/>
      <c r="AA154" s="15">
        <f>(120*(Ventas!AE230*1) - IF(Y154&gt;0,Y154,0))</f>
        <v>0</v>
      </c>
      <c r="AB154" s="15">
        <v>0</v>
      </c>
      <c r="AC154" s="15">
        <f>IF(Y154&gt;0,Y154+IF(AB154&gt;0,AB154,0),AB154)</f>
        <v>0</v>
      </c>
      <c r="AD154" s="3"/>
      <c r="AE154" s="8">
        <v>3010</v>
      </c>
      <c r="AF154" s="3"/>
      <c r="AG154" s="3"/>
      <c r="AH154" s="1" t="s">
        <v>35</v>
      </c>
      <c r="AI154">
        <f t="shared" si="2"/>
        <v>0</v>
      </c>
    </row>
    <row r="155" spans="1:35" x14ac:dyDescent="0.25">
      <c r="A155" s="1"/>
      <c r="B155" s="1" t="s">
        <v>468</v>
      </c>
      <c r="C155" s="14" t="s">
        <v>469</v>
      </c>
      <c r="D155" s="3"/>
      <c r="E155" s="12">
        <v>46238</v>
      </c>
      <c r="F155" s="7">
        <v>1</v>
      </c>
      <c r="G155" s="15">
        <f>(D155-(0)+0-(F155*Ventas!AE236*1))</f>
        <v>0</v>
      </c>
      <c r="H155" s="3"/>
      <c r="I155" s="8">
        <v>120</v>
      </c>
      <c r="J155" s="15">
        <f>IF(G155&gt;0,G155+I155,I155)</f>
        <v>120</v>
      </c>
      <c r="K155" s="15">
        <v>6.01</v>
      </c>
      <c r="L155" s="3"/>
      <c r="M155" s="3"/>
      <c r="N155" s="12">
        <v>46275</v>
      </c>
      <c r="O155" s="7">
        <v>37</v>
      </c>
      <c r="P155" s="15">
        <f>(IF(G155&gt;0,G155+I155,I155)-(O155*Ventas!AE236*1))</f>
        <v>120</v>
      </c>
      <c r="Q155" s="3"/>
      <c r="R155" s="8">
        <v>0</v>
      </c>
      <c r="S155" s="15">
        <f>IF(P155&gt;0,P155+R155,R155)</f>
        <v>120</v>
      </c>
      <c r="T155" s="3"/>
      <c r="U155" s="86">
        <v>40</v>
      </c>
      <c r="V155" s="3"/>
      <c r="W155" s="12">
        <v>46331</v>
      </c>
      <c r="X155" s="7">
        <v>56</v>
      </c>
      <c r="Y155" s="15">
        <f>(IF(P155&gt;0,P155+R155,R155)-(X155*Ventas!AE236*1))</f>
        <v>120</v>
      </c>
      <c r="Z155" s="3"/>
      <c r="AA155" s="15">
        <f>(120*(Ventas!AE236*1) - IF(Y155&gt;0,Y155,0))</f>
        <v>-120</v>
      </c>
      <c r="AB155" s="15">
        <v>80</v>
      </c>
      <c r="AC155" s="15">
        <f>IF(Y155&gt;0,Y155+IF(AB155&gt;0,AB155,0),AB155)</f>
        <v>200</v>
      </c>
      <c r="AD155" s="16">
        <v>6.01</v>
      </c>
      <c r="AE155" s="8">
        <v>3025</v>
      </c>
      <c r="AF155" s="3"/>
      <c r="AG155" s="3"/>
      <c r="AH155" s="1" t="s">
        <v>35</v>
      </c>
      <c r="AI155">
        <f t="shared" si="2"/>
        <v>480.79999999999995</v>
      </c>
    </row>
    <row r="156" spans="1:35" x14ac:dyDescent="0.25">
      <c r="A156" s="1"/>
      <c r="B156" s="1" t="s">
        <v>470</v>
      </c>
      <c r="C156" s="14" t="s">
        <v>471</v>
      </c>
      <c r="D156" s="3"/>
      <c r="E156" s="12">
        <v>46238</v>
      </c>
      <c r="F156" s="7">
        <v>1</v>
      </c>
      <c r="G156" s="15">
        <f>(D156-(0)+0-(F156*Ventas!AE237*1))</f>
        <v>0</v>
      </c>
      <c r="H156" s="3"/>
      <c r="I156" s="8">
        <v>120</v>
      </c>
      <c r="J156" s="15">
        <f>IF(G156&gt;0,G156+I156,I156)</f>
        <v>120</v>
      </c>
      <c r="K156" s="15">
        <v>6.01</v>
      </c>
      <c r="L156" s="3"/>
      <c r="M156" s="3"/>
      <c r="N156" s="12">
        <v>46275</v>
      </c>
      <c r="O156" s="7">
        <v>37</v>
      </c>
      <c r="P156" s="15">
        <f>(IF(G156&gt;0,G156+I156,I156)-(O156*Ventas!AE237*1))</f>
        <v>120</v>
      </c>
      <c r="Q156" s="3"/>
      <c r="R156" s="8">
        <v>0</v>
      </c>
      <c r="S156" s="15">
        <f>IF(P156&gt;0,P156+R156,R156)</f>
        <v>120</v>
      </c>
      <c r="T156" s="3"/>
      <c r="U156" s="86">
        <v>40</v>
      </c>
      <c r="V156" s="3"/>
      <c r="W156" s="12">
        <v>46331</v>
      </c>
      <c r="X156" s="7">
        <v>56</v>
      </c>
      <c r="Y156" s="15">
        <f>(IF(P156&gt;0,P156+R156,R156)-(X156*Ventas!AE237*1))</f>
        <v>120</v>
      </c>
      <c r="Z156" s="3"/>
      <c r="AA156" s="15">
        <f>(120*(Ventas!AE237*1) - IF(Y156&gt;0,Y156,0))</f>
        <v>-120</v>
      </c>
      <c r="AB156" s="15">
        <v>120</v>
      </c>
      <c r="AC156" s="15">
        <f>IF(Y156&gt;0,Y156+IF(AB156&gt;0,AB156,0),AB156)</f>
        <v>240</v>
      </c>
      <c r="AD156" s="16">
        <v>6.01</v>
      </c>
      <c r="AE156" s="8">
        <v>3025</v>
      </c>
      <c r="AF156" s="3"/>
      <c r="AG156" s="3"/>
      <c r="AH156" s="1" t="s">
        <v>35</v>
      </c>
      <c r="AI156">
        <f t="shared" si="2"/>
        <v>721.19999999999993</v>
      </c>
    </row>
    <row r="157" spans="1:35" x14ac:dyDescent="0.25">
      <c r="A157" s="1"/>
      <c r="B157" s="1" t="s">
        <v>474</v>
      </c>
      <c r="C157" s="14" t="s">
        <v>475</v>
      </c>
      <c r="D157" s="3"/>
      <c r="E157" s="12">
        <v>46238</v>
      </c>
      <c r="F157" s="7">
        <v>1</v>
      </c>
      <c r="G157" s="15">
        <f>(D157-(0)+0-(F157*Ventas!AE239*1))</f>
        <v>0</v>
      </c>
      <c r="H157" s="3"/>
      <c r="I157" s="8">
        <v>208</v>
      </c>
      <c r="J157" s="15">
        <f>IF(G157&gt;0,G157+I157,I157)</f>
        <v>208</v>
      </c>
      <c r="K157" s="15">
        <v>0.9</v>
      </c>
      <c r="L157" s="3">
        <v>52</v>
      </c>
      <c r="M157" s="3"/>
      <c r="N157" s="12">
        <v>46275</v>
      </c>
      <c r="O157" s="7">
        <v>37</v>
      </c>
      <c r="P157" s="15">
        <f>(IF(G157&gt;0,G157+I157,I157)-(O157*Ventas!AE239*1))</f>
        <v>208</v>
      </c>
      <c r="Q157" s="3"/>
      <c r="R157" s="8">
        <v>0</v>
      </c>
      <c r="S157" s="15">
        <f>IF(P157&gt;0,P157+R157,R157)</f>
        <v>208</v>
      </c>
      <c r="T157" s="3"/>
      <c r="U157" s="86">
        <v>52</v>
      </c>
      <c r="V157" s="3"/>
      <c r="W157" s="12">
        <v>46331</v>
      </c>
      <c r="X157" s="7">
        <v>56</v>
      </c>
      <c r="Y157" s="15">
        <f>(IF(P157&gt;0,P157+R157,R157)-(X157*Ventas!AE239*1))</f>
        <v>208</v>
      </c>
      <c r="Z157" s="3"/>
      <c r="AA157" s="15">
        <f>(120*(Ventas!AE239*1) - IF(Y157&gt;0,Y157,0))</f>
        <v>-208</v>
      </c>
      <c r="AB157" s="15">
        <v>0</v>
      </c>
      <c r="AC157" s="15">
        <f>IF(Y157&gt;0,Y157+IF(AB157&gt;0,AB157,0),AB157)</f>
        <v>208</v>
      </c>
      <c r="AD157" s="16">
        <v>0.9</v>
      </c>
      <c r="AE157" s="8">
        <v>3025</v>
      </c>
      <c r="AF157" s="3"/>
      <c r="AG157" s="3"/>
      <c r="AH157" s="1" t="s">
        <v>35</v>
      </c>
      <c r="AI157">
        <f t="shared" si="2"/>
        <v>0</v>
      </c>
    </row>
    <row r="158" spans="1:35" x14ac:dyDescent="0.25">
      <c r="A158" s="1"/>
      <c r="B158" s="29" t="s">
        <v>476</v>
      </c>
      <c r="C158" s="14" t="s">
        <v>477</v>
      </c>
      <c r="D158" s="3"/>
      <c r="E158" s="12">
        <v>46238</v>
      </c>
      <c r="F158" s="7">
        <v>1</v>
      </c>
      <c r="G158" s="15">
        <f>(D158-(0)+0-(F158*Ventas!AE240*1))</f>
        <v>0</v>
      </c>
      <c r="H158" s="3"/>
      <c r="I158" s="8">
        <v>104</v>
      </c>
      <c r="J158" s="15">
        <f>IF(G158&gt;0,G158+I158,I158)</f>
        <v>104</v>
      </c>
      <c r="K158" s="15">
        <v>1.28</v>
      </c>
      <c r="L158" s="3">
        <v>52</v>
      </c>
      <c r="M158" s="3"/>
      <c r="N158" s="12">
        <v>46275</v>
      </c>
      <c r="O158" s="7">
        <v>37</v>
      </c>
      <c r="P158" s="15">
        <f>(IF(G158&gt;0,G158+I158,I158)-(O158*Ventas!AE240*1))</f>
        <v>104</v>
      </c>
      <c r="Q158" s="3"/>
      <c r="R158" s="8">
        <v>0</v>
      </c>
      <c r="S158" s="15">
        <f>IF(P158&gt;0,P158+R158,R158)</f>
        <v>104</v>
      </c>
      <c r="T158" s="3"/>
      <c r="U158" s="86">
        <v>52</v>
      </c>
      <c r="V158" s="3"/>
      <c r="W158" s="12">
        <v>46331</v>
      </c>
      <c r="X158" s="7">
        <v>56</v>
      </c>
      <c r="Y158" s="15">
        <f>(IF(P158&gt;0,P158+R158,R158)-(X158*Ventas!AE240*1))</f>
        <v>104</v>
      </c>
      <c r="Z158" s="3"/>
      <c r="AA158" s="15">
        <f>(120*(Ventas!AE240*1) - IF(Y158&gt;0,Y158,0))</f>
        <v>-104</v>
      </c>
      <c r="AB158" s="15">
        <v>0</v>
      </c>
      <c r="AC158" s="15">
        <f>IF(Y158&gt;0,Y158+IF(AB158&gt;0,AB158,0),AB158)</f>
        <v>104</v>
      </c>
      <c r="AD158" s="16">
        <v>1.28</v>
      </c>
      <c r="AE158" s="8">
        <v>3025</v>
      </c>
      <c r="AF158" s="3"/>
      <c r="AG158" s="3"/>
      <c r="AH158" s="1" t="s">
        <v>35</v>
      </c>
      <c r="AI158">
        <f t="shared" si="2"/>
        <v>0</v>
      </c>
    </row>
    <row r="159" spans="1:35" x14ac:dyDescent="0.25">
      <c r="A159" s="1"/>
      <c r="B159" s="1" t="s">
        <v>478</v>
      </c>
      <c r="C159" s="14" t="s">
        <v>479</v>
      </c>
      <c r="D159" s="3"/>
      <c r="E159" s="12">
        <v>46238</v>
      </c>
      <c r="F159" s="7">
        <v>1</v>
      </c>
      <c r="G159" s="15">
        <f>(D159-(0)+0-(F159*Ventas!AE241*1))</f>
        <v>0</v>
      </c>
      <c r="H159" s="3"/>
      <c r="I159" s="8">
        <v>104</v>
      </c>
      <c r="J159" s="15">
        <f>IF(G159&gt;0,G159+I159,I159)</f>
        <v>104</v>
      </c>
      <c r="K159" s="15">
        <v>1.28</v>
      </c>
      <c r="L159" s="3">
        <v>52</v>
      </c>
      <c r="M159" s="3"/>
      <c r="N159" s="12">
        <v>46275</v>
      </c>
      <c r="O159" s="7">
        <v>37</v>
      </c>
      <c r="P159" s="15">
        <f>(IF(G159&gt;0,G159+I159,I159)-(O159*Ventas!AE241*1))</f>
        <v>104</v>
      </c>
      <c r="Q159" s="3"/>
      <c r="R159" s="8">
        <v>0</v>
      </c>
      <c r="S159" s="15">
        <f>IF(P159&gt;0,P159+R159,R159)</f>
        <v>104</v>
      </c>
      <c r="T159" s="3"/>
      <c r="U159" s="86">
        <v>52</v>
      </c>
      <c r="V159" s="3"/>
      <c r="W159" s="12">
        <v>46331</v>
      </c>
      <c r="X159" s="7">
        <v>56</v>
      </c>
      <c r="Y159" s="15">
        <f>(IF(P159&gt;0,P159+R159,R159)-(X159*Ventas!AE241*1))</f>
        <v>104</v>
      </c>
      <c r="Z159" s="3"/>
      <c r="AA159" s="15">
        <f>(120*(Ventas!AE241*1) - IF(Y159&gt;0,Y159,0))</f>
        <v>-104</v>
      </c>
      <c r="AB159" s="15">
        <v>0</v>
      </c>
      <c r="AC159" s="15">
        <f>IF(Y159&gt;0,Y159+IF(AB159&gt;0,AB159,0),AB159)</f>
        <v>104</v>
      </c>
      <c r="AD159" s="16">
        <v>1.28</v>
      </c>
      <c r="AE159" s="8">
        <v>3025</v>
      </c>
      <c r="AF159" s="3"/>
      <c r="AG159" s="3"/>
      <c r="AH159" s="1" t="s">
        <v>35</v>
      </c>
      <c r="AI159">
        <f t="shared" si="2"/>
        <v>0</v>
      </c>
    </row>
    <row r="160" spans="1:35" x14ac:dyDescent="0.25">
      <c r="A160" s="1"/>
      <c r="B160" s="31" t="s">
        <v>480</v>
      </c>
      <c r="C160" s="14" t="s">
        <v>481</v>
      </c>
      <c r="D160" s="3"/>
      <c r="E160" s="12">
        <v>46238</v>
      </c>
      <c r="F160" s="7">
        <v>1</v>
      </c>
      <c r="G160" s="15">
        <f>(D160-(0)+0-(F160*Ventas!AE242*1))</f>
        <v>0</v>
      </c>
      <c r="H160" s="3"/>
      <c r="I160" s="8">
        <v>52</v>
      </c>
      <c r="J160" s="15">
        <f>IF(G160&gt;0,G160+I160,I160)</f>
        <v>52</v>
      </c>
      <c r="K160" s="15">
        <v>1.28</v>
      </c>
      <c r="L160" s="3">
        <v>52</v>
      </c>
      <c r="M160" s="3"/>
      <c r="N160" s="12">
        <v>46275</v>
      </c>
      <c r="O160" s="7">
        <v>37</v>
      </c>
      <c r="P160" s="15">
        <f>(IF(G160&gt;0,G160+I160,I160)-(O160*Ventas!AE242*1))</f>
        <v>52</v>
      </c>
      <c r="Q160" s="3"/>
      <c r="R160" s="8">
        <v>0</v>
      </c>
      <c r="S160" s="15">
        <f>IF(P160&gt;0,P160+R160,R160)</f>
        <v>52</v>
      </c>
      <c r="T160" s="3"/>
      <c r="U160" s="86">
        <v>52</v>
      </c>
      <c r="V160" s="3"/>
      <c r="W160" s="12">
        <v>46331</v>
      </c>
      <c r="X160" s="7">
        <v>56</v>
      </c>
      <c r="Y160" s="15">
        <f>(IF(P160&gt;0,P160+R160,R160)-(X160*Ventas!AE242*1))</f>
        <v>52</v>
      </c>
      <c r="Z160" s="3"/>
      <c r="AA160" s="15">
        <f>(120*(Ventas!AE242*1) - IF(Y160&gt;0,Y160,0))</f>
        <v>-52</v>
      </c>
      <c r="AB160" s="15">
        <v>0</v>
      </c>
      <c r="AC160" s="15">
        <f>IF(Y160&gt;0,Y160+IF(AB160&gt;0,AB160,0),AB160)</f>
        <v>52</v>
      </c>
      <c r="AD160" s="16">
        <v>1.28</v>
      </c>
      <c r="AE160" s="8">
        <v>3025</v>
      </c>
      <c r="AF160" s="3"/>
      <c r="AG160" s="3"/>
      <c r="AH160" s="1" t="s">
        <v>35</v>
      </c>
      <c r="AI160">
        <f t="shared" si="2"/>
        <v>0</v>
      </c>
    </row>
    <row r="161" spans="1:35" x14ac:dyDescent="0.25">
      <c r="A161" s="1"/>
      <c r="B161" s="1" t="s">
        <v>482</v>
      </c>
      <c r="C161" s="14" t="s">
        <v>483</v>
      </c>
      <c r="D161" s="3"/>
      <c r="E161" s="12">
        <v>46238</v>
      </c>
      <c r="F161" s="7">
        <v>1</v>
      </c>
      <c r="G161" s="15">
        <f>(D161-(0)+0-(F161*Ventas!AE243*1))</f>
        <v>0</v>
      </c>
      <c r="H161" s="3"/>
      <c r="I161" s="8">
        <v>0</v>
      </c>
      <c r="J161" s="15">
        <f>IF(G161&gt;0,G161+I161,I161)</f>
        <v>0</v>
      </c>
      <c r="K161" s="3"/>
      <c r="L161" s="3">
        <v>52</v>
      </c>
      <c r="M161" s="3"/>
      <c r="N161" s="12">
        <v>46275</v>
      </c>
      <c r="O161" s="7">
        <v>37</v>
      </c>
      <c r="P161" s="15">
        <f>(IF(G161&gt;0,G161+I161,I161)-(O161*Ventas!AE243*1))</f>
        <v>0</v>
      </c>
      <c r="Q161" s="3"/>
      <c r="R161" s="8">
        <v>0</v>
      </c>
      <c r="S161" s="15">
        <f>IF(P161&gt;0,P161+R161,R161)</f>
        <v>0</v>
      </c>
      <c r="T161" s="3"/>
      <c r="U161" s="3">
        <v>52</v>
      </c>
      <c r="V161" s="3"/>
      <c r="W161" s="12">
        <v>46331</v>
      </c>
      <c r="X161" s="7">
        <v>56</v>
      </c>
      <c r="Y161" s="15">
        <f>(IF(P161&gt;0,P161+R161,R161)-(X161*Ventas!AE243*1))</f>
        <v>0</v>
      </c>
      <c r="Z161" s="3"/>
      <c r="AA161" s="15">
        <f>(120*(Ventas!AE243*1) - IF(Y161&gt;0,Y161,0))</f>
        <v>0</v>
      </c>
      <c r="AB161" s="15">
        <v>0</v>
      </c>
      <c r="AC161" s="15">
        <f>IF(Y161&gt;0,Y161+IF(AB161&gt;0,AB161,0),AB161)</f>
        <v>0</v>
      </c>
      <c r="AD161" s="3"/>
      <c r="AE161" s="3"/>
      <c r="AF161" s="3"/>
      <c r="AG161" s="3"/>
      <c r="AH161" s="1" t="s">
        <v>35</v>
      </c>
      <c r="AI161">
        <f t="shared" si="2"/>
        <v>0</v>
      </c>
    </row>
    <row r="162" spans="1:35" x14ac:dyDescent="0.25">
      <c r="A162" s="1"/>
      <c r="B162" s="1" t="s">
        <v>484</v>
      </c>
      <c r="C162" s="14" t="s">
        <v>485</v>
      </c>
      <c r="D162" s="3"/>
      <c r="E162" s="12">
        <v>46238</v>
      </c>
      <c r="F162" s="7">
        <v>1</v>
      </c>
      <c r="G162" s="15">
        <f>(D162-(0)+0-(F162*Ventas!AE244*1))</f>
        <v>0</v>
      </c>
      <c r="H162" s="3"/>
      <c r="I162" s="8">
        <v>1</v>
      </c>
      <c r="J162" s="15">
        <f>IF(G162&gt;0,G162+I162,I162)</f>
        <v>1</v>
      </c>
      <c r="K162" s="3"/>
      <c r="L162" s="3"/>
      <c r="M162" s="3"/>
      <c r="N162" s="12">
        <v>46275</v>
      </c>
      <c r="O162" s="7">
        <v>37</v>
      </c>
      <c r="P162" s="15">
        <f>(IF(G162&gt;0,G162+I162,I162)-(O162*Ventas!AE244*1))</f>
        <v>1</v>
      </c>
      <c r="Q162" s="3"/>
      <c r="R162" s="8">
        <v>0</v>
      </c>
      <c r="S162" s="15">
        <f>IF(P162&gt;0,P162+R162,R162)</f>
        <v>1</v>
      </c>
      <c r="T162" s="3"/>
      <c r="U162" s="3"/>
      <c r="V162" s="3"/>
      <c r="W162" s="12">
        <v>46331</v>
      </c>
      <c r="X162" s="7">
        <v>56</v>
      </c>
      <c r="Y162" s="15">
        <f>(IF(P162&gt;0,P162+R162,R162)-(X162*Ventas!AE244*1))</f>
        <v>1</v>
      </c>
      <c r="Z162" s="3"/>
      <c r="AA162" s="15">
        <f>(120*(Ventas!AE244*1) - IF(Y162&gt;0,Y162,0))</f>
        <v>-1</v>
      </c>
      <c r="AB162" s="15">
        <v>0</v>
      </c>
      <c r="AC162" s="15">
        <f>IF(Y162&gt;0,Y162+IF(AB162&gt;0,AB162,0),AB162)</f>
        <v>1</v>
      </c>
      <c r="AD162" s="3"/>
      <c r="AE162" s="8">
        <v>3025</v>
      </c>
      <c r="AF162" s="3"/>
      <c r="AG162" s="3"/>
      <c r="AH162" s="1" t="s">
        <v>35</v>
      </c>
      <c r="AI162">
        <f t="shared" si="2"/>
        <v>0</v>
      </c>
    </row>
    <row r="163" spans="1:35" x14ac:dyDescent="0.25">
      <c r="A163" s="1"/>
      <c r="B163" s="1" t="s">
        <v>486</v>
      </c>
      <c r="C163" s="14" t="s">
        <v>487</v>
      </c>
      <c r="D163" s="3"/>
      <c r="E163" s="12">
        <v>46238</v>
      </c>
      <c r="F163" s="7">
        <v>1</v>
      </c>
      <c r="G163" s="15">
        <f>(D163-(0)+0-(F163*Ventas!AE245*1))</f>
        <v>0</v>
      </c>
      <c r="H163" s="3"/>
      <c r="I163" s="8">
        <v>1</v>
      </c>
      <c r="J163" s="15">
        <f>IF(G163&gt;0,G163+I163,I163)</f>
        <v>1</v>
      </c>
      <c r="K163" s="3"/>
      <c r="L163" s="3"/>
      <c r="M163" s="3"/>
      <c r="N163" s="12">
        <v>46275</v>
      </c>
      <c r="O163" s="7">
        <v>37</v>
      </c>
      <c r="P163" s="15">
        <f>(IF(G163&gt;0,G163+I163,I163)-(O163*Ventas!AE245*1))</f>
        <v>1</v>
      </c>
      <c r="Q163" s="3"/>
      <c r="R163" s="8">
        <v>0</v>
      </c>
      <c r="S163" s="15">
        <f>IF(P163&gt;0,P163+R163,R163)</f>
        <v>1</v>
      </c>
      <c r="T163" s="3"/>
      <c r="U163" s="3"/>
      <c r="V163" s="3"/>
      <c r="W163" s="12">
        <v>46331</v>
      </c>
      <c r="X163" s="7">
        <v>56</v>
      </c>
      <c r="Y163" s="15">
        <f>(IF(P163&gt;0,P163+R163,R163)-(X163*Ventas!AE245*1))</f>
        <v>1</v>
      </c>
      <c r="Z163" s="3"/>
      <c r="AA163" s="15">
        <f>(120*(Ventas!AE245*1) - IF(Y163&gt;0,Y163,0))</f>
        <v>-1</v>
      </c>
      <c r="AB163" s="15">
        <v>0</v>
      </c>
      <c r="AC163" s="15">
        <f>IF(Y163&gt;0,Y163+IF(AB163&gt;0,AB163,0),AB163)</f>
        <v>1</v>
      </c>
      <c r="AD163" s="3"/>
      <c r="AE163" s="8">
        <v>3025</v>
      </c>
      <c r="AF163" s="3"/>
      <c r="AG163" s="3"/>
      <c r="AH163" s="1" t="s">
        <v>35</v>
      </c>
      <c r="AI163">
        <f t="shared" si="2"/>
        <v>0</v>
      </c>
    </row>
    <row r="164" spans="1:35" x14ac:dyDescent="0.25">
      <c r="A164" s="1"/>
      <c r="B164" s="1" t="s">
        <v>488</v>
      </c>
      <c r="C164" s="14" t="s">
        <v>489</v>
      </c>
      <c r="D164" s="3"/>
      <c r="E164" s="12">
        <v>46238</v>
      </c>
      <c r="F164" s="7">
        <v>1</v>
      </c>
      <c r="G164" s="15">
        <f>(D164-(0)+0-(F164*Ventas!AE246*1))</f>
        <v>0</v>
      </c>
      <c r="H164" s="3"/>
      <c r="I164" s="8">
        <v>1</v>
      </c>
      <c r="J164" s="15">
        <f>IF(G164&gt;0,G164+I164,I164)</f>
        <v>1</v>
      </c>
      <c r="K164" s="3"/>
      <c r="L164" s="3"/>
      <c r="M164" s="3"/>
      <c r="N164" s="12">
        <v>46275</v>
      </c>
      <c r="O164" s="7">
        <v>37</v>
      </c>
      <c r="P164" s="15">
        <f>(IF(G164&gt;0,G164+I164,I164)-(O164*Ventas!AE246*1))</f>
        <v>1</v>
      </c>
      <c r="Q164" s="3"/>
      <c r="R164" s="8">
        <v>0</v>
      </c>
      <c r="S164" s="15">
        <f>IF(P164&gt;0,P164+R164,R164)</f>
        <v>1</v>
      </c>
      <c r="T164" s="3"/>
      <c r="U164" s="3"/>
      <c r="V164" s="3"/>
      <c r="W164" s="12">
        <v>46331</v>
      </c>
      <c r="X164" s="7">
        <v>56</v>
      </c>
      <c r="Y164" s="15">
        <f>(IF(P164&gt;0,P164+R164,R164)-(X164*Ventas!AE246*1))</f>
        <v>1</v>
      </c>
      <c r="Z164" s="3"/>
      <c r="AA164" s="15">
        <f>(120*(Ventas!AE246*1) - IF(Y164&gt;0,Y164,0))</f>
        <v>-1</v>
      </c>
      <c r="AB164" s="15">
        <v>0</v>
      </c>
      <c r="AC164" s="15">
        <f>IF(Y164&gt;0,Y164+IF(AB164&gt;0,AB164,0),AB164)</f>
        <v>1</v>
      </c>
      <c r="AD164" s="3"/>
      <c r="AE164" s="8">
        <v>3025</v>
      </c>
      <c r="AF164" s="3"/>
      <c r="AG164" s="3"/>
      <c r="AH164" s="1" t="s">
        <v>35</v>
      </c>
      <c r="AI164">
        <f t="shared" si="2"/>
        <v>0</v>
      </c>
    </row>
    <row r="165" spans="1:35" x14ac:dyDescent="0.25">
      <c r="A165" s="1"/>
      <c r="B165" s="1" t="s">
        <v>490</v>
      </c>
      <c r="C165" s="14" t="s">
        <v>491</v>
      </c>
      <c r="D165" s="3"/>
      <c r="E165" s="12">
        <v>46238</v>
      </c>
      <c r="F165" s="7">
        <v>1</v>
      </c>
      <c r="G165" s="15">
        <f>(D165-(0)+0-(F165*Ventas!AE247*1))</f>
        <v>0</v>
      </c>
      <c r="H165" s="3"/>
      <c r="I165" s="8">
        <v>1</v>
      </c>
      <c r="J165" s="15">
        <f>IF(G165&gt;0,G165+I165,I165)</f>
        <v>1</v>
      </c>
      <c r="K165" s="3"/>
      <c r="L165" s="3">
        <v>52</v>
      </c>
      <c r="M165" s="3"/>
      <c r="N165" s="12">
        <v>46275</v>
      </c>
      <c r="O165" s="7">
        <v>37</v>
      </c>
      <c r="P165" s="15">
        <f>(IF(G165&gt;0,G165+I165,I165)-(O165*Ventas!AE247*1))</f>
        <v>1</v>
      </c>
      <c r="Q165" s="3"/>
      <c r="R165" s="8">
        <v>0</v>
      </c>
      <c r="S165" s="15">
        <f>IF(P165&gt;0,P165+R165,R165)</f>
        <v>1</v>
      </c>
      <c r="T165" s="3"/>
      <c r="U165" s="3">
        <v>52</v>
      </c>
      <c r="V165" s="3"/>
      <c r="W165" s="12">
        <v>46331</v>
      </c>
      <c r="X165" s="7">
        <v>56</v>
      </c>
      <c r="Y165" s="15">
        <f>(IF(P165&gt;0,P165+R165,R165)-(X165*Ventas!AE247*1))</f>
        <v>1</v>
      </c>
      <c r="Z165" s="3"/>
      <c r="AA165" s="15">
        <f>(120*(Ventas!AE247*1) - IF(Y165&gt;0,Y165,0))</f>
        <v>-1</v>
      </c>
      <c r="AB165" s="15">
        <v>0</v>
      </c>
      <c r="AC165" s="15">
        <f>IF(Y165&gt;0,Y165+IF(AB165&gt;0,AB165,0),AB165)</f>
        <v>1</v>
      </c>
      <c r="AD165" s="3"/>
      <c r="AE165" s="8">
        <v>3025</v>
      </c>
      <c r="AF165" s="3"/>
      <c r="AG165" s="3"/>
      <c r="AH165" s="1" t="s">
        <v>35</v>
      </c>
      <c r="AI165">
        <f t="shared" si="2"/>
        <v>0</v>
      </c>
    </row>
    <row r="166" spans="1:35" x14ac:dyDescent="0.25">
      <c r="A166" s="1"/>
      <c r="B166" s="1" t="s">
        <v>492</v>
      </c>
      <c r="C166" s="14" t="s">
        <v>493</v>
      </c>
      <c r="D166" s="3"/>
      <c r="E166" s="12">
        <v>46238</v>
      </c>
      <c r="F166" s="7">
        <v>1</v>
      </c>
      <c r="G166" s="15">
        <f>(D166-(0)+0-(F166*Ventas!AE248*1))</f>
        <v>0</v>
      </c>
      <c r="H166" s="3"/>
      <c r="I166" s="8">
        <v>1</v>
      </c>
      <c r="J166" s="15">
        <f>IF(G166&gt;0,G166+I166,I166)</f>
        <v>1</v>
      </c>
      <c r="K166" s="3"/>
      <c r="L166" s="3">
        <v>52</v>
      </c>
      <c r="M166" s="3"/>
      <c r="N166" s="12">
        <v>46275</v>
      </c>
      <c r="O166" s="7">
        <v>37</v>
      </c>
      <c r="P166" s="15">
        <f>(IF(G166&gt;0,G166+I166,I166)-(O166*Ventas!AE248*1))</f>
        <v>1</v>
      </c>
      <c r="Q166" s="3"/>
      <c r="R166" s="8">
        <v>0</v>
      </c>
      <c r="S166" s="15">
        <f>IF(P166&gt;0,P166+R166,R166)</f>
        <v>1</v>
      </c>
      <c r="T166" s="3"/>
      <c r="U166" s="3">
        <v>52</v>
      </c>
      <c r="V166" s="3"/>
      <c r="W166" s="12">
        <v>46331</v>
      </c>
      <c r="X166" s="7">
        <v>56</v>
      </c>
      <c r="Y166" s="15">
        <f>(IF(P166&gt;0,P166+R166,R166)-(X166*Ventas!AE248*1))</f>
        <v>1</v>
      </c>
      <c r="Z166" s="3"/>
      <c r="AA166" s="15">
        <f>(120*(Ventas!AE248*1) - IF(Y166&gt;0,Y166,0))</f>
        <v>-1</v>
      </c>
      <c r="AB166" s="15">
        <v>0</v>
      </c>
      <c r="AC166" s="15">
        <f>IF(Y166&gt;0,Y166+IF(AB166&gt;0,AB166,0),AB166)</f>
        <v>1</v>
      </c>
      <c r="AD166" s="3"/>
      <c r="AE166" s="8">
        <v>3025</v>
      </c>
      <c r="AF166" s="3"/>
      <c r="AG166" s="3"/>
      <c r="AH166" s="1" t="s">
        <v>35</v>
      </c>
      <c r="AI166">
        <f t="shared" si="2"/>
        <v>0</v>
      </c>
    </row>
    <row r="167" spans="1:35" x14ac:dyDescent="0.25">
      <c r="A167" s="1"/>
      <c r="B167" s="1" t="s">
        <v>494</v>
      </c>
      <c r="C167" s="14" t="s">
        <v>495</v>
      </c>
      <c r="D167" s="3"/>
      <c r="E167" s="12">
        <v>46238</v>
      </c>
      <c r="F167" s="7">
        <v>1</v>
      </c>
      <c r="G167" s="15">
        <f>(D167-(0)+0-(F167*Ventas!AE249*1))</f>
        <v>0</v>
      </c>
      <c r="H167" s="3"/>
      <c r="I167" s="8">
        <v>1</v>
      </c>
      <c r="J167" s="15">
        <f>IF(G167&gt;0,G167+I167,I167)</f>
        <v>1</v>
      </c>
      <c r="K167" s="3"/>
      <c r="L167" s="3">
        <v>52</v>
      </c>
      <c r="M167" s="3"/>
      <c r="N167" s="12">
        <v>46275</v>
      </c>
      <c r="O167" s="7">
        <v>37</v>
      </c>
      <c r="P167" s="15">
        <f>(IF(G167&gt;0,G167+I167,I167)-(O167*Ventas!AE249*1))</f>
        <v>1</v>
      </c>
      <c r="Q167" s="3"/>
      <c r="R167" s="8">
        <v>0</v>
      </c>
      <c r="S167" s="15">
        <f>IF(P167&gt;0,P167+R167,R167)</f>
        <v>1</v>
      </c>
      <c r="T167" s="3"/>
      <c r="U167" s="3">
        <v>52</v>
      </c>
      <c r="V167" s="3"/>
      <c r="W167" s="12">
        <v>46331</v>
      </c>
      <c r="X167" s="7">
        <v>56</v>
      </c>
      <c r="Y167" s="15">
        <f>(IF(P167&gt;0,P167+R167,R167)-(X167*Ventas!AE249*1))</f>
        <v>1</v>
      </c>
      <c r="Z167" s="3"/>
      <c r="AA167" s="15">
        <f>(120*(Ventas!AE249*1) - IF(Y167&gt;0,Y167,0))</f>
        <v>-1</v>
      </c>
      <c r="AB167" s="15">
        <v>0</v>
      </c>
      <c r="AC167" s="15">
        <f>IF(Y167&gt;0,Y167+IF(AB167&gt;0,AB167,0),AB167)</f>
        <v>1</v>
      </c>
      <c r="AD167" s="3"/>
      <c r="AE167" s="8">
        <v>3025</v>
      </c>
      <c r="AF167" s="3"/>
      <c r="AG167" s="3"/>
      <c r="AH167" s="1" t="s">
        <v>35</v>
      </c>
      <c r="AI167">
        <f t="shared" si="2"/>
        <v>0</v>
      </c>
    </row>
    <row r="168" spans="1:35" x14ac:dyDescent="0.25">
      <c r="A168" s="1"/>
      <c r="B168" s="1" t="s">
        <v>496</v>
      </c>
      <c r="C168" s="14" t="s">
        <v>497</v>
      </c>
      <c r="D168" s="3"/>
      <c r="E168" s="12">
        <v>46238</v>
      </c>
      <c r="F168" s="7">
        <v>1</v>
      </c>
      <c r="G168" s="15">
        <f>(D168-(0)+0-(F168*Ventas!AE250*1))</f>
        <v>0</v>
      </c>
      <c r="H168" s="3"/>
      <c r="I168" s="8">
        <v>0</v>
      </c>
      <c r="J168" s="15">
        <f>IF(G168&gt;0,G168+I168,I168)</f>
        <v>0</v>
      </c>
      <c r="K168" s="3"/>
      <c r="L168" s="3">
        <v>9</v>
      </c>
      <c r="M168" s="3"/>
      <c r="N168" s="12">
        <v>46275</v>
      </c>
      <c r="O168" s="7">
        <v>37</v>
      </c>
      <c r="P168" s="15">
        <f>(IF(G168&gt;0,G168+I168,I168)-(O168*Ventas!AE250*1))</f>
        <v>0</v>
      </c>
      <c r="Q168" s="3"/>
      <c r="R168" s="8">
        <v>18</v>
      </c>
      <c r="S168" s="15">
        <f>IF(P168&gt;0,P168+R168,R168)</f>
        <v>18</v>
      </c>
      <c r="T168" s="15">
        <v>11.36</v>
      </c>
      <c r="U168" s="3">
        <v>9</v>
      </c>
      <c r="V168" s="3"/>
      <c r="W168" s="12">
        <v>46331</v>
      </c>
      <c r="X168" s="7">
        <v>56</v>
      </c>
      <c r="Y168" s="15">
        <f>(IF(P168&gt;0,P168+R168,R168)-(X168*Ventas!AE250*1))</f>
        <v>18</v>
      </c>
      <c r="Z168" s="3"/>
      <c r="AA168" s="15">
        <f>(120*(Ventas!AE250*1) - IF(Y168&gt;0,Y168,0))</f>
        <v>-18</v>
      </c>
      <c r="AB168" s="15">
        <v>0</v>
      </c>
      <c r="AC168" s="15">
        <f>IF(Y168&gt;0,Y168+IF(AB168&gt;0,AB168,0),AB168)</f>
        <v>18</v>
      </c>
      <c r="AD168" s="3"/>
      <c r="AE168" s="3"/>
      <c r="AF168" s="3"/>
      <c r="AG168" s="3"/>
      <c r="AH168" s="1" t="s">
        <v>32</v>
      </c>
      <c r="AI168">
        <f t="shared" si="2"/>
        <v>0</v>
      </c>
    </row>
    <row r="169" spans="1:35" x14ac:dyDescent="0.25">
      <c r="A169" s="1"/>
      <c r="B169" s="1" t="s">
        <v>498</v>
      </c>
      <c r="C169" s="14" t="s">
        <v>499</v>
      </c>
      <c r="D169" s="3"/>
      <c r="E169" s="12">
        <v>46238</v>
      </c>
      <c r="F169" s="7">
        <v>1</v>
      </c>
      <c r="G169" s="15">
        <f>(D169-(0)+0-(F169*Ventas!AE21*1.3))</f>
        <v>0</v>
      </c>
      <c r="H169" s="3"/>
      <c r="I169" s="8">
        <v>0</v>
      </c>
      <c r="J169" s="15">
        <f>IF(G169&gt;0,G169+I169,I169)</f>
        <v>0</v>
      </c>
      <c r="K169" s="3"/>
      <c r="L169" s="15">
        <v>10</v>
      </c>
      <c r="M169" s="17">
        <v>1E-3</v>
      </c>
      <c r="N169" s="12">
        <v>46275</v>
      </c>
      <c r="O169" s="7">
        <v>37</v>
      </c>
      <c r="P169" s="15">
        <f>(IF(G169&gt;0,G169+I169,I169)-(O169*Ventas!AE21*1.1649))</f>
        <v>0</v>
      </c>
      <c r="Q169" s="3"/>
      <c r="R169" s="8">
        <v>0</v>
      </c>
      <c r="S169" s="15">
        <f>IF(P169&gt;0,P169+R169,R169)</f>
        <v>0</v>
      </c>
      <c r="T169" s="3"/>
      <c r="U169" s="15">
        <v>10</v>
      </c>
      <c r="V169" s="17">
        <v>1E-3</v>
      </c>
      <c r="W169" s="12">
        <v>46331</v>
      </c>
      <c r="X169" s="7">
        <v>56</v>
      </c>
      <c r="Y169" s="15">
        <f>(IF(P169&gt;0,P169+R169,R169)-(X169*Ventas!AE21*0.8357))</f>
        <v>0</v>
      </c>
      <c r="Z169" s="3"/>
      <c r="AA169" s="15">
        <f>(120*(Ventas!AE21*1.3117) - IF(Y169&gt;0,Y169,0))</f>
        <v>0</v>
      </c>
      <c r="AB169" s="15">
        <v>0</v>
      </c>
      <c r="AC169" s="15">
        <f>IF(Y169&gt;0,Y169+IF(AB169&gt;0,AB169,0),AB169)</f>
        <v>0</v>
      </c>
      <c r="AD169" s="3"/>
      <c r="AE169" s="3"/>
      <c r="AF169" s="3"/>
      <c r="AG169" s="3"/>
      <c r="AH169" s="1" t="s">
        <v>35</v>
      </c>
      <c r="AI169">
        <f t="shared" si="2"/>
        <v>0</v>
      </c>
    </row>
    <row r="170" spans="1:35" x14ac:dyDescent="0.25">
      <c r="A170" s="1"/>
      <c r="B170" s="1" t="s">
        <v>500</v>
      </c>
      <c r="C170" s="14" t="s">
        <v>501</v>
      </c>
      <c r="D170" s="3"/>
      <c r="E170" s="12">
        <v>46238</v>
      </c>
      <c r="F170" s="7">
        <v>1</v>
      </c>
      <c r="G170" s="15">
        <f>(D170-(0)+0-(F170*Ventas!AE22*1.3))</f>
        <v>0</v>
      </c>
      <c r="H170" s="3"/>
      <c r="I170" s="8">
        <v>0</v>
      </c>
      <c r="J170" s="15">
        <f>IF(G170&gt;0,G170+I170,I170)</f>
        <v>0</v>
      </c>
      <c r="K170" s="3"/>
      <c r="L170" s="15">
        <v>10</v>
      </c>
      <c r="M170" s="17">
        <v>1E-3</v>
      </c>
      <c r="N170" s="12">
        <v>46275</v>
      </c>
      <c r="O170" s="7">
        <v>37</v>
      </c>
      <c r="P170" s="15">
        <f>(IF(G170&gt;0,G170+I170,I170)-(O170*Ventas!AE22*1.1649))</f>
        <v>0</v>
      </c>
      <c r="Q170" s="3"/>
      <c r="R170" s="8">
        <v>0</v>
      </c>
      <c r="S170" s="15">
        <f>IF(P170&gt;0,P170+R170,R170)</f>
        <v>0</v>
      </c>
      <c r="T170" s="3"/>
      <c r="U170" s="15">
        <v>10</v>
      </c>
      <c r="V170" s="17">
        <v>1E-3</v>
      </c>
      <c r="W170" s="12">
        <v>46331</v>
      </c>
      <c r="X170" s="7">
        <v>56</v>
      </c>
      <c r="Y170" s="15">
        <f>(IF(P170&gt;0,P170+R170,R170)-(X170*Ventas!AE22*0.8357))</f>
        <v>0</v>
      </c>
      <c r="Z170" s="3"/>
      <c r="AA170" s="15">
        <f>(120*(Ventas!AE22*1.3117) - IF(Y170&gt;0,Y170,0))</f>
        <v>0</v>
      </c>
      <c r="AB170" s="15">
        <v>0</v>
      </c>
      <c r="AC170" s="15">
        <f>IF(Y170&gt;0,Y170+IF(AB170&gt;0,AB170,0),AB170)</f>
        <v>0</v>
      </c>
      <c r="AD170" s="3"/>
      <c r="AE170" s="3"/>
      <c r="AF170" s="3"/>
      <c r="AG170" s="3"/>
      <c r="AH170" s="1" t="s">
        <v>35</v>
      </c>
      <c r="AI170">
        <f t="shared" si="2"/>
        <v>0</v>
      </c>
    </row>
    <row r="171" spans="1:35" x14ac:dyDescent="0.25">
      <c r="A171" s="1"/>
      <c r="B171" s="1" t="s">
        <v>502</v>
      </c>
      <c r="C171" s="14" t="s">
        <v>503</v>
      </c>
      <c r="D171" s="3"/>
      <c r="E171" s="12">
        <v>46238</v>
      </c>
      <c r="F171" s="7">
        <v>1</v>
      </c>
      <c r="G171" s="15">
        <f>(D171-(0)+0-(F171*Ventas!AE23*1.3))</f>
        <v>0</v>
      </c>
      <c r="H171" s="3"/>
      <c r="I171" s="8">
        <v>0</v>
      </c>
      <c r="J171" s="15">
        <f>IF(G171&gt;0,G171+I171,I171)</f>
        <v>0</v>
      </c>
      <c r="K171" s="3"/>
      <c r="L171" s="15">
        <v>8</v>
      </c>
      <c r="M171" s="17">
        <v>1.25E-3</v>
      </c>
      <c r="N171" s="12">
        <v>46275</v>
      </c>
      <c r="O171" s="7">
        <v>37</v>
      </c>
      <c r="P171" s="15">
        <f>(IF(G171&gt;0,G171+I171,I171)-(O171*Ventas!AE23*1.1649))</f>
        <v>0</v>
      </c>
      <c r="Q171" s="3"/>
      <c r="R171" s="8">
        <v>0</v>
      </c>
      <c r="S171" s="15">
        <f>IF(P171&gt;0,P171+R171,R171)</f>
        <v>0</v>
      </c>
      <c r="T171" s="3"/>
      <c r="U171" s="15">
        <v>8</v>
      </c>
      <c r="V171" s="17">
        <v>1.25E-3</v>
      </c>
      <c r="W171" s="12">
        <v>46331</v>
      </c>
      <c r="X171" s="7">
        <v>56</v>
      </c>
      <c r="Y171" s="15">
        <f>(IF(P171&gt;0,P171+R171,R171)-(X171*Ventas!AE23*0.8357))</f>
        <v>0</v>
      </c>
      <c r="Z171" s="3"/>
      <c r="AA171" s="15">
        <f>(120*(Ventas!AE23*1.3117) - IF(Y171&gt;0,Y171,0))</f>
        <v>0</v>
      </c>
      <c r="AB171" s="15">
        <v>0</v>
      </c>
      <c r="AC171" s="15">
        <f>IF(Y171&gt;0,Y171+IF(AB171&gt;0,AB171,0),AB171)</f>
        <v>0</v>
      </c>
      <c r="AD171" s="3"/>
      <c r="AE171" s="3"/>
      <c r="AF171" s="3"/>
      <c r="AG171" s="3"/>
      <c r="AH171" s="1" t="s">
        <v>35</v>
      </c>
      <c r="AI171">
        <f t="shared" si="2"/>
        <v>0</v>
      </c>
    </row>
    <row r="172" spans="1:35" x14ac:dyDescent="0.25">
      <c r="A172" s="1"/>
      <c r="B172" s="1" t="s">
        <v>504</v>
      </c>
      <c r="C172" s="14" t="s">
        <v>505</v>
      </c>
      <c r="D172" s="3"/>
      <c r="E172" s="12">
        <v>46238</v>
      </c>
      <c r="F172" s="7">
        <v>1</v>
      </c>
      <c r="G172" s="15">
        <f>(D172-(0)+0-(F172*Ventas!AE24*1.3))</f>
        <v>0</v>
      </c>
      <c r="H172" s="3"/>
      <c r="I172" s="8">
        <v>0</v>
      </c>
      <c r="J172" s="15">
        <f>IF(G172&gt;0,G172+I172,I172)</f>
        <v>0</v>
      </c>
      <c r="K172" s="3"/>
      <c r="L172" s="15">
        <v>8</v>
      </c>
      <c r="M172" s="17">
        <v>1.25E-3</v>
      </c>
      <c r="N172" s="12">
        <v>46275</v>
      </c>
      <c r="O172" s="7">
        <v>37</v>
      </c>
      <c r="P172" s="15">
        <f>(IF(G172&gt;0,G172+I172,I172)-(O172*Ventas!AE24*1.1649))</f>
        <v>0</v>
      </c>
      <c r="Q172" s="3"/>
      <c r="R172" s="8">
        <v>0</v>
      </c>
      <c r="S172" s="15">
        <f>IF(P172&gt;0,P172+R172,R172)</f>
        <v>0</v>
      </c>
      <c r="T172" s="3"/>
      <c r="U172" s="15">
        <v>8</v>
      </c>
      <c r="V172" s="17">
        <v>1.25E-3</v>
      </c>
      <c r="W172" s="12">
        <v>46331</v>
      </c>
      <c r="X172" s="7">
        <v>56</v>
      </c>
      <c r="Y172" s="15">
        <f>(IF(P172&gt;0,P172+R172,R172)-(X172*Ventas!AE24*0.8357))</f>
        <v>0</v>
      </c>
      <c r="Z172" s="3"/>
      <c r="AA172" s="15">
        <f>(120*(Ventas!AE24*1.3117) - IF(Y172&gt;0,Y172,0))</f>
        <v>0</v>
      </c>
      <c r="AB172" s="15">
        <v>0</v>
      </c>
      <c r="AC172" s="15">
        <f>IF(Y172&gt;0,Y172+IF(AB172&gt;0,AB172,0),AB172)</f>
        <v>0</v>
      </c>
      <c r="AD172" s="3"/>
      <c r="AE172" s="3"/>
      <c r="AF172" s="3"/>
      <c r="AG172" s="3"/>
      <c r="AH172" s="1" t="s">
        <v>35</v>
      </c>
      <c r="AI172">
        <f t="shared" si="2"/>
        <v>0</v>
      </c>
    </row>
    <row r="173" spans="1:35" x14ac:dyDescent="0.25">
      <c r="A173" s="1"/>
      <c r="B173" s="1" t="s">
        <v>506</v>
      </c>
      <c r="C173" s="14" t="s">
        <v>507</v>
      </c>
      <c r="D173" s="3"/>
      <c r="E173" s="12">
        <v>46238</v>
      </c>
      <c r="F173" s="7">
        <v>1</v>
      </c>
      <c r="G173" s="15">
        <f>(D173-(0)+0-(F173*Ventas!AE13*1))</f>
        <v>0</v>
      </c>
      <c r="H173" s="3"/>
      <c r="I173" s="8">
        <v>0</v>
      </c>
      <c r="J173" s="15">
        <f>IF(G173&gt;0,G173+I173,I173)</f>
        <v>0</v>
      </c>
      <c r="K173" s="3"/>
      <c r="L173" s="15">
        <v>70</v>
      </c>
      <c r="M173" s="17">
        <v>4.0499999999999998E-4</v>
      </c>
      <c r="N173" s="12">
        <v>46275</v>
      </c>
      <c r="O173" s="7">
        <v>37</v>
      </c>
      <c r="P173" s="15">
        <f>(IF(G173&gt;0,G173+I173,I173)-(O173*Ventas!AE13*0.9189))</f>
        <v>0</v>
      </c>
      <c r="Q173" s="3"/>
      <c r="R173" s="8">
        <v>0</v>
      </c>
      <c r="S173" s="15">
        <f>IF(P173&gt;0,P173+R173,R173)</f>
        <v>0</v>
      </c>
      <c r="T173" s="3"/>
      <c r="U173" s="15">
        <v>70</v>
      </c>
      <c r="V173" s="17">
        <v>4.0499999999999998E-4</v>
      </c>
      <c r="W173" s="12">
        <v>46331</v>
      </c>
      <c r="X173" s="7">
        <v>56</v>
      </c>
      <c r="Y173" s="15">
        <f>(IF(P173&gt;0,P173+R173,R173)-(X173*Ventas!AE13*0.925))</f>
        <v>0</v>
      </c>
      <c r="Z173" s="3"/>
      <c r="AA173" s="15">
        <f>(120*(Ventas!AE13*1.485) - IF(Y173&gt;0,Y173,0))</f>
        <v>0</v>
      </c>
      <c r="AB173" s="15">
        <v>0</v>
      </c>
      <c r="AC173" s="15">
        <f>IF(Y173&gt;0,Y173+IF(AB173&gt;0,AB173,0),AB173)</f>
        <v>0</v>
      </c>
      <c r="AD173" s="16">
        <v>0.51</v>
      </c>
      <c r="AE173" s="8">
        <v>3025</v>
      </c>
      <c r="AF173" s="3"/>
      <c r="AG173" s="3"/>
      <c r="AH173" s="1" t="s">
        <v>32</v>
      </c>
      <c r="AI173">
        <f t="shared" si="2"/>
        <v>0</v>
      </c>
    </row>
    <row r="174" spans="1:35" x14ac:dyDescent="0.25">
      <c r="A174" s="1"/>
      <c r="B174" s="1" t="s">
        <v>508</v>
      </c>
      <c r="C174" s="14" t="s">
        <v>509</v>
      </c>
      <c r="D174" s="3"/>
      <c r="E174" s="12">
        <v>46238</v>
      </c>
      <c r="F174" s="7">
        <v>1</v>
      </c>
      <c r="G174" s="15">
        <f>(D174-(0)+0-(F174*Ventas!AE14*1))</f>
        <v>0</v>
      </c>
      <c r="H174" s="3"/>
      <c r="I174" s="8">
        <v>0</v>
      </c>
      <c r="J174" s="15">
        <f>IF(G174&gt;0,G174+I174,I174)</f>
        <v>0</v>
      </c>
      <c r="K174" s="3"/>
      <c r="L174" s="15">
        <v>120</v>
      </c>
      <c r="M174" s="17">
        <v>2.9999999999999997E-4</v>
      </c>
      <c r="N174" s="12">
        <v>46275</v>
      </c>
      <c r="O174" s="7">
        <v>37</v>
      </c>
      <c r="P174" s="15">
        <f>(IF(G174&gt;0,G174+I174,I174)-(O174*Ventas!AE14*0.9189))</f>
        <v>0</v>
      </c>
      <c r="Q174" s="3"/>
      <c r="R174" s="8">
        <v>0</v>
      </c>
      <c r="S174" s="15">
        <f>IF(P174&gt;0,P174+R174,R174)</f>
        <v>0</v>
      </c>
      <c r="T174" s="3"/>
      <c r="U174" s="15">
        <v>120</v>
      </c>
      <c r="V174" s="17">
        <v>2.9999999999999997E-4</v>
      </c>
      <c r="W174" s="12">
        <v>46331</v>
      </c>
      <c r="X174" s="7">
        <v>56</v>
      </c>
      <c r="Y174" s="15">
        <f>(IF(P174&gt;0,P174+R174,R174)-(X174*Ventas!AE14*0.925))</f>
        <v>0</v>
      </c>
      <c r="Z174" s="3"/>
      <c r="AA174" s="15">
        <f>(120*(Ventas!AE14*1.485) - IF(Y174&gt;0,Y174,0))</f>
        <v>0</v>
      </c>
      <c r="AB174" s="15">
        <v>0</v>
      </c>
      <c r="AC174" s="15">
        <f>IF(Y174&gt;0,Y174+IF(AB174&gt;0,AB174,0),AB174)</f>
        <v>0</v>
      </c>
      <c r="AD174" s="16">
        <v>0.6</v>
      </c>
      <c r="AE174" s="8">
        <v>3025</v>
      </c>
      <c r="AF174" s="3"/>
      <c r="AG174" s="3"/>
      <c r="AH174" s="1" t="s">
        <v>35</v>
      </c>
      <c r="AI174">
        <f t="shared" si="2"/>
        <v>0</v>
      </c>
    </row>
    <row r="175" spans="1:35" x14ac:dyDescent="0.25">
      <c r="A175" s="1"/>
      <c r="B175" s="1" t="s">
        <v>510</v>
      </c>
      <c r="C175" s="14" t="s">
        <v>511</v>
      </c>
      <c r="D175" s="3"/>
      <c r="E175" s="12">
        <v>46238</v>
      </c>
      <c r="F175" s="7">
        <v>1</v>
      </c>
      <c r="G175" s="15">
        <f>(D175-(0)+0-(F175*Ventas!AE15*1))</f>
        <v>0</v>
      </c>
      <c r="H175" s="3"/>
      <c r="I175" s="8">
        <v>0</v>
      </c>
      <c r="J175" s="15">
        <f>IF(G175&gt;0,G175+I175,I175)</f>
        <v>0</v>
      </c>
      <c r="K175" s="3"/>
      <c r="L175" s="15">
        <v>70</v>
      </c>
      <c r="M175" s="17">
        <v>4.0499999999999998E-4</v>
      </c>
      <c r="N175" s="12">
        <v>46275</v>
      </c>
      <c r="O175" s="7">
        <v>37</v>
      </c>
      <c r="P175" s="15">
        <f>(IF(G175&gt;0,G175+I175,I175)-(O175*Ventas!AE15*0.9189))</f>
        <v>0</v>
      </c>
      <c r="Q175" s="3"/>
      <c r="R175" s="8">
        <v>0</v>
      </c>
      <c r="S175" s="15">
        <f>IF(P175&gt;0,P175+R175,R175)</f>
        <v>0</v>
      </c>
      <c r="T175" s="3"/>
      <c r="U175" s="15">
        <v>70</v>
      </c>
      <c r="V175" s="17">
        <v>4.0499999999999998E-4</v>
      </c>
      <c r="W175" s="12">
        <v>46331</v>
      </c>
      <c r="X175" s="7">
        <v>56</v>
      </c>
      <c r="Y175" s="15">
        <f>(IF(P175&gt;0,P175+R175,R175)-(X175*Ventas!AE15*0.925))</f>
        <v>0</v>
      </c>
      <c r="Z175" s="3"/>
      <c r="AA175" s="15">
        <f>(120*(Ventas!AE15*1.485) - IF(Y175&gt;0,Y175,0))</f>
        <v>0</v>
      </c>
      <c r="AB175" s="15">
        <v>0</v>
      </c>
      <c r="AC175" s="15">
        <f>IF(Y175&gt;0,Y175+IF(AB175&gt;0,AB175,0),AB175)</f>
        <v>0</v>
      </c>
      <c r="AD175" s="16">
        <v>0.98</v>
      </c>
      <c r="AE175" s="8">
        <v>3010</v>
      </c>
      <c r="AF175" s="3"/>
      <c r="AG175" s="3"/>
      <c r="AH175" s="1" t="s">
        <v>32</v>
      </c>
      <c r="AI175">
        <f t="shared" si="2"/>
        <v>0</v>
      </c>
    </row>
    <row r="176" spans="1:35" x14ac:dyDescent="0.25">
      <c r="A176" s="1"/>
      <c r="B176" s="1" t="s">
        <v>520</v>
      </c>
      <c r="C176" s="14" t="s">
        <v>521</v>
      </c>
      <c r="D176" s="3"/>
      <c r="E176" s="12">
        <v>46238</v>
      </c>
      <c r="F176" s="7">
        <v>1</v>
      </c>
      <c r="G176" s="15">
        <f>(D176-(0)+0-(F176*Ventas!AE26*1))</f>
        <v>0</v>
      </c>
      <c r="H176" s="18" t="e">
        <f>(G176/(Ventas!AE26*1)/60)</f>
        <v>#DIV/0!</v>
      </c>
      <c r="I176" s="8">
        <v>0</v>
      </c>
      <c r="J176" s="15">
        <f>IF(G176&gt;0,G176+I176,I176)</f>
        <v>0</v>
      </c>
      <c r="K176" s="3"/>
      <c r="L176" s="15">
        <v>60</v>
      </c>
      <c r="M176" s="17">
        <v>7.2499999999999995E-4</v>
      </c>
      <c r="N176" s="12">
        <v>46275</v>
      </c>
      <c r="O176" s="7">
        <v>37</v>
      </c>
      <c r="P176" s="15">
        <f>(IF(G176&gt;0,G176+I176,I176)-(O176*Ventas!AE26*0.9189))</f>
        <v>0</v>
      </c>
      <c r="Q176" s="18" t="e">
        <f>(P176/(Ventas!AE26*0.9189)/60)</f>
        <v>#DIV/0!</v>
      </c>
      <c r="R176" s="8">
        <v>0</v>
      </c>
      <c r="S176" s="15">
        <f>IF(P176&gt;0,P176+R176,R176)</f>
        <v>0</v>
      </c>
      <c r="T176" s="3"/>
      <c r="U176" s="15">
        <v>60</v>
      </c>
      <c r="V176" s="17">
        <v>7.2499999999999995E-4</v>
      </c>
      <c r="W176" s="12">
        <v>46331</v>
      </c>
      <c r="X176" s="7">
        <v>56</v>
      </c>
      <c r="Y176" s="15">
        <f>(IF(P176&gt;0,P176+R176,R176)-(X176*Ventas!AE26*0.925))</f>
        <v>0</v>
      </c>
      <c r="Z176" s="18" t="e">
        <f>(Y176/(Ventas!AE26*0.925)/60)</f>
        <v>#DIV/0!</v>
      </c>
      <c r="AA176" s="15">
        <f>(120*(Ventas!AE26*1.485) - IF(Y176&gt;0,Y176,0))</f>
        <v>0</v>
      </c>
      <c r="AB176" s="15">
        <v>0</v>
      </c>
      <c r="AC176" s="15">
        <f>IF(Y176&gt;0,Y176+IF(AB176&gt;0,AB176,0),AB176)</f>
        <v>0</v>
      </c>
      <c r="AD176" s="16">
        <v>0.96</v>
      </c>
      <c r="AE176" s="8">
        <v>3010</v>
      </c>
      <c r="AF176" s="15">
        <f>(AC176-(60*Ventas!AE26*1.485))</f>
        <v>0</v>
      </c>
      <c r="AG176" s="18" t="e">
        <f>(AF176/(Ventas!AE26*1.485)/60)</f>
        <v>#DIV/0!</v>
      </c>
      <c r="AH176" s="1" t="s">
        <v>32</v>
      </c>
      <c r="AI176">
        <f t="shared" si="2"/>
        <v>0</v>
      </c>
    </row>
    <row r="177" spans="1:35" x14ac:dyDescent="0.25">
      <c r="A177" s="1"/>
      <c r="B177" s="1" t="s">
        <v>524</v>
      </c>
      <c r="C177" s="14" t="s">
        <v>525</v>
      </c>
      <c r="D177" s="3"/>
      <c r="E177" s="12">
        <v>46238</v>
      </c>
      <c r="F177" s="7">
        <v>1</v>
      </c>
      <c r="G177" s="15">
        <f>(D177-(0)+0-(F177*Ventas!AE28*1))</f>
        <v>0</v>
      </c>
      <c r="H177" s="3"/>
      <c r="I177" s="8">
        <v>0</v>
      </c>
      <c r="J177" s="15">
        <f>IF(G177&gt;0,G177+I177,I177)</f>
        <v>0</v>
      </c>
      <c r="K177" s="3"/>
      <c r="L177" s="15">
        <v>70</v>
      </c>
      <c r="M177" s="17">
        <v>4.0499999999999998E-4</v>
      </c>
      <c r="N177" s="12">
        <v>46275</v>
      </c>
      <c r="O177" s="7">
        <v>37</v>
      </c>
      <c r="P177" s="15">
        <f>(IF(G177&gt;0,G177+I177,I177)-(O177*Ventas!AE28*0.9189))</f>
        <v>0</v>
      </c>
      <c r="Q177" s="3"/>
      <c r="R177" s="8">
        <v>0</v>
      </c>
      <c r="S177" s="15">
        <f>IF(P177&gt;0,P177+R177,R177)</f>
        <v>0</v>
      </c>
      <c r="T177" s="3"/>
      <c r="U177" s="15">
        <v>70</v>
      </c>
      <c r="V177" s="17">
        <v>4.0499999999999998E-4</v>
      </c>
      <c r="W177" s="12">
        <v>46331</v>
      </c>
      <c r="X177" s="7">
        <v>56</v>
      </c>
      <c r="Y177" s="15">
        <f>(IF(P177&gt;0,P177+R177,R177)-(X177*Ventas!AE28*0.925))</f>
        <v>0</v>
      </c>
      <c r="Z177" s="3"/>
      <c r="AA177" s="15">
        <f>(120*(Ventas!AE28*1.485) - IF(Y177&gt;0,Y177,0))</f>
        <v>0</v>
      </c>
      <c r="AB177" s="15">
        <v>0</v>
      </c>
      <c r="AC177" s="15">
        <f>IF(Y177&gt;0,Y177+IF(AB177&gt;0,AB177,0),AB177)</f>
        <v>0</v>
      </c>
      <c r="AD177" s="16">
        <v>1.21</v>
      </c>
      <c r="AE177" s="8">
        <v>3017</v>
      </c>
      <c r="AF177" s="3"/>
      <c r="AG177" s="3"/>
      <c r="AH177" s="1" t="s">
        <v>32</v>
      </c>
      <c r="AI177">
        <f t="shared" si="2"/>
        <v>0</v>
      </c>
    </row>
    <row r="178" spans="1:35" x14ac:dyDescent="0.25">
      <c r="A178" s="1"/>
      <c r="B178" s="1" t="s">
        <v>526</v>
      </c>
      <c r="C178" s="14" t="s">
        <v>527</v>
      </c>
      <c r="D178" s="3"/>
      <c r="E178" s="12">
        <v>46238</v>
      </c>
      <c r="F178" s="7">
        <v>1</v>
      </c>
      <c r="G178" s="15">
        <f>(D178-(0)+0-(F178*Ventas!AE29*1))</f>
        <v>0</v>
      </c>
      <c r="H178" s="3"/>
      <c r="I178" s="8">
        <v>0</v>
      </c>
      <c r="J178" s="15">
        <f>IF(G178&gt;0,G178+I178,I178)</f>
        <v>0</v>
      </c>
      <c r="K178" s="3"/>
      <c r="L178" s="15">
        <v>70</v>
      </c>
      <c r="M178" s="17">
        <v>4.0499999999999998E-4</v>
      </c>
      <c r="N178" s="12">
        <v>46275</v>
      </c>
      <c r="O178" s="7">
        <v>37</v>
      </c>
      <c r="P178" s="15">
        <f>(IF(G178&gt;0,G178+I178,I178)-(O178*Ventas!AE29*0.9189))</f>
        <v>0</v>
      </c>
      <c r="Q178" s="3"/>
      <c r="R178" s="8">
        <v>0</v>
      </c>
      <c r="S178" s="15">
        <f>IF(P178&gt;0,P178+R178,R178)</f>
        <v>0</v>
      </c>
      <c r="T178" s="3"/>
      <c r="U178" s="15">
        <v>70</v>
      </c>
      <c r="V178" s="17">
        <v>4.0499999999999998E-4</v>
      </c>
      <c r="W178" s="12">
        <v>46331</v>
      </c>
      <c r="X178" s="7">
        <v>56</v>
      </c>
      <c r="Y178" s="15">
        <f>(IF(P178&gt;0,P178+R178,R178)-(X178*Ventas!AE29*0.925))</f>
        <v>0</v>
      </c>
      <c r="Z178" s="3"/>
      <c r="AA178" s="15">
        <f>(120*(Ventas!AE29*1.485) - IF(Y178&gt;0,Y178,0))</f>
        <v>0</v>
      </c>
      <c r="AB178" s="15">
        <v>0</v>
      </c>
      <c r="AC178" s="15">
        <f>IF(Y178&gt;0,Y178+IF(AB178&gt;0,AB178,0),AB178)</f>
        <v>0</v>
      </c>
      <c r="AD178" s="16">
        <v>0.53</v>
      </c>
      <c r="AE178" s="8">
        <v>3017</v>
      </c>
      <c r="AF178" s="3"/>
      <c r="AG178" s="3"/>
      <c r="AH178" s="1" t="s">
        <v>32</v>
      </c>
      <c r="AI178">
        <f t="shared" si="2"/>
        <v>0</v>
      </c>
    </row>
    <row r="179" spans="1:35" x14ac:dyDescent="0.25">
      <c r="A179" s="1"/>
      <c r="B179" s="1" t="s">
        <v>530</v>
      </c>
      <c r="C179" s="14" t="s">
        <v>531</v>
      </c>
      <c r="D179" s="3"/>
      <c r="E179" s="12">
        <v>46238</v>
      </c>
      <c r="F179" s="7">
        <v>1</v>
      </c>
      <c r="G179" s="15">
        <f>(D179-(0)+0-(F179*Ventas!AE32*1))</f>
        <v>0</v>
      </c>
      <c r="H179" s="3"/>
      <c r="I179" s="8">
        <v>0</v>
      </c>
      <c r="J179" s="15">
        <f>IF(G179&gt;0,G179+I179,I179)</f>
        <v>0</v>
      </c>
      <c r="K179" s="3"/>
      <c r="L179" s="15">
        <v>12</v>
      </c>
      <c r="M179" s="17">
        <v>2.264E-3</v>
      </c>
      <c r="N179" s="12">
        <v>46275</v>
      </c>
      <c r="O179" s="7">
        <v>37</v>
      </c>
      <c r="P179" s="15">
        <f>(IF(G179&gt;0,G179+I179,I179)-(O179*Ventas!AE32*0.9189))</f>
        <v>0</v>
      </c>
      <c r="Q179" s="3"/>
      <c r="R179" s="8">
        <v>0</v>
      </c>
      <c r="S179" s="15">
        <f>IF(P179&gt;0,P179+R179,R179)</f>
        <v>0</v>
      </c>
      <c r="T179" s="3"/>
      <c r="U179" s="15">
        <v>12</v>
      </c>
      <c r="V179" s="17">
        <v>2.264E-3</v>
      </c>
      <c r="W179" s="12">
        <v>46331</v>
      </c>
      <c r="X179" s="7">
        <v>56</v>
      </c>
      <c r="Y179" s="15">
        <f>(IF(P179&gt;0,P179+R179,R179)-(X179*Ventas!AE32*0.925))</f>
        <v>0</v>
      </c>
      <c r="Z179" s="3"/>
      <c r="AA179" s="15">
        <f>(120*(Ventas!AE32*1.485) - IF(Y179&gt;0,Y179,0))</f>
        <v>0</v>
      </c>
      <c r="AB179" s="15">
        <v>0</v>
      </c>
      <c r="AC179" s="15">
        <f>IF(Y179&gt;0,Y179+IF(AB179&gt;0,AB179,0),AB179)</f>
        <v>0</v>
      </c>
      <c r="AD179" s="16">
        <v>14.2</v>
      </c>
      <c r="AE179" s="8">
        <v>3025</v>
      </c>
      <c r="AF179" s="3"/>
      <c r="AG179" s="3"/>
      <c r="AH179" s="1" t="s">
        <v>32</v>
      </c>
      <c r="AI179">
        <f t="shared" si="2"/>
        <v>0</v>
      </c>
    </row>
    <row r="180" spans="1:35" x14ac:dyDescent="0.25">
      <c r="A180" s="1"/>
      <c r="B180" s="1" t="s">
        <v>532</v>
      </c>
      <c r="C180" s="14" t="s">
        <v>533</v>
      </c>
      <c r="D180" s="3"/>
      <c r="E180" s="12">
        <v>46238</v>
      </c>
      <c r="F180" s="7">
        <v>1</v>
      </c>
      <c r="G180" s="15">
        <f>(D180-(0)+0-(F180*Ventas!AE33*1))</f>
        <v>0</v>
      </c>
      <c r="H180" s="3"/>
      <c r="I180" s="8">
        <v>0</v>
      </c>
      <c r="J180" s="15">
        <f>IF(G180&gt;0,G180+I180,I180)</f>
        <v>0</v>
      </c>
      <c r="K180" s="3"/>
      <c r="L180" s="15">
        <v>52</v>
      </c>
      <c r="M180" s="17">
        <v>5.7700000000000004E-4</v>
      </c>
      <c r="N180" s="12">
        <v>46275</v>
      </c>
      <c r="O180" s="7">
        <v>37</v>
      </c>
      <c r="P180" s="15">
        <f>(IF(G180&gt;0,G180+I180,I180)-(O180*Ventas!AE33*0.9189))</f>
        <v>0</v>
      </c>
      <c r="Q180" s="3"/>
      <c r="R180" s="8">
        <v>0</v>
      </c>
      <c r="S180" s="15">
        <f>IF(P180&gt;0,P180+R180,R180)</f>
        <v>0</v>
      </c>
      <c r="T180" s="3"/>
      <c r="U180" s="15">
        <v>52</v>
      </c>
      <c r="V180" s="17">
        <v>5.7700000000000004E-4</v>
      </c>
      <c r="W180" s="12">
        <v>46331</v>
      </c>
      <c r="X180" s="7">
        <v>56</v>
      </c>
      <c r="Y180" s="15">
        <f>(IF(P180&gt;0,P180+R180,R180)-(X180*Ventas!AE33*0.925))</f>
        <v>0</v>
      </c>
      <c r="Z180" s="3"/>
      <c r="AA180" s="15">
        <f>(120*(Ventas!AE33*1.485) - IF(Y180&gt;0,Y180,0))</f>
        <v>0</v>
      </c>
      <c r="AB180" s="15">
        <v>0</v>
      </c>
      <c r="AC180" s="15">
        <f>IF(Y180&gt;0,Y180+IF(AB180&gt;0,AB180,0),AB180)</f>
        <v>0</v>
      </c>
      <c r="AD180" s="3"/>
      <c r="AE180" s="3"/>
      <c r="AF180" s="3"/>
      <c r="AG180" s="3"/>
      <c r="AH180" s="1" t="s">
        <v>35</v>
      </c>
      <c r="AI180">
        <f t="shared" si="2"/>
        <v>0</v>
      </c>
    </row>
    <row r="181" spans="1:35" x14ac:dyDescent="0.25">
      <c r="A181" s="1"/>
      <c r="B181" s="65" t="s">
        <v>536</v>
      </c>
      <c r="C181" s="14" t="s">
        <v>537</v>
      </c>
      <c r="D181" s="3"/>
      <c r="E181" s="12">
        <v>46238</v>
      </c>
      <c r="F181" s="7">
        <v>1</v>
      </c>
      <c r="G181" s="15">
        <f>(D181-(0)+0-(F181*Ventas!AE35*1))</f>
        <v>0</v>
      </c>
      <c r="H181" s="3"/>
      <c r="I181" s="8">
        <v>480</v>
      </c>
      <c r="J181" s="15">
        <f>IF(G181&gt;0,G181+I181,I181)</f>
        <v>480</v>
      </c>
      <c r="K181" s="15">
        <v>0.56999999999999995</v>
      </c>
      <c r="L181" s="15">
        <v>70</v>
      </c>
      <c r="M181" s="17">
        <v>4.0499999999999998E-4</v>
      </c>
      <c r="N181" s="12">
        <v>46275</v>
      </c>
      <c r="O181" s="7">
        <v>37</v>
      </c>
      <c r="P181" s="15">
        <f>(IF(G181&gt;0,G181+I181,I181)-(O181*Ventas!AE35*0.9189))</f>
        <v>480</v>
      </c>
      <c r="Q181" s="3"/>
      <c r="R181" s="8">
        <v>0</v>
      </c>
      <c r="S181" s="15">
        <f>IF(P181&gt;0,P181+R181,R181)</f>
        <v>480</v>
      </c>
      <c r="T181" s="3"/>
      <c r="U181" s="15">
        <v>70</v>
      </c>
      <c r="V181" s="17">
        <v>4.0499999999999998E-4</v>
      </c>
      <c r="W181" s="12">
        <v>46331</v>
      </c>
      <c r="X181" s="7">
        <v>56</v>
      </c>
      <c r="Y181" s="15">
        <f>(IF(P181&gt;0,P181+R181,R181)-(X181*Ventas!AE35*0.925))</f>
        <v>480</v>
      </c>
      <c r="Z181" s="3"/>
      <c r="AA181" s="15">
        <f>(120*(Ventas!AE35*1.485) - IF(Y181&gt;0,Y181,0))</f>
        <v>-480</v>
      </c>
      <c r="AB181" s="15">
        <v>0</v>
      </c>
      <c r="AC181" s="15">
        <f>IF(Y181&gt;0,Y181+IF(AB181&gt;0,AB181,0),AB181)</f>
        <v>480</v>
      </c>
      <c r="AD181" s="16">
        <v>0.56999999999999995</v>
      </c>
      <c r="AE181" s="8">
        <v>3025</v>
      </c>
      <c r="AF181" s="3"/>
      <c r="AG181" s="3"/>
      <c r="AH181" s="1" t="s">
        <v>32</v>
      </c>
      <c r="AI181">
        <f t="shared" si="2"/>
        <v>0</v>
      </c>
    </row>
    <row r="182" spans="1:35" x14ac:dyDescent="0.25">
      <c r="A182" s="1"/>
      <c r="B182" s="1" t="s">
        <v>542</v>
      </c>
      <c r="C182" s="14" t="s">
        <v>543</v>
      </c>
      <c r="D182" s="3"/>
      <c r="E182" s="12">
        <v>46238</v>
      </c>
      <c r="F182" s="7">
        <v>1</v>
      </c>
      <c r="G182" s="15">
        <f>(D182-(0)+0-(F182*Ventas!AE45*1))</f>
        <v>0</v>
      </c>
      <c r="H182" s="3"/>
      <c r="I182" s="8">
        <v>0</v>
      </c>
      <c r="J182" s="15">
        <f>IF(G182&gt;0,G182+I182,I182)</f>
        <v>0</v>
      </c>
      <c r="K182" s="3"/>
      <c r="L182" s="15">
        <v>70</v>
      </c>
      <c r="M182" s="17">
        <v>4.0499999999999998E-4</v>
      </c>
      <c r="N182" s="12">
        <v>46275</v>
      </c>
      <c r="O182" s="7">
        <v>37</v>
      </c>
      <c r="P182" s="15">
        <f>(IF(G182&gt;0,G182+I182,I182)-(O182*Ventas!AE45*0.9189))</f>
        <v>0</v>
      </c>
      <c r="Q182" s="3"/>
      <c r="R182" s="8">
        <v>0</v>
      </c>
      <c r="S182" s="15">
        <f>IF(P182&gt;0,P182+R182,R182)</f>
        <v>0</v>
      </c>
      <c r="T182" s="3"/>
      <c r="U182" s="15">
        <v>70</v>
      </c>
      <c r="V182" s="17">
        <v>4.0499999999999998E-4</v>
      </c>
      <c r="W182" s="12">
        <v>46331</v>
      </c>
      <c r="X182" s="7">
        <v>56</v>
      </c>
      <c r="Y182" s="15">
        <f>(IF(P182&gt;0,P182+R182,R182)-(X182*Ventas!AE45*0.925))</f>
        <v>0</v>
      </c>
      <c r="Z182" s="3"/>
      <c r="AA182" s="15">
        <f>(120*(Ventas!AE45*1.485) - IF(Y182&gt;0,Y182,0))</f>
        <v>0</v>
      </c>
      <c r="AB182" s="15">
        <v>0</v>
      </c>
      <c r="AC182" s="15">
        <f>IF(Y182&gt;0,Y182+IF(AB182&gt;0,AB182,0),AB182)</f>
        <v>0</v>
      </c>
      <c r="AD182" s="16">
        <v>0.77</v>
      </c>
      <c r="AE182" s="8">
        <v>3010</v>
      </c>
      <c r="AF182" s="3"/>
      <c r="AG182" s="3"/>
      <c r="AH182" s="1" t="s">
        <v>32</v>
      </c>
      <c r="AI182">
        <f t="shared" si="2"/>
        <v>0</v>
      </c>
    </row>
    <row r="183" spans="1:35" x14ac:dyDescent="0.25">
      <c r="A183" s="1"/>
      <c r="B183" s="1" t="s">
        <v>544</v>
      </c>
      <c r="C183" s="14" t="s">
        <v>545</v>
      </c>
      <c r="D183" s="3"/>
      <c r="E183" s="12">
        <v>46238</v>
      </c>
      <c r="F183" s="7">
        <v>1</v>
      </c>
      <c r="G183" s="15">
        <f>(D183-(0)+0-(F183*Ventas!AE46*1))</f>
        <v>0</v>
      </c>
      <c r="H183" s="3"/>
      <c r="I183" s="8">
        <v>0</v>
      </c>
      <c r="J183" s="15">
        <f>IF(G183&gt;0,G183+I183,I183)</f>
        <v>0</v>
      </c>
      <c r="K183" s="3"/>
      <c r="L183" s="15">
        <v>70</v>
      </c>
      <c r="M183" s="17">
        <v>4.0499999999999998E-4</v>
      </c>
      <c r="N183" s="12">
        <v>46275</v>
      </c>
      <c r="O183" s="7">
        <v>37</v>
      </c>
      <c r="P183" s="15">
        <f>(IF(G183&gt;0,G183+I183,I183)-(O183*Ventas!AE46*0.9189))</f>
        <v>0</v>
      </c>
      <c r="Q183" s="3"/>
      <c r="R183" s="8">
        <v>0</v>
      </c>
      <c r="S183" s="15">
        <f>IF(P183&gt;0,P183+R183,R183)</f>
        <v>0</v>
      </c>
      <c r="T183" s="3"/>
      <c r="U183" s="15">
        <v>70</v>
      </c>
      <c r="V183" s="17">
        <v>4.0499999999999998E-4</v>
      </c>
      <c r="W183" s="12">
        <v>46331</v>
      </c>
      <c r="X183" s="7">
        <v>56</v>
      </c>
      <c r="Y183" s="15">
        <f>(IF(P183&gt;0,P183+R183,R183)-(X183*Ventas!AE46*0.925))</f>
        <v>0</v>
      </c>
      <c r="Z183" s="3"/>
      <c r="AA183" s="15">
        <f>(120*(Ventas!AE46*1.485) - IF(Y183&gt;0,Y183,0))</f>
        <v>0</v>
      </c>
      <c r="AB183" s="15">
        <v>0</v>
      </c>
      <c r="AC183" s="15">
        <f>IF(Y183&gt;0,Y183+IF(AB183&gt;0,AB183,0),AB183)</f>
        <v>0</v>
      </c>
      <c r="AD183" s="16">
        <v>0.77</v>
      </c>
      <c r="AE183" s="8">
        <v>3010</v>
      </c>
      <c r="AF183" s="3"/>
      <c r="AG183" s="3"/>
      <c r="AH183" s="1" t="s">
        <v>32</v>
      </c>
      <c r="AI183">
        <f t="shared" si="2"/>
        <v>0</v>
      </c>
    </row>
    <row r="184" spans="1:35" x14ac:dyDescent="0.25">
      <c r="A184" s="1"/>
      <c r="B184" s="1" t="s">
        <v>568</v>
      </c>
      <c r="C184" s="14" t="s">
        <v>569</v>
      </c>
      <c r="D184" s="3"/>
      <c r="E184" s="12">
        <v>46238</v>
      </c>
      <c r="F184" s="7">
        <v>1</v>
      </c>
      <c r="G184" s="15">
        <f>(D184-(0)+0-(F184*Ventas!AE19*1))</f>
        <v>0</v>
      </c>
      <c r="H184" s="3"/>
      <c r="I184" s="8">
        <v>0</v>
      </c>
      <c r="J184" s="15">
        <f>IF(G184&gt;0,G184+I184,I184)</f>
        <v>0</v>
      </c>
      <c r="K184" s="3"/>
      <c r="L184" s="15">
        <v>20</v>
      </c>
      <c r="M184" s="17">
        <v>1.5250000000000001E-3</v>
      </c>
      <c r="N184" s="12">
        <v>46275</v>
      </c>
      <c r="O184" s="7">
        <v>37</v>
      </c>
      <c r="P184" s="15">
        <f>(IF(G184&gt;0,G184+I184,I184)-(O184*Ventas!AE19*0.9189))</f>
        <v>0</v>
      </c>
      <c r="Q184" s="3"/>
      <c r="R184" s="8">
        <v>0</v>
      </c>
      <c r="S184" s="15">
        <f>IF(P184&gt;0,P184+R184,R184)</f>
        <v>0</v>
      </c>
      <c r="T184" s="3"/>
      <c r="U184" s="15">
        <v>20</v>
      </c>
      <c r="V184" s="17">
        <v>1.5250000000000001E-3</v>
      </c>
      <c r="W184" s="12">
        <v>46331</v>
      </c>
      <c r="X184" s="7">
        <v>56</v>
      </c>
      <c r="Y184" s="15">
        <f>(IF(P184&gt;0,P184+R184,R184)-(X184*Ventas!AE19*0.925))</f>
        <v>0</v>
      </c>
      <c r="Z184" s="3"/>
      <c r="AA184" s="15">
        <f>(120*(Ventas!AE19*1.485) - IF(Y184&gt;0,Y184,0))</f>
        <v>0</v>
      </c>
      <c r="AB184" s="15">
        <v>0</v>
      </c>
      <c r="AC184" s="15">
        <f>IF(Y184&gt;0,Y184+IF(AB184&gt;0,AB184,0),AB184)</f>
        <v>0</v>
      </c>
      <c r="AD184" s="16">
        <v>5.38</v>
      </c>
      <c r="AE184" s="8">
        <v>3025</v>
      </c>
      <c r="AF184" s="3"/>
      <c r="AG184" s="3"/>
      <c r="AH184" s="1" t="s">
        <v>35</v>
      </c>
      <c r="AI184">
        <f t="shared" si="2"/>
        <v>0</v>
      </c>
    </row>
    <row r="185" spans="1:35" x14ac:dyDescent="0.25">
      <c r="A185" s="1"/>
      <c r="B185" s="1" t="s">
        <v>576</v>
      </c>
      <c r="C185" s="14" t="s">
        <v>577</v>
      </c>
      <c r="D185" s="3"/>
      <c r="E185" s="12">
        <v>46238</v>
      </c>
      <c r="F185" s="7">
        <v>1</v>
      </c>
      <c r="G185" s="15">
        <f>(D185-(0)+0-(F185*Ventas!AE256*1))</f>
        <v>0</v>
      </c>
      <c r="H185" s="3"/>
      <c r="I185" s="8">
        <v>0</v>
      </c>
      <c r="J185" s="15">
        <f>IF(G185&gt;0,G185+I185,I185)</f>
        <v>0</v>
      </c>
      <c r="K185" s="3"/>
      <c r="L185" s="15">
        <v>44</v>
      </c>
      <c r="M185" s="17">
        <v>8.4699999999999999E-4</v>
      </c>
      <c r="N185" s="12">
        <v>46275</v>
      </c>
      <c r="O185" s="7">
        <v>37</v>
      </c>
      <c r="P185" s="15">
        <f>(IF(G185&gt;0,G185+I185,I185)-(O185*Ventas!AE256*0.9189))</f>
        <v>0</v>
      </c>
      <c r="Q185" s="3"/>
      <c r="R185" s="8">
        <v>0</v>
      </c>
      <c r="S185" s="15">
        <f>IF(P185&gt;0,P185+R185,R185)</f>
        <v>0</v>
      </c>
      <c r="T185" s="3"/>
      <c r="U185" s="15">
        <v>44</v>
      </c>
      <c r="V185" s="17">
        <v>8.4699999999999999E-4</v>
      </c>
      <c r="W185" s="12">
        <v>46331</v>
      </c>
      <c r="X185" s="7">
        <v>56</v>
      </c>
      <c r="Y185" s="15">
        <f>(IF(P185&gt;0,P185+R185,R185)-(X185*Ventas!AE256*0.925))</f>
        <v>0</v>
      </c>
      <c r="Z185" s="3"/>
      <c r="AA185" s="15">
        <f>(120*(Ventas!AE256*1.485) - IF(Y185&gt;0,Y185,0))</f>
        <v>0</v>
      </c>
      <c r="AB185" s="15">
        <v>0</v>
      </c>
      <c r="AC185" s="15">
        <f>IF(Y185&gt;0,Y185+IF(AB185&gt;0,AB185,0),AB185)</f>
        <v>0</v>
      </c>
      <c r="AD185" s="16">
        <v>7.75</v>
      </c>
      <c r="AE185" s="8">
        <v>3027</v>
      </c>
      <c r="AF185" s="3"/>
      <c r="AG185" s="3"/>
      <c r="AH185" s="1" t="s">
        <v>35</v>
      </c>
      <c r="AI185">
        <f t="shared" si="2"/>
        <v>0</v>
      </c>
    </row>
    <row r="186" spans="1:35" x14ac:dyDescent="0.25">
      <c r="A186" s="1"/>
      <c r="B186" s="1" t="s">
        <v>578</v>
      </c>
      <c r="C186" s="14" t="s">
        <v>579</v>
      </c>
      <c r="D186" s="3"/>
      <c r="E186" s="12">
        <v>46238</v>
      </c>
      <c r="F186" s="7">
        <v>1</v>
      </c>
      <c r="G186" s="15">
        <f>(D186-(0)+0-(F186*Ventas!AE257*1))</f>
        <v>0</v>
      </c>
      <c r="H186" s="3"/>
      <c r="I186" s="8">
        <v>0</v>
      </c>
      <c r="J186" s="15">
        <f>IF(G186&gt;0,G186+I186,I186)</f>
        <v>0</v>
      </c>
      <c r="K186" s="3"/>
      <c r="L186" s="15">
        <v>70</v>
      </c>
      <c r="M186" s="17">
        <v>4.3600000000000003E-4</v>
      </c>
      <c r="N186" s="12">
        <v>46275</v>
      </c>
      <c r="O186" s="7">
        <v>37</v>
      </c>
      <c r="P186" s="15">
        <f>(IF(G186&gt;0,G186+I186,I186)-(O186*Ventas!AE257*0.9189))</f>
        <v>0</v>
      </c>
      <c r="Q186" s="3"/>
      <c r="R186" s="8">
        <v>0</v>
      </c>
      <c r="S186" s="15">
        <f>IF(P186&gt;0,P186+R186,R186)</f>
        <v>0</v>
      </c>
      <c r="T186" s="3"/>
      <c r="U186" s="15">
        <v>70</v>
      </c>
      <c r="V186" s="17">
        <v>4.3600000000000003E-4</v>
      </c>
      <c r="W186" s="12">
        <v>46331</v>
      </c>
      <c r="X186" s="7">
        <v>56</v>
      </c>
      <c r="Y186" s="15">
        <f>(IF(P186&gt;0,P186+R186,R186)-(X186*Ventas!AE257*0.925))</f>
        <v>0</v>
      </c>
      <c r="Z186" s="3"/>
      <c r="AA186" s="15">
        <f>(120*(Ventas!AE257*1.485) - IF(Y186&gt;0,Y186,0))</f>
        <v>0</v>
      </c>
      <c r="AB186" s="15">
        <v>0</v>
      </c>
      <c r="AC186" s="15">
        <f>IF(Y186&gt;0,Y186+IF(AB186&gt;0,AB186,0),AB186)</f>
        <v>0</v>
      </c>
      <c r="AD186" s="3"/>
      <c r="AE186" s="3"/>
      <c r="AF186" s="3"/>
      <c r="AG186" s="3"/>
      <c r="AH186" s="1" t="s">
        <v>32</v>
      </c>
      <c r="AI186">
        <f t="shared" si="2"/>
        <v>0</v>
      </c>
    </row>
    <row r="187" spans="1:35" x14ac:dyDescent="0.25">
      <c r="A187" s="1"/>
      <c r="B187" s="1" t="s">
        <v>588</v>
      </c>
      <c r="C187" s="14" t="s">
        <v>589</v>
      </c>
      <c r="D187" s="3"/>
      <c r="E187" s="12">
        <v>46238</v>
      </c>
      <c r="F187" s="7">
        <v>1</v>
      </c>
      <c r="G187" s="15">
        <f>(D187-(0)+0-(F187*Ventas!AE262*1))</f>
        <v>0</v>
      </c>
      <c r="H187" s="18" t="e">
        <f>(G187/(Ventas!AE262*1)/60)</f>
        <v>#DIV/0!</v>
      </c>
      <c r="I187" s="8">
        <v>0</v>
      </c>
      <c r="J187" s="15">
        <f>IF(G187&gt;0,G187+I187,I187)</f>
        <v>0</v>
      </c>
      <c r="K187" s="3"/>
      <c r="L187" s="15">
        <v>44</v>
      </c>
      <c r="M187" s="17">
        <v>7.67E-4</v>
      </c>
      <c r="N187" s="12">
        <v>46275</v>
      </c>
      <c r="O187" s="7">
        <v>37</v>
      </c>
      <c r="P187" s="15">
        <f>(IF(G187&gt;0,G187+I187,I187)-(O187*Ventas!AE262*0.9189))</f>
        <v>0</v>
      </c>
      <c r="Q187" s="18" t="e">
        <f>(P187/(Ventas!AE262*0.9189)/60)</f>
        <v>#DIV/0!</v>
      </c>
      <c r="R187" s="8">
        <v>0</v>
      </c>
      <c r="S187" s="15">
        <f>IF(P187&gt;0,P187+R187,R187)</f>
        <v>0</v>
      </c>
      <c r="T187" s="3"/>
      <c r="U187" s="15">
        <v>44</v>
      </c>
      <c r="V187" s="17">
        <v>7.67E-4</v>
      </c>
      <c r="W187" s="12">
        <v>46331</v>
      </c>
      <c r="X187" s="7">
        <v>56</v>
      </c>
      <c r="Y187" s="15">
        <f>(IF(P187&gt;0,P187+R187,R187)-(X187*Ventas!AE262*0.925))</f>
        <v>0</v>
      </c>
      <c r="Z187" s="18" t="e">
        <f>(Y187/(Ventas!AE262*0.925)/60)</f>
        <v>#DIV/0!</v>
      </c>
      <c r="AA187" s="15">
        <f>(120*(Ventas!AE262*1.485) - IF(Y187&gt;0,Y187,0))</f>
        <v>0</v>
      </c>
      <c r="AB187" s="15">
        <v>0</v>
      </c>
      <c r="AC187" s="15">
        <f>IF(Y187&gt;0,Y187+IF(AB187&gt;0,AB187,0),AB187)</f>
        <v>0</v>
      </c>
      <c r="AD187" s="16">
        <v>5.48</v>
      </c>
      <c r="AE187" s="8">
        <v>3010</v>
      </c>
      <c r="AF187" s="15">
        <f>(AC187-(60*Ventas!AE262*1.485))</f>
        <v>0</v>
      </c>
      <c r="AG187" s="18" t="e">
        <f>(AF187/(Ventas!AE262*1.485)/60)</f>
        <v>#DIV/0!</v>
      </c>
      <c r="AH187" s="1" t="s">
        <v>32</v>
      </c>
      <c r="AI187">
        <f t="shared" si="2"/>
        <v>0</v>
      </c>
    </row>
    <row r="188" spans="1:35" x14ac:dyDescent="0.25">
      <c r="A188" s="1"/>
      <c r="B188" s="1" t="s">
        <v>604</v>
      </c>
      <c r="C188" s="14" t="s">
        <v>605</v>
      </c>
      <c r="D188" s="3"/>
      <c r="E188" s="12">
        <v>46238</v>
      </c>
      <c r="F188" s="7">
        <v>1</v>
      </c>
      <c r="G188" s="15">
        <f>(D188-(0)+0-(F188*Ventas!AE270*1))</f>
        <v>0</v>
      </c>
      <c r="H188" s="3"/>
      <c r="I188" s="8">
        <v>0</v>
      </c>
      <c r="J188" s="15">
        <f>IF(G188&gt;0,G188+I188,I188)</f>
        <v>0</v>
      </c>
      <c r="K188" s="3"/>
      <c r="L188" s="15">
        <v>44</v>
      </c>
      <c r="M188" s="17">
        <v>8.4699999999999999E-4</v>
      </c>
      <c r="N188" s="12">
        <v>46275</v>
      </c>
      <c r="O188" s="7">
        <v>37</v>
      </c>
      <c r="P188" s="15">
        <f>(IF(G188&gt;0,G188+I188,I188)-(O188*Ventas!AE270*0.9189))</f>
        <v>0</v>
      </c>
      <c r="Q188" s="3"/>
      <c r="R188" s="8">
        <v>0</v>
      </c>
      <c r="S188" s="15">
        <f>IF(P188&gt;0,P188+R188,R188)</f>
        <v>0</v>
      </c>
      <c r="T188" s="3"/>
      <c r="U188" s="15">
        <v>44</v>
      </c>
      <c r="V188" s="17">
        <v>8.4699999999999999E-4</v>
      </c>
      <c r="W188" s="12">
        <v>46331</v>
      </c>
      <c r="X188" s="7">
        <v>56</v>
      </c>
      <c r="Y188" s="15">
        <f>(IF(P188&gt;0,P188+R188,R188)-(X188*Ventas!AE270*0.925))</f>
        <v>0</v>
      </c>
      <c r="Z188" s="3"/>
      <c r="AA188" s="15">
        <f>(120*(Ventas!AE270*1.485) - IF(Y188&gt;0,Y188,0))</f>
        <v>0</v>
      </c>
      <c r="AB188" s="15">
        <v>0</v>
      </c>
      <c r="AC188" s="15">
        <f>IF(Y188&gt;0,Y188+IF(AB188&gt;0,AB188,0),AB188)</f>
        <v>0</v>
      </c>
      <c r="AD188" s="16">
        <v>7</v>
      </c>
      <c r="AE188" s="8">
        <v>3027</v>
      </c>
      <c r="AF188" s="3"/>
      <c r="AG188" s="3"/>
      <c r="AH188" s="1" t="s">
        <v>35</v>
      </c>
      <c r="AI188">
        <f t="shared" si="2"/>
        <v>0</v>
      </c>
    </row>
    <row r="189" spans="1:35" x14ac:dyDescent="0.25">
      <c r="A189" s="1"/>
      <c r="B189" s="1" t="s">
        <v>606</v>
      </c>
      <c r="C189" s="14" t="s">
        <v>607</v>
      </c>
      <c r="D189" s="3"/>
      <c r="E189" s="12">
        <v>46238</v>
      </c>
      <c r="F189" s="7">
        <v>1</v>
      </c>
      <c r="G189" s="15">
        <f>(D189-(0)+0-(F189*Ventas!AE293*1))</f>
        <v>0</v>
      </c>
      <c r="H189" s="3"/>
      <c r="I189" s="8">
        <v>0</v>
      </c>
      <c r="J189" s="15">
        <f>IF(G189&gt;0,G189+I189,I189)</f>
        <v>0</v>
      </c>
      <c r="K189" s="3"/>
      <c r="L189" s="15">
        <v>12</v>
      </c>
      <c r="M189" s="17">
        <v>3.5829999999999998E-3</v>
      </c>
      <c r="N189" s="12">
        <v>46275</v>
      </c>
      <c r="O189" s="7">
        <v>37</v>
      </c>
      <c r="P189" s="15">
        <f>(IF(G189&gt;0,G189+I189,I189)-(O189*Ventas!AE293*0.9189))</f>
        <v>0</v>
      </c>
      <c r="Q189" s="3"/>
      <c r="R189" s="8">
        <v>0</v>
      </c>
      <c r="S189" s="15">
        <f>IF(P189&gt;0,P189+R189,R189)</f>
        <v>0</v>
      </c>
      <c r="T189" s="3"/>
      <c r="U189" s="15">
        <v>12</v>
      </c>
      <c r="V189" s="17">
        <v>3.5829999999999998E-3</v>
      </c>
      <c r="W189" s="12">
        <v>46331</v>
      </c>
      <c r="X189" s="7">
        <v>56</v>
      </c>
      <c r="Y189" s="15">
        <f>(IF(P189&gt;0,P189+R189,R189)-(X189*Ventas!AE293*0.925))</f>
        <v>0</v>
      </c>
      <c r="Z189" s="3"/>
      <c r="AA189" s="15">
        <f>(120*(Ventas!AE293*1.485) - IF(Y189&gt;0,Y189,0))</f>
        <v>0</v>
      </c>
      <c r="AB189" s="15">
        <v>0</v>
      </c>
      <c r="AC189" s="15">
        <f>IF(Y189&gt;0,Y189+IF(AB189&gt;0,AB189,0),AB189)</f>
        <v>0</v>
      </c>
      <c r="AD189" s="16">
        <v>12.71</v>
      </c>
      <c r="AE189" s="8">
        <v>3027</v>
      </c>
      <c r="AF189" s="3"/>
      <c r="AG189" s="3"/>
      <c r="AH189" s="1" t="s">
        <v>35</v>
      </c>
      <c r="AI189">
        <f t="shared" si="2"/>
        <v>0</v>
      </c>
    </row>
    <row r="190" spans="1:35" x14ac:dyDescent="0.25">
      <c r="A190" s="1"/>
      <c r="B190" s="1" t="s">
        <v>608</v>
      </c>
      <c r="C190" s="14" t="s">
        <v>609</v>
      </c>
      <c r="D190" s="3"/>
      <c r="E190" s="12">
        <v>46238</v>
      </c>
      <c r="F190" s="7">
        <v>1</v>
      </c>
      <c r="G190" s="15">
        <f>(D190-(0)+0-(F190*Ventas!AE294*1))</f>
        <v>0</v>
      </c>
      <c r="H190" s="3"/>
      <c r="I190" s="8">
        <v>0</v>
      </c>
      <c r="J190" s="15">
        <f>IF(G190&gt;0,G190+I190,I190)</f>
        <v>0</v>
      </c>
      <c r="K190" s="3"/>
      <c r="L190" s="15">
        <v>12</v>
      </c>
      <c r="M190" s="17">
        <v>3.5829999999999998E-3</v>
      </c>
      <c r="N190" s="12">
        <v>46275</v>
      </c>
      <c r="O190" s="7">
        <v>37</v>
      </c>
      <c r="P190" s="15">
        <f>(IF(G190&gt;0,G190+I190,I190)-(O190*Ventas!AE294*0.9189))</f>
        <v>0</v>
      </c>
      <c r="Q190" s="3"/>
      <c r="R190" s="8">
        <v>0</v>
      </c>
      <c r="S190" s="15">
        <f>IF(P190&gt;0,P190+R190,R190)</f>
        <v>0</v>
      </c>
      <c r="T190" s="3"/>
      <c r="U190" s="15">
        <v>12</v>
      </c>
      <c r="V190" s="17">
        <v>3.5829999999999998E-3</v>
      </c>
      <c r="W190" s="12">
        <v>46331</v>
      </c>
      <c r="X190" s="7">
        <v>56</v>
      </c>
      <c r="Y190" s="15">
        <f>(IF(P190&gt;0,P190+R190,R190)-(X190*Ventas!AE294*0.925))</f>
        <v>0</v>
      </c>
      <c r="Z190" s="3"/>
      <c r="AA190" s="15">
        <f>(120*(Ventas!AE294*1.485) - IF(Y190&gt;0,Y190,0))</f>
        <v>0</v>
      </c>
      <c r="AB190" s="15">
        <v>0</v>
      </c>
      <c r="AC190" s="15">
        <f>IF(Y190&gt;0,Y190+IF(AB190&gt;0,AB190,0),AB190)</f>
        <v>0</v>
      </c>
      <c r="AD190" s="16">
        <v>11.14</v>
      </c>
      <c r="AE190" s="8">
        <v>3027</v>
      </c>
      <c r="AF190" s="3"/>
      <c r="AG190" s="3"/>
      <c r="AH190" s="1" t="s">
        <v>35</v>
      </c>
      <c r="AI190">
        <f t="shared" si="2"/>
        <v>0</v>
      </c>
    </row>
    <row r="191" spans="1:35" x14ac:dyDescent="0.25">
      <c r="A191" s="1"/>
      <c r="B191" s="1" t="s">
        <v>610</v>
      </c>
      <c r="C191" s="14" t="s">
        <v>611</v>
      </c>
      <c r="D191" s="3"/>
      <c r="E191" s="12">
        <v>46238</v>
      </c>
      <c r="F191" s="7">
        <v>1</v>
      </c>
      <c r="G191" s="15">
        <f>(D191-(0)+0-(F191*Ventas!AE271*1))</f>
        <v>0</v>
      </c>
      <c r="H191" s="3"/>
      <c r="I191" s="8">
        <v>0</v>
      </c>
      <c r="J191" s="15">
        <f>IF(G191&gt;0,G191+I191,I191)</f>
        <v>0</v>
      </c>
      <c r="K191" s="3"/>
      <c r="L191" s="15">
        <v>44</v>
      </c>
      <c r="M191" s="17">
        <v>7.7300000000000003E-4</v>
      </c>
      <c r="N191" s="12">
        <v>46275</v>
      </c>
      <c r="O191" s="7">
        <v>37</v>
      </c>
      <c r="P191" s="15">
        <f>(IF(G191&gt;0,G191+I191,I191)-(O191*Ventas!AE271*0.9189))</f>
        <v>0</v>
      </c>
      <c r="Q191" s="3"/>
      <c r="R191" s="8">
        <v>0</v>
      </c>
      <c r="S191" s="15">
        <f>IF(P191&gt;0,P191+R191,R191)</f>
        <v>0</v>
      </c>
      <c r="T191" s="3"/>
      <c r="U191" s="15">
        <v>44</v>
      </c>
      <c r="V191" s="17">
        <v>7.7300000000000003E-4</v>
      </c>
      <c r="W191" s="12">
        <v>46331</v>
      </c>
      <c r="X191" s="7">
        <v>56</v>
      </c>
      <c r="Y191" s="15">
        <f>(IF(P191&gt;0,P191+R191,R191)-(X191*Ventas!AE271*0.925))</f>
        <v>0</v>
      </c>
      <c r="Z191" s="3"/>
      <c r="AA191" s="15">
        <f>(120*(Ventas!AE271*1.485) - IF(Y191&gt;0,Y191,0))</f>
        <v>0</v>
      </c>
      <c r="AB191" s="15">
        <v>0</v>
      </c>
      <c r="AC191" s="15">
        <f>IF(Y191&gt;0,Y191+IF(AB191&gt;0,AB191,0),AB191)</f>
        <v>0</v>
      </c>
      <c r="AD191" s="3"/>
      <c r="AE191" s="8">
        <v>3010</v>
      </c>
      <c r="AF191" s="3"/>
      <c r="AG191" s="3"/>
      <c r="AH191" s="1" t="s">
        <v>35</v>
      </c>
      <c r="AI191">
        <f t="shared" si="2"/>
        <v>0</v>
      </c>
    </row>
    <row r="192" spans="1:35" x14ac:dyDescent="0.25">
      <c r="A192" s="1"/>
      <c r="B192" s="1" t="s">
        <v>612</v>
      </c>
      <c r="C192" s="14" t="s">
        <v>613</v>
      </c>
      <c r="D192" s="3"/>
      <c r="E192" s="12">
        <v>46238</v>
      </c>
      <c r="F192" s="7">
        <v>1</v>
      </c>
      <c r="G192" s="15">
        <f>(D192-(0)+0-(F192*Ventas!AE272*1))</f>
        <v>0</v>
      </c>
      <c r="H192" s="3"/>
      <c r="I192" s="8">
        <v>0</v>
      </c>
      <c r="J192" s="15">
        <f>IF(G192&gt;0,G192+I192,I192)</f>
        <v>0</v>
      </c>
      <c r="K192" s="3"/>
      <c r="L192" s="15">
        <v>44</v>
      </c>
      <c r="M192" s="17">
        <v>7.7300000000000003E-4</v>
      </c>
      <c r="N192" s="12">
        <v>46275</v>
      </c>
      <c r="O192" s="7">
        <v>37</v>
      </c>
      <c r="P192" s="15">
        <f>(IF(G192&gt;0,G192+I192,I192)-(O192*Ventas!AE272*0.9189))</f>
        <v>0</v>
      </c>
      <c r="Q192" s="3"/>
      <c r="R192" s="8">
        <v>0</v>
      </c>
      <c r="S192" s="15">
        <f>IF(P192&gt;0,P192+R192,R192)</f>
        <v>0</v>
      </c>
      <c r="T192" s="3"/>
      <c r="U192" s="15">
        <v>44</v>
      </c>
      <c r="V192" s="17">
        <v>7.7300000000000003E-4</v>
      </c>
      <c r="W192" s="12">
        <v>46331</v>
      </c>
      <c r="X192" s="7">
        <v>56</v>
      </c>
      <c r="Y192" s="15">
        <f>(IF(P192&gt;0,P192+R192,R192)-(X192*Ventas!AE272*0.925))</f>
        <v>0</v>
      </c>
      <c r="Z192" s="3"/>
      <c r="AA192" s="15">
        <f>(120*(Ventas!AE272*1.485) - IF(Y192&gt;0,Y192,0))</f>
        <v>0</v>
      </c>
      <c r="AB192" s="15">
        <v>0</v>
      </c>
      <c r="AC192" s="15">
        <f>IF(Y192&gt;0,Y192+IF(AB192&gt;0,AB192,0),AB192)</f>
        <v>0</v>
      </c>
      <c r="AD192" s="3"/>
      <c r="AE192" s="8">
        <v>3010</v>
      </c>
      <c r="AF192" s="3"/>
      <c r="AG192" s="3"/>
      <c r="AH192" s="1" t="s">
        <v>35</v>
      </c>
      <c r="AI192">
        <f t="shared" si="2"/>
        <v>0</v>
      </c>
    </row>
    <row r="193" spans="1:35" x14ac:dyDescent="0.25">
      <c r="A193" s="1"/>
      <c r="B193" s="1" t="s">
        <v>614</v>
      </c>
      <c r="C193" s="14" t="s">
        <v>615</v>
      </c>
      <c r="D193" s="3"/>
      <c r="E193" s="12">
        <v>46238</v>
      </c>
      <c r="F193" s="7">
        <v>1</v>
      </c>
      <c r="G193" s="15">
        <f>(D193-(0)+0-(F193*Ventas!AE273*1))</f>
        <v>0</v>
      </c>
      <c r="H193" s="3"/>
      <c r="I193" s="8">
        <v>0</v>
      </c>
      <c r="J193" s="15">
        <f>IF(G193&gt;0,G193+I193,I193)</f>
        <v>0</v>
      </c>
      <c r="K193" s="3"/>
      <c r="L193" s="15">
        <v>44</v>
      </c>
      <c r="M193" s="17">
        <v>7.7300000000000003E-4</v>
      </c>
      <c r="N193" s="12">
        <v>46275</v>
      </c>
      <c r="O193" s="7">
        <v>37</v>
      </c>
      <c r="P193" s="15">
        <f>(IF(G193&gt;0,G193+I193,I193)-(O193*Ventas!AE273*0.9189))</f>
        <v>0</v>
      </c>
      <c r="Q193" s="3"/>
      <c r="R193" s="8">
        <v>0</v>
      </c>
      <c r="S193" s="15">
        <f>IF(P193&gt;0,P193+R193,R193)</f>
        <v>0</v>
      </c>
      <c r="T193" s="3"/>
      <c r="U193" s="15">
        <v>44</v>
      </c>
      <c r="V193" s="17">
        <v>7.7300000000000003E-4</v>
      </c>
      <c r="W193" s="12">
        <v>46331</v>
      </c>
      <c r="X193" s="7">
        <v>56</v>
      </c>
      <c r="Y193" s="15">
        <f>(IF(P193&gt;0,P193+R193,R193)-(X193*Ventas!AE273*0.925))</f>
        <v>0</v>
      </c>
      <c r="Z193" s="3"/>
      <c r="AA193" s="15">
        <f>(120*(Ventas!AE273*1.485) - IF(Y193&gt;0,Y193,0))</f>
        <v>0</v>
      </c>
      <c r="AB193" s="15">
        <v>0</v>
      </c>
      <c r="AC193" s="15">
        <f>IF(Y193&gt;0,Y193+IF(AB193&gt;0,AB193,0),AB193)</f>
        <v>0</v>
      </c>
      <c r="AD193" s="3"/>
      <c r="AE193" s="8">
        <v>3010</v>
      </c>
      <c r="AF193" s="3"/>
      <c r="AG193" s="3"/>
      <c r="AH193" s="1" t="s">
        <v>35</v>
      </c>
      <c r="AI193">
        <f t="shared" si="2"/>
        <v>0</v>
      </c>
    </row>
    <row r="194" spans="1:35" x14ac:dyDescent="0.25">
      <c r="A194" s="1"/>
      <c r="B194" s="1" t="s">
        <v>616</v>
      </c>
      <c r="C194" s="14" t="s">
        <v>617</v>
      </c>
      <c r="D194" s="3"/>
      <c r="E194" s="12">
        <v>46238</v>
      </c>
      <c r="F194" s="7">
        <v>1</v>
      </c>
      <c r="G194" s="15">
        <f>(D194-(0)+0-(F194*Ventas!AE274*1))</f>
        <v>0</v>
      </c>
      <c r="H194" s="3"/>
      <c r="I194" s="8">
        <v>0</v>
      </c>
      <c r="J194" s="15">
        <f>IF(G194&gt;0,G194+I194,I194)</f>
        <v>0</v>
      </c>
      <c r="K194" s="3"/>
      <c r="L194" s="15">
        <v>44</v>
      </c>
      <c r="M194" s="17">
        <v>7.7300000000000003E-4</v>
      </c>
      <c r="N194" s="12">
        <v>46275</v>
      </c>
      <c r="O194" s="7">
        <v>37</v>
      </c>
      <c r="P194" s="15">
        <f>(IF(G194&gt;0,G194+I194,I194)-(O194*Ventas!AE274*0.9189))</f>
        <v>0</v>
      </c>
      <c r="Q194" s="3"/>
      <c r="R194" s="8">
        <v>0</v>
      </c>
      <c r="S194" s="15">
        <f>IF(P194&gt;0,P194+R194,R194)</f>
        <v>0</v>
      </c>
      <c r="T194" s="3"/>
      <c r="U194" s="15">
        <v>44</v>
      </c>
      <c r="V194" s="17">
        <v>7.7300000000000003E-4</v>
      </c>
      <c r="W194" s="12">
        <v>46331</v>
      </c>
      <c r="X194" s="7">
        <v>56</v>
      </c>
      <c r="Y194" s="15">
        <f>(IF(P194&gt;0,P194+R194,R194)-(X194*Ventas!AE274*0.925))</f>
        <v>0</v>
      </c>
      <c r="Z194" s="3"/>
      <c r="AA194" s="15">
        <f>(120*(Ventas!AE274*1.485) - IF(Y194&gt;0,Y194,0))</f>
        <v>0</v>
      </c>
      <c r="AB194" s="91">
        <v>44</v>
      </c>
      <c r="AC194" s="15">
        <f>IF(Y194&gt;0,Y194+IF(AB194&gt;0,AB194,0),AB194)</f>
        <v>44</v>
      </c>
      <c r="AD194" s="3">
        <v>4.53</v>
      </c>
      <c r="AE194" s="8">
        <v>3010</v>
      </c>
      <c r="AF194" s="3"/>
      <c r="AG194" s="3"/>
      <c r="AH194" s="1" t="s">
        <v>35</v>
      </c>
      <c r="AI194">
        <f t="shared" si="2"/>
        <v>199.32000000000002</v>
      </c>
    </row>
    <row r="195" spans="1:35" x14ac:dyDescent="0.25">
      <c r="A195" s="1"/>
      <c r="B195" s="1" t="s">
        <v>626</v>
      </c>
      <c r="C195" s="14" t="s">
        <v>627</v>
      </c>
      <c r="D195" s="3"/>
      <c r="E195" s="12">
        <v>46238</v>
      </c>
      <c r="F195" s="7">
        <v>1</v>
      </c>
      <c r="G195" s="15">
        <f>(D195-(0)+0-(F195*Ventas!AE279*1))</f>
        <v>0</v>
      </c>
      <c r="H195" s="3"/>
      <c r="I195" s="8">
        <v>0</v>
      </c>
      <c r="J195" s="15">
        <f>IF(G195&gt;0,G195+I195,I195)</f>
        <v>0</v>
      </c>
      <c r="K195" s="3"/>
      <c r="L195" s="3">
        <v>44</v>
      </c>
      <c r="M195" s="3"/>
      <c r="N195" s="12">
        <v>46275</v>
      </c>
      <c r="O195" s="7">
        <v>37</v>
      </c>
      <c r="P195" s="15">
        <f>(IF(G195&gt;0,G195+I195,I195)-(O195*Ventas!AE279*0.9189))</f>
        <v>0</v>
      </c>
      <c r="Q195" s="3"/>
      <c r="R195" s="8">
        <v>132</v>
      </c>
      <c r="S195" s="15">
        <f>IF(P195&gt;0,P195+R195,R195)</f>
        <v>132</v>
      </c>
      <c r="T195" s="15">
        <v>4.0199999999999996</v>
      </c>
      <c r="U195" s="3">
        <v>44</v>
      </c>
      <c r="V195" s="3"/>
      <c r="W195" s="12">
        <v>46331</v>
      </c>
      <c r="X195" s="7">
        <v>56</v>
      </c>
      <c r="Y195" s="15">
        <f>(IF(P195&gt;0,P195+R195,R195)-(X195*Ventas!AE279*0.925))</f>
        <v>132</v>
      </c>
      <c r="Z195" s="3"/>
      <c r="AA195" s="15">
        <f>(120*(Ventas!AE279*1.485) - IF(Y195&gt;0,Y195,0))</f>
        <v>-132</v>
      </c>
      <c r="AB195" s="15">
        <v>0</v>
      </c>
      <c r="AC195" s="15">
        <f>IF(Y195&gt;0,Y195+IF(AB195&gt;0,AB195,0),AB195)</f>
        <v>132</v>
      </c>
      <c r="AD195" s="3"/>
      <c r="AE195" s="3"/>
      <c r="AF195" s="3"/>
      <c r="AG195" s="3"/>
      <c r="AH195" s="1" t="s">
        <v>35</v>
      </c>
      <c r="AI195">
        <f t="shared" si="2"/>
        <v>0</v>
      </c>
    </row>
    <row r="196" spans="1:35" x14ac:dyDescent="0.25">
      <c r="A196" s="1"/>
      <c r="B196" s="1" t="s">
        <v>628</v>
      </c>
      <c r="C196" s="14" t="s">
        <v>629</v>
      </c>
      <c r="D196" s="3"/>
      <c r="E196" s="12">
        <v>46238</v>
      </c>
      <c r="F196" s="7">
        <v>1</v>
      </c>
      <c r="G196" s="15">
        <f>(D196-(0)+0-(F196*Ventas!AE280*1))</f>
        <v>0</v>
      </c>
      <c r="H196" s="3"/>
      <c r="I196" s="8">
        <v>108</v>
      </c>
      <c r="J196" s="15">
        <f>IF(G196&gt;0,G196+I196,I196)</f>
        <v>108</v>
      </c>
      <c r="K196" s="15">
        <v>7.36</v>
      </c>
      <c r="L196" s="3">
        <v>54</v>
      </c>
      <c r="M196" s="3"/>
      <c r="N196" s="12">
        <v>46275</v>
      </c>
      <c r="O196" s="7">
        <v>37</v>
      </c>
      <c r="P196" s="15">
        <f>(IF(G196&gt;0,G196+I196,I196)-(O196*Ventas!AE280*0.9189))</f>
        <v>108</v>
      </c>
      <c r="Q196" s="3"/>
      <c r="R196" s="8">
        <v>0</v>
      </c>
      <c r="S196" s="15">
        <f>IF(P196&gt;0,P196+R196,R196)</f>
        <v>108</v>
      </c>
      <c r="T196" s="3"/>
      <c r="U196" s="3">
        <v>54</v>
      </c>
      <c r="V196" s="3"/>
      <c r="W196" s="12">
        <v>46331</v>
      </c>
      <c r="X196" s="7">
        <v>56</v>
      </c>
      <c r="Y196" s="15">
        <f>(IF(P196&gt;0,P196+R196,R196)-(X196*Ventas!AE280*0.925))</f>
        <v>108</v>
      </c>
      <c r="Z196" s="3"/>
      <c r="AA196" s="15">
        <f>(120*(Ventas!AE280*1.485) - IF(Y196&gt;0,Y196,0))</f>
        <v>-108</v>
      </c>
      <c r="AB196" s="15">
        <v>0</v>
      </c>
      <c r="AC196" s="15">
        <f>IF(Y196&gt;0,Y196+IF(AB196&gt;0,AB196,0),AB196)</f>
        <v>108</v>
      </c>
      <c r="AD196" s="16">
        <v>7.36</v>
      </c>
      <c r="AE196" s="8">
        <v>3025</v>
      </c>
      <c r="AF196" s="3"/>
      <c r="AG196" s="3"/>
      <c r="AH196" s="1" t="s">
        <v>35</v>
      </c>
      <c r="AI196">
        <f t="shared" si="2"/>
        <v>0</v>
      </c>
    </row>
    <row r="197" spans="1:35" x14ac:dyDescent="0.25">
      <c r="A197" s="1"/>
      <c r="B197" s="1" t="s">
        <v>630</v>
      </c>
      <c r="C197" s="14" t="s">
        <v>631</v>
      </c>
      <c r="D197" s="3"/>
      <c r="E197" s="12">
        <v>46238</v>
      </c>
      <c r="F197" s="7">
        <v>1</v>
      </c>
      <c r="G197" s="15">
        <f>(D197-(0)+0-(F197*Ventas!AE281*1))</f>
        <v>0</v>
      </c>
      <c r="H197" s="3"/>
      <c r="I197" s="8">
        <v>108</v>
      </c>
      <c r="J197" s="15">
        <f>IF(G197&gt;0,G197+I197,I197)</f>
        <v>108</v>
      </c>
      <c r="K197" s="15">
        <v>7.36</v>
      </c>
      <c r="L197" s="3">
        <v>54</v>
      </c>
      <c r="M197" s="3"/>
      <c r="N197" s="12">
        <v>46275</v>
      </c>
      <c r="O197" s="7">
        <v>37</v>
      </c>
      <c r="P197" s="15">
        <f>(IF(G197&gt;0,G197+I197,I197)-(O197*Ventas!AE281*0.9189))</f>
        <v>108</v>
      </c>
      <c r="Q197" s="3"/>
      <c r="R197" s="8">
        <v>0</v>
      </c>
      <c r="S197" s="15">
        <f>IF(P197&gt;0,P197+R197,R197)</f>
        <v>108</v>
      </c>
      <c r="T197" s="3"/>
      <c r="U197" s="86">
        <v>54</v>
      </c>
      <c r="V197" s="3"/>
      <c r="W197" s="12">
        <v>46331</v>
      </c>
      <c r="X197" s="7">
        <v>56</v>
      </c>
      <c r="Y197" s="15">
        <f>(IF(P197&gt;0,P197+R197,R197)-(X197*Ventas!AE281*0.925))</f>
        <v>108</v>
      </c>
      <c r="Z197" s="3"/>
      <c r="AA197" s="15">
        <f>(120*(Ventas!AE281*1.485) - IF(Y197&gt;0,Y197,0))</f>
        <v>-108</v>
      </c>
      <c r="AB197" s="15">
        <v>0</v>
      </c>
      <c r="AC197" s="15">
        <f>IF(Y197&gt;0,Y197+IF(AB197&gt;0,AB197,0),AB197)</f>
        <v>108</v>
      </c>
      <c r="AD197" s="16">
        <v>7.36</v>
      </c>
      <c r="AE197" s="8">
        <v>3025</v>
      </c>
      <c r="AF197" s="3"/>
      <c r="AG197" s="3"/>
      <c r="AH197" s="1" t="s">
        <v>35</v>
      </c>
      <c r="AI197">
        <f t="shared" si="2"/>
        <v>0</v>
      </c>
    </row>
    <row r="198" spans="1:35" x14ac:dyDescent="0.25">
      <c r="A198" s="1"/>
      <c r="B198" s="74" t="s">
        <v>632</v>
      </c>
      <c r="C198" s="14" t="s">
        <v>633</v>
      </c>
      <c r="D198" s="3"/>
      <c r="E198" s="12">
        <v>46238</v>
      </c>
      <c r="F198" s="7">
        <v>1</v>
      </c>
      <c r="G198" s="15">
        <f>(D198-(0)+0-(F198*Ventas!AE282*1))</f>
        <v>0</v>
      </c>
      <c r="H198" s="3"/>
      <c r="I198" s="8">
        <v>88</v>
      </c>
      <c r="J198" s="15">
        <f>IF(G198&gt;0,G198+I198,I198)</f>
        <v>88</v>
      </c>
      <c r="K198" s="15">
        <v>5.41</v>
      </c>
      <c r="L198" s="3">
        <v>44</v>
      </c>
      <c r="M198" s="3"/>
      <c r="N198" s="12">
        <v>46275</v>
      </c>
      <c r="O198" s="7">
        <v>37</v>
      </c>
      <c r="P198" s="15">
        <f>(IF(G198&gt;0,G198+I198,I198)-(O198*Ventas!AE282*0.9189))</f>
        <v>88</v>
      </c>
      <c r="Q198" s="3"/>
      <c r="R198" s="8">
        <v>0</v>
      </c>
      <c r="S198" s="15">
        <f>IF(P198&gt;0,P198+R198,R198)</f>
        <v>88</v>
      </c>
      <c r="T198" s="3"/>
      <c r="U198" s="86">
        <v>44</v>
      </c>
      <c r="V198" s="3"/>
      <c r="W198" s="12">
        <v>46331</v>
      </c>
      <c r="X198" s="7">
        <v>56</v>
      </c>
      <c r="Y198" s="15">
        <f>(IF(P198&gt;0,P198+R198,R198)-(X198*Ventas!AE282*0.925))</f>
        <v>88</v>
      </c>
      <c r="Z198" s="3"/>
      <c r="AA198" s="15">
        <f>(120*(Ventas!AE282*1.485) - IF(Y198&gt;0,Y198,0))</f>
        <v>-88</v>
      </c>
      <c r="AB198" s="15">
        <v>0</v>
      </c>
      <c r="AC198" s="15">
        <f>IF(Y198&gt;0,Y198+IF(AB198&gt;0,AB198,0),AB198)</f>
        <v>88</v>
      </c>
      <c r="AD198" s="16">
        <v>5.41</v>
      </c>
      <c r="AE198" s="8">
        <v>3025</v>
      </c>
      <c r="AF198" s="3"/>
      <c r="AG198" s="3"/>
      <c r="AH198" s="1" t="s">
        <v>35</v>
      </c>
      <c r="AI198">
        <f t="shared" ref="AI198:AI261" si="3">AD198*AB198</f>
        <v>0</v>
      </c>
    </row>
    <row r="199" spans="1:35" x14ac:dyDescent="0.25">
      <c r="A199" s="1"/>
      <c r="B199" s="76" t="s">
        <v>634</v>
      </c>
      <c r="C199" s="14" t="s">
        <v>635</v>
      </c>
      <c r="D199" s="3"/>
      <c r="E199" s="12">
        <v>46238</v>
      </c>
      <c r="F199" s="7">
        <v>1</v>
      </c>
      <c r="G199" s="15">
        <f>(D199-(0)+0-(F199*Ventas!AE283*1))</f>
        <v>0</v>
      </c>
      <c r="H199" s="3"/>
      <c r="I199" s="8">
        <v>0</v>
      </c>
      <c r="J199" s="15">
        <f>IF(G199&gt;0,G199+I199,I199)</f>
        <v>0</v>
      </c>
      <c r="K199" s="3"/>
      <c r="L199" s="3">
        <v>44</v>
      </c>
      <c r="M199" s="3"/>
      <c r="N199" s="12">
        <v>46275</v>
      </c>
      <c r="O199" s="7">
        <v>37</v>
      </c>
      <c r="P199" s="15">
        <f>(IF(G199&gt;0,G199+I199,I199)-(O199*Ventas!AE283*0.9189))</f>
        <v>0</v>
      </c>
      <c r="Q199" s="3"/>
      <c r="R199" s="8">
        <v>0</v>
      </c>
      <c r="S199" s="15">
        <f>IF(P199&gt;0,P199+R199,R199)</f>
        <v>0</v>
      </c>
      <c r="T199" s="3"/>
      <c r="U199" s="86">
        <v>44</v>
      </c>
      <c r="V199" s="3"/>
      <c r="W199" s="12">
        <v>46331</v>
      </c>
      <c r="X199" s="7">
        <v>56</v>
      </c>
      <c r="Y199" s="15">
        <f>(IF(P199&gt;0,P199+R199,R199)-(X199*Ventas!AE283*0.925))</f>
        <v>0</v>
      </c>
      <c r="Z199" s="3"/>
      <c r="AA199" s="15">
        <f>(120*(Ventas!AE283*1.485) - IF(Y199&gt;0,Y199,0))</f>
        <v>0</v>
      </c>
      <c r="AB199" s="15">
        <v>0</v>
      </c>
      <c r="AC199" s="15">
        <f>IF(Y199&gt;0,Y199+IF(AB199&gt;0,AB199,0),AB199)</f>
        <v>0</v>
      </c>
      <c r="AD199" s="3"/>
      <c r="AE199" s="3"/>
      <c r="AF199" s="3"/>
      <c r="AG199" s="3"/>
      <c r="AH199" s="1" t="s">
        <v>35</v>
      </c>
      <c r="AI199">
        <f t="shared" si="3"/>
        <v>0</v>
      </c>
    </row>
    <row r="200" spans="1:35" x14ac:dyDescent="0.25">
      <c r="A200" s="1"/>
      <c r="B200" s="1" t="s">
        <v>640</v>
      </c>
      <c r="C200" s="14" t="s">
        <v>641</v>
      </c>
      <c r="D200" s="3"/>
      <c r="E200" s="12">
        <v>46238</v>
      </c>
      <c r="F200" s="7">
        <v>1</v>
      </c>
      <c r="G200" s="15">
        <f>(D200-(0)+0-(F200*Ventas!AE286*1))</f>
        <v>0</v>
      </c>
      <c r="H200" s="3"/>
      <c r="I200" s="8">
        <v>1</v>
      </c>
      <c r="J200" s="15">
        <f>IF(G200&gt;0,G200+I200,I200)</f>
        <v>1</v>
      </c>
      <c r="K200" s="3"/>
      <c r="L200" s="3">
        <v>44</v>
      </c>
      <c r="M200" s="3"/>
      <c r="N200" s="12">
        <v>46275</v>
      </c>
      <c r="O200" s="7">
        <v>37</v>
      </c>
      <c r="P200" s="15">
        <f>(IF(G200&gt;0,G200+I200,I200)-(O200*Ventas!AE286*0.9189))</f>
        <v>1</v>
      </c>
      <c r="Q200" s="3"/>
      <c r="R200" s="8">
        <v>0</v>
      </c>
      <c r="S200" s="15">
        <f>IF(P200&gt;0,P200+R200,R200)</f>
        <v>1</v>
      </c>
      <c r="T200" s="3"/>
      <c r="U200" s="86">
        <v>44</v>
      </c>
      <c r="V200" s="3"/>
      <c r="W200" s="12">
        <v>46331</v>
      </c>
      <c r="X200" s="7">
        <v>56</v>
      </c>
      <c r="Y200" s="15">
        <f>(IF(P200&gt;0,P200+R200,R200)-(X200*Ventas!AE286*0.925))</f>
        <v>1</v>
      </c>
      <c r="Z200" s="3"/>
      <c r="AA200" s="15">
        <f>(120*(Ventas!AE286*1.485) - IF(Y200&gt;0,Y200,0))</f>
        <v>-1</v>
      </c>
      <c r="AB200" s="15">
        <v>0</v>
      </c>
      <c r="AC200" s="15">
        <f>IF(Y200&gt;0,Y200+IF(AB200&gt;0,AB200,0),AB200)</f>
        <v>1</v>
      </c>
      <c r="AD200" s="3"/>
      <c r="AE200" s="8">
        <v>3025</v>
      </c>
      <c r="AF200" s="3"/>
      <c r="AG200" s="3"/>
      <c r="AH200" s="1" t="s">
        <v>35</v>
      </c>
      <c r="AI200">
        <f t="shared" si="3"/>
        <v>0</v>
      </c>
    </row>
    <row r="201" spans="1:35" x14ac:dyDescent="0.25">
      <c r="A201" s="1"/>
      <c r="B201" s="92" t="s">
        <v>717</v>
      </c>
      <c r="C201" s="14" t="s">
        <v>643</v>
      </c>
      <c r="D201" s="3"/>
      <c r="E201" s="12">
        <v>46238</v>
      </c>
      <c r="F201" s="7">
        <v>1</v>
      </c>
      <c r="G201" s="15">
        <f>(D201-(0)+0-(F201*Ventas!AE287*1))</f>
        <v>0</v>
      </c>
      <c r="H201" s="3"/>
      <c r="I201" s="8">
        <v>1</v>
      </c>
      <c r="J201" s="15">
        <f>IF(G201&gt;0,G201+I201,I201)</f>
        <v>1</v>
      </c>
      <c r="K201" s="3"/>
      <c r="L201" s="3">
        <v>44</v>
      </c>
      <c r="M201" s="3"/>
      <c r="N201" s="12">
        <v>46275</v>
      </c>
      <c r="O201" s="7">
        <v>37</v>
      </c>
      <c r="P201" s="15">
        <f>(IF(G201&gt;0,G201+I201,I201)-(O201*Ventas!AE287*0.9189))</f>
        <v>1</v>
      </c>
      <c r="Q201" s="3"/>
      <c r="R201" s="8">
        <v>0</v>
      </c>
      <c r="S201" s="15">
        <f>IF(P201&gt;0,P201+R201,R201)</f>
        <v>1</v>
      </c>
      <c r="T201" s="3"/>
      <c r="U201" s="3">
        <v>44</v>
      </c>
      <c r="V201" s="3"/>
      <c r="W201" s="12">
        <v>46331</v>
      </c>
      <c r="X201" s="7">
        <v>56</v>
      </c>
      <c r="Y201" s="15">
        <f>(IF(P201&gt;0,P201+R201,R201)-(X201*Ventas!AE287*0.925))</f>
        <v>1</v>
      </c>
      <c r="Z201" s="3"/>
      <c r="AA201" s="15">
        <f>(120*(Ventas!AE287*1.485) - IF(Y201&gt;0,Y201,0))</f>
        <v>-1</v>
      </c>
      <c r="AB201" s="91">
        <v>44</v>
      </c>
      <c r="AC201" s="15">
        <f>IF(Y201&gt;0,Y201+IF(AB201&gt;0,AB201,0),AB201)</f>
        <v>45</v>
      </c>
      <c r="AD201" s="3"/>
      <c r="AE201" s="8">
        <v>3025</v>
      </c>
      <c r="AF201" s="3"/>
      <c r="AG201" s="3"/>
      <c r="AH201" s="1" t="s">
        <v>35</v>
      </c>
      <c r="AI201">
        <f t="shared" si="3"/>
        <v>0</v>
      </c>
    </row>
    <row r="202" spans="1:35" x14ac:dyDescent="0.25">
      <c r="A202" s="1"/>
      <c r="B202" s="1" t="s">
        <v>644</v>
      </c>
      <c r="C202" s="14" t="s">
        <v>645</v>
      </c>
      <c r="D202" s="3"/>
      <c r="E202" s="12">
        <v>46238</v>
      </c>
      <c r="F202" s="7">
        <v>1</v>
      </c>
      <c r="G202" s="15">
        <f>(D202-(0)+0-(F202*Ventas!AE288*1))</f>
        <v>0</v>
      </c>
      <c r="H202" s="3"/>
      <c r="I202" s="8">
        <v>1</v>
      </c>
      <c r="J202" s="15">
        <f>IF(G202&gt;0,G202+I202,I202)</f>
        <v>1</v>
      </c>
      <c r="K202" s="3"/>
      <c r="L202" s="3">
        <v>44</v>
      </c>
      <c r="M202" s="3"/>
      <c r="N202" s="12">
        <v>46275</v>
      </c>
      <c r="O202" s="7">
        <v>37</v>
      </c>
      <c r="P202" s="15">
        <f>(IF(G202&gt;0,G202+I202,I202)-(O202*Ventas!AE288*0.9189))</f>
        <v>1</v>
      </c>
      <c r="Q202" s="3"/>
      <c r="R202" s="8">
        <v>0</v>
      </c>
      <c r="S202" s="15">
        <f>IF(P202&gt;0,P202+R202,R202)</f>
        <v>1</v>
      </c>
      <c r="T202" s="3"/>
      <c r="U202" s="3">
        <v>44</v>
      </c>
      <c r="V202" s="3"/>
      <c r="W202" s="12">
        <v>46331</v>
      </c>
      <c r="X202" s="7">
        <v>56</v>
      </c>
      <c r="Y202" s="15">
        <f>(IF(P202&gt;0,P202+R202,R202)-(X202*Ventas!AE288*0.925))</f>
        <v>1</v>
      </c>
      <c r="Z202" s="3"/>
      <c r="AA202" s="15">
        <f>(120*(Ventas!AE288*1.485) - IF(Y202&gt;0,Y202,0))</f>
        <v>-1</v>
      </c>
      <c r="AB202" s="15">
        <v>0</v>
      </c>
      <c r="AC202" s="15">
        <f>IF(Y202&gt;0,Y202+IF(AB202&gt;0,AB202,0),AB202)</f>
        <v>1</v>
      </c>
      <c r="AD202" s="3"/>
      <c r="AE202" s="8">
        <v>3025</v>
      </c>
      <c r="AF202" s="3"/>
      <c r="AG202" s="3"/>
      <c r="AH202" s="1" t="s">
        <v>35</v>
      </c>
      <c r="AI202">
        <f t="shared" si="3"/>
        <v>0</v>
      </c>
    </row>
    <row r="203" spans="1:35" x14ac:dyDescent="0.25">
      <c r="A203" s="1"/>
      <c r="B203" s="1" t="s">
        <v>646</v>
      </c>
      <c r="C203" s="14" t="s">
        <v>647</v>
      </c>
      <c r="D203" s="3"/>
      <c r="E203" s="12">
        <v>46238</v>
      </c>
      <c r="F203" s="7">
        <v>1</v>
      </c>
      <c r="G203" s="15">
        <f>(D203-(0)+0-(F203*Ventas!AE289*1))</f>
        <v>0</v>
      </c>
      <c r="H203" s="3"/>
      <c r="I203" s="8">
        <v>0</v>
      </c>
      <c r="J203" s="15">
        <f>IF(G203&gt;0,G203+I203,I203)</f>
        <v>0</v>
      </c>
      <c r="K203" s="3"/>
      <c r="L203" s="3">
        <v>54</v>
      </c>
      <c r="M203" s="3"/>
      <c r="N203" s="12">
        <v>46275</v>
      </c>
      <c r="O203" s="7">
        <v>37</v>
      </c>
      <c r="P203" s="15">
        <f>(IF(G203&gt;0,G203+I203,I203)-(O203*Ventas!AE289*0.9189))</f>
        <v>0</v>
      </c>
      <c r="Q203" s="3"/>
      <c r="R203" s="8">
        <v>162</v>
      </c>
      <c r="S203" s="15">
        <f>IF(P203&gt;0,P203+R203,R203)</f>
        <v>162</v>
      </c>
      <c r="T203" s="15">
        <v>8.33</v>
      </c>
      <c r="U203" s="3">
        <v>54</v>
      </c>
      <c r="V203" s="3"/>
      <c r="W203" s="12">
        <v>46331</v>
      </c>
      <c r="X203" s="7">
        <v>56</v>
      </c>
      <c r="Y203" s="15">
        <f>(IF(P203&gt;0,P203+R203,R203)-(X203*Ventas!AE289*0.925))</f>
        <v>162</v>
      </c>
      <c r="Z203" s="3"/>
      <c r="AA203" s="15">
        <f>(120*(Ventas!AE289*1.485) - IF(Y203&gt;0,Y203,0))</f>
        <v>-162</v>
      </c>
      <c r="AB203" s="15">
        <v>0</v>
      </c>
      <c r="AC203" s="15">
        <f>IF(Y203&gt;0,Y203+IF(AB203&gt;0,AB203,0),AB203)</f>
        <v>162</v>
      </c>
      <c r="AD203" s="3"/>
      <c r="AE203" s="3"/>
      <c r="AF203" s="3"/>
      <c r="AG203" s="3"/>
      <c r="AH203" s="1" t="s">
        <v>35</v>
      </c>
      <c r="AI203">
        <f t="shared" si="3"/>
        <v>0</v>
      </c>
    </row>
    <row r="204" spans="1:35" x14ac:dyDescent="0.25">
      <c r="A204" s="1"/>
      <c r="B204" s="1" t="s">
        <v>648</v>
      </c>
      <c r="C204" s="14" t="s">
        <v>649</v>
      </c>
      <c r="D204" s="3"/>
      <c r="E204" s="12">
        <v>46238</v>
      </c>
      <c r="F204" s="7">
        <v>1</v>
      </c>
      <c r="G204" s="15">
        <f>(D204-(0)+0-(F204*Ventas!AE290*1))</f>
        <v>0</v>
      </c>
      <c r="H204" s="3"/>
      <c r="I204" s="8">
        <v>0</v>
      </c>
      <c r="J204" s="15">
        <f>IF(G204&gt;0,G204+I204,I204)</f>
        <v>0</v>
      </c>
      <c r="K204" s="3"/>
      <c r="L204" s="3">
        <v>54</v>
      </c>
      <c r="M204" s="3"/>
      <c r="N204" s="12">
        <v>46275</v>
      </c>
      <c r="O204" s="7">
        <v>37</v>
      </c>
      <c r="P204" s="15">
        <f>(IF(G204&gt;0,G204+I204,I204)-(O204*Ventas!AE290*0.9189))</f>
        <v>0</v>
      </c>
      <c r="Q204" s="3"/>
      <c r="R204" s="8">
        <v>0</v>
      </c>
      <c r="S204" s="15">
        <f>IF(P204&gt;0,P204+R204,R204)</f>
        <v>0</v>
      </c>
      <c r="T204" s="3"/>
      <c r="U204" s="3">
        <v>54</v>
      </c>
      <c r="V204" s="3"/>
      <c r="W204" s="12">
        <v>46331</v>
      </c>
      <c r="X204" s="7">
        <v>56</v>
      </c>
      <c r="Y204" s="15">
        <f>(IF(P204&gt;0,P204+R204,R204)-(X204*Ventas!AE290*0.925))</f>
        <v>0</v>
      </c>
      <c r="Z204" s="3"/>
      <c r="AA204" s="15">
        <f>(120*(Ventas!AE290*1.485) - IF(Y204&gt;0,Y204,0))</f>
        <v>0</v>
      </c>
      <c r="AB204" s="15">
        <v>0</v>
      </c>
      <c r="AC204" s="15">
        <f>IF(Y204&gt;0,Y204+IF(AB204&gt;0,AB204,0),AB204)</f>
        <v>0</v>
      </c>
      <c r="AD204" s="3"/>
      <c r="AE204" s="3"/>
      <c r="AF204" s="3"/>
      <c r="AG204" s="3"/>
      <c r="AH204" s="1" t="s">
        <v>35</v>
      </c>
      <c r="AI204">
        <f t="shared" si="3"/>
        <v>0</v>
      </c>
    </row>
    <row r="205" spans="1:35" x14ac:dyDescent="0.25">
      <c r="A205" s="1"/>
      <c r="B205" s="1" t="s">
        <v>650</v>
      </c>
      <c r="C205" s="14" t="s">
        <v>651</v>
      </c>
      <c r="D205" s="3"/>
      <c r="E205" s="12">
        <v>46238</v>
      </c>
      <c r="F205" s="7">
        <v>1</v>
      </c>
      <c r="G205" s="15">
        <f>(D205-(0)+0-(F205*Ventas!AE2*1))</f>
        <v>0</v>
      </c>
      <c r="H205" s="3"/>
      <c r="I205" s="8">
        <v>0</v>
      </c>
      <c r="J205" s="15">
        <f>IF(G205&gt;0,G205+I205,I205)</f>
        <v>0</v>
      </c>
      <c r="K205" s="3"/>
      <c r="L205" s="15">
        <v>60</v>
      </c>
      <c r="M205" s="17">
        <v>2.7169999999999998E-3</v>
      </c>
      <c r="N205" s="12">
        <v>46275</v>
      </c>
      <c r="O205" s="7">
        <v>37</v>
      </c>
      <c r="P205" s="15">
        <f>(IF(G205&gt;0,G205+I205,I205)-(O205*Ventas!AE2*0.9459))</f>
        <v>0</v>
      </c>
      <c r="Q205" s="3"/>
      <c r="R205" s="8">
        <v>0</v>
      </c>
      <c r="S205" s="15">
        <f>IF(P205&gt;0,P205+R205,R205)</f>
        <v>0</v>
      </c>
      <c r="T205" s="3"/>
      <c r="U205" s="15">
        <v>60</v>
      </c>
      <c r="V205" s="17">
        <v>2.7169999999999998E-3</v>
      </c>
      <c r="W205" s="12">
        <v>46331</v>
      </c>
      <c r="X205" s="7">
        <v>56</v>
      </c>
      <c r="Y205" s="15">
        <f>(IF(P205&gt;0,P205+R205,R205)-(X205*Ventas!AE2*0.9554))</f>
        <v>0</v>
      </c>
      <c r="Z205" s="3"/>
      <c r="AA205" s="15">
        <f>(120*(Ventas!AE2*1.5117) - IF(Y205&gt;0,Y205,0))</f>
        <v>0</v>
      </c>
      <c r="AB205" s="15">
        <v>0</v>
      </c>
      <c r="AC205" s="15">
        <f>IF(Y205&gt;0,Y205+IF(AB205&gt;0,AB205,0),AB205)</f>
        <v>0</v>
      </c>
      <c r="AD205" s="16">
        <v>5.95</v>
      </c>
      <c r="AE205" s="8">
        <v>3017</v>
      </c>
      <c r="AF205" s="3"/>
      <c r="AG205" s="3"/>
      <c r="AH205" s="1" t="s">
        <v>32</v>
      </c>
      <c r="AI205">
        <f t="shared" si="3"/>
        <v>0</v>
      </c>
    </row>
    <row r="206" spans="1:35" x14ac:dyDescent="0.25">
      <c r="A206" s="1"/>
      <c r="B206" s="1" t="s">
        <v>656</v>
      </c>
      <c r="C206" s="14" t="s">
        <v>657</v>
      </c>
      <c r="D206" s="3"/>
      <c r="E206" s="12">
        <v>46238</v>
      </c>
      <c r="F206" s="7">
        <v>1</v>
      </c>
      <c r="G206" s="15">
        <f>(D206-(0)+0-(F206*Ventas!AE291*1))</f>
        <v>0</v>
      </c>
      <c r="H206" s="18" t="e">
        <f>(G206/(Ventas!AE291*1)/60)</f>
        <v>#DIV/0!</v>
      </c>
      <c r="I206" s="8">
        <v>0</v>
      </c>
      <c r="J206" s="15">
        <f>IF(G206&gt;0,G206+I206,I206)</f>
        <v>0</v>
      </c>
      <c r="K206" s="3"/>
      <c r="L206" s="15">
        <v>39</v>
      </c>
      <c r="M206" s="17">
        <v>1.256E-3</v>
      </c>
      <c r="N206" s="12">
        <v>46275</v>
      </c>
      <c r="O206" s="7">
        <v>37</v>
      </c>
      <c r="P206" s="15">
        <f>(IF(G206&gt;0,G206+I206,I206)-(O206*Ventas!AE291*0.9189))</f>
        <v>0</v>
      </c>
      <c r="Q206" s="18" t="e">
        <f>(P206/(Ventas!AE291*0.9189)/60)</f>
        <v>#DIV/0!</v>
      </c>
      <c r="R206" s="8">
        <v>0</v>
      </c>
      <c r="S206" s="15">
        <f>IF(P206&gt;0,P206+R206,R206)</f>
        <v>0</v>
      </c>
      <c r="T206" s="3"/>
      <c r="U206" s="15">
        <v>39</v>
      </c>
      <c r="V206" s="17">
        <v>1.256E-3</v>
      </c>
      <c r="W206" s="12">
        <v>46331</v>
      </c>
      <c r="X206" s="7">
        <v>56</v>
      </c>
      <c r="Y206" s="15">
        <f>(IF(P206&gt;0,P206+R206,R206)-(X206*Ventas!AE291*0.925))</f>
        <v>0</v>
      </c>
      <c r="Z206" s="18" t="e">
        <f>(Y206/(Ventas!AE291*0.925)/60)</f>
        <v>#DIV/0!</v>
      </c>
      <c r="AA206" s="15">
        <f>(120*(Ventas!AE291*1.485) - IF(Y206&gt;0,Y206,0))</f>
        <v>0</v>
      </c>
      <c r="AB206" s="15">
        <v>0</v>
      </c>
      <c r="AC206" s="15">
        <f>IF(Y206&gt;0,Y206+IF(AB206&gt;0,AB206,0),AB206)</f>
        <v>0</v>
      </c>
      <c r="AD206" s="16">
        <v>3.51</v>
      </c>
      <c r="AE206" s="8">
        <v>3010</v>
      </c>
      <c r="AF206" s="15">
        <f>(AC206-(60*Ventas!AE291*1.485))</f>
        <v>0</v>
      </c>
      <c r="AG206" s="18" t="e">
        <f>(AF206/(Ventas!AE291*1.485)/60)</f>
        <v>#DIV/0!</v>
      </c>
      <c r="AH206" s="1" t="s">
        <v>32</v>
      </c>
      <c r="AI206">
        <f t="shared" si="3"/>
        <v>0</v>
      </c>
    </row>
    <row r="207" spans="1:35" x14ac:dyDescent="0.25">
      <c r="A207" s="1"/>
      <c r="B207" s="1" t="s">
        <v>660</v>
      </c>
      <c r="C207" s="14" t="s">
        <v>661</v>
      </c>
      <c r="D207" s="3"/>
      <c r="E207" s="12">
        <v>46238</v>
      </c>
      <c r="F207" s="7">
        <v>1</v>
      </c>
      <c r="G207" s="15">
        <f>(D207-(0)+0-(F207*Ventas!AE295*1))</f>
        <v>0</v>
      </c>
      <c r="H207" s="3"/>
      <c r="I207" s="8">
        <v>0</v>
      </c>
      <c r="J207" s="15">
        <f>IF(G207&gt;0,G207+I207,I207)</f>
        <v>0</v>
      </c>
      <c r="K207" s="3"/>
      <c r="L207" s="3">
        <v>8</v>
      </c>
      <c r="M207" s="3"/>
      <c r="N207" s="12">
        <v>46275</v>
      </c>
      <c r="O207" s="7">
        <v>37</v>
      </c>
      <c r="P207" s="15">
        <f>(IF(G207&gt;0,G207+I207,I207)-(O207*Ventas!AE295*0.9189))</f>
        <v>0</v>
      </c>
      <c r="Q207" s="3"/>
      <c r="R207" s="8">
        <v>40</v>
      </c>
      <c r="S207" s="15">
        <f>IF(P207&gt;0,P207+R207,R207)</f>
        <v>40</v>
      </c>
      <c r="T207" s="15">
        <v>10.45</v>
      </c>
      <c r="U207" s="3">
        <v>8</v>
      </c>
      <c r="V207" s="3"/>
      <c r="W207" s="12">
        <v>46331</v>
      </c>
      <c r="X207" s="7">
        <v>56</v>
      </c>
      <c r="Y207" s="15">
        <f>(IF(P207&gt;0,P207+R207,R207)-(X207*Ventas!AE295*0.925))</f>
        <v>40</v>
      </c>
      <c r="Z207" s="3"/>
      <c r="AA207" s="15">
        <f>(120*(Ventas!AE295*1.485) - IF(Y207&gt;0,Y207,0))</f>
        <v>-40</v>
      </c>
      <c r="AB207" s="15">
        <v>0</v>
      </c>
      <c r="AC207" s="15">
        <f>IF(Y207&gt;0,Y207+IF(AB207&gt;0,AB207,0),AB207)</f>
        <v>40</v>
      </c>
      <c r="AD207" s="3"/>
      <c r="AE207" s="3"/>
      <c r="AF207" s="3"/>
      <c r="AG207" s="3"/>
      <c r="AH207" s="1" t="s">
        <v>35</v>
      </c>
      <c r="AI207">
        <f t="shared" si="3"/>
        <v>0</v>
      </c>
    </row>
    <row r="208" spans="1:35" x14ac:dyDescent="0.25">
      <c r="A208" s="1"/>
      <c r="B208" s="1" t="s">
        <v>528</v>
      </c>
      <c r="C208" s="14" t="s">
        <v>529</v>
      </c>
      <c r="D208" s="8">
        <v>1</v>
      </c>
      <c r="E208" s="12">
        <v>46238</v>
      </c>
      <c r="F208" s="7">
        <v>1</v>
      </c>
      <c r="G208" s="15">
        <f>(D208-(0)+0-(F208*Ventas!AE30*1))</f>
        <v>0.85</v>
      </c>
      <c r="H208" s="18">
        <f>(G208/(Ventas!AE30*1)/60)</f>
        <v>9.4444444444444456E-2</v>
      </c>
      <c r="I208" s="8">
        <v>0</v>
      </c>
      <c r="J208" s="15">
        <f>IF(G208&gt;0,G208+I208,I208)</f>
        <v>0.85</v>
      </c>
      <c r="K208" s="3"/>
      <c r="L208" s="15">
        <v>70</v>
      </c>
      <c r="M208" s="17">
        <v>4.0499999999999998E-4</v>
      </c>
      <c r="N208" s="12">
        <v>46275</v>
      </c>
      <c r="O208" s="7">
        <v>37</v>
      </c>
      <c r="P208" s="15">
        <f>(IF(G208&gt;0,G208+I208,I208)-(O208*Ventas!AE30*0.9189))</f>
        <v>-4.2498950000000004</v>
      </c>
      <c r="Q208" s="18">
        <f>(P208/(Ventas!AE30*0.9189)/60)</f>
        <v>-0.51388677283225115</v>
      </c>
      <c r="R208" s="8">
        <v>0</v>
      </c>
      <c r="S208" s="15">
        <f>IF(P208&gt;0,P208+R208,R208)</f>
        <v>0</v>
      </c>
      <c r="T208" s="3"/>
      <c r="U208" s="15">
        <v>70</v>
      </c>
      <c r="V208" s="17">
        <v>4.0499999999999998E-4</v>
      </c>
      <c r="W208" s="12">
        <v>46331</v>
      </c>
      <c r="X208" s="7">
        <v>56</v>
      </c>
      <c r="Y208" s="15">
        <f>(IF(P208&gt;0,P208+R208,R208)-(X208*Ventas!AE30*0.925))</f>
        <v>-7.7700000000000005</v>
      </c>
      <c r="Z208" s="18">
        <f>(Y208/(Ventas!AE30*0.925)/60)</f>
        <v>-0.93333333333333335</v>
      </c>
      <c r="AA208" s="15">
        <f>(120*(Ventas!AE30*1.485) - IF(Y208&gt;0,Y208,0))</f>
        <v>26.73</v>
      </c>
      <c r="AB208" s="89">
        <v>0</v>
      </c>
      <c r="AC208" s="15">
        <f>IF(Y208&gt;0,Y208+IF(AB208&gt;0,AB208,0),AB208)</f>
        <v>0</v>
      </c>
      <c r="AD208" s="16">
        <v>13.34</v>
      </c>
      <c r="AE208" s="8">
        <v>3010</v>
      </c>
      <c r="AF208" s="15">
        <f>(AC208-(60*Ventas!AE30*1.485))</f>
        <v>-13.365</v>
      </c>
      <c r="AG208" s="18">
        <f>(AF208/(Ventas!AE30*1.485)/60)</f>
        <v>-1</v>
      </c>
      <c r="AH208" s="1" t="s">
        <v>32</v>
      </c>
      <c r="AI208">
        <f t="shared" si="3"/>
        <v>0</v>
      </c>
    </row>
    <row r="209" spans="1:35" x14ac:dyDescent="0.25">
      <c r="A209" s="1"/>
      <c r="B209" s="63" t="s">
        <v>534</v>
      </c>
      <c r="C209" s="14" t="s">
        <v>535</v>
      </c>
      <c r="D209" s="8">
        <v>1</v>
      </c>
      <c r="E209" s="12">
        <v>46238</v>
      </c>
      <c r="F209" s="7">
        <v>1</v>
      </c>
      <c r="G209" s="15">
        <f>(D209-(0)+0-(F209*Ventas!AE34*1))</f>
        <v>1</v>
      </c>
      <c r="H209" s="3"/>
      <c r="I209" s="8">
        <v>0</v>
      </c>
      <c r="J209" s="15">
        <f>IF(G209&gt;0,G209+I209,I209)</f>
        <v>1</v>
      </c>
      <c r="K209" s="3"/>
      <c r="L209" s="15">
        <v>70</v>
      </c>
      <c r="M209" s="17">
        <v>4.0499999999999998E-4</v>
      </c>
      <c r="N209" s="12">
        <v>46275</v>
      </c>
      <c r="O209" s="7">
        <v>37</v>
      </c>
      <c r="P209" s="15">
        <f>(IF(G209&gt;0,G209+I209,I209)-(O209*Ventas!AE34*0.9189))</f>
        <v>1</v>
      </c>
      <c r="Q209" s="3"/>
      <c r="R209" s="8">
        <v>0</v>
      </c>
      <c r="S209" s="15">
        <f>IF(P209&gt;0,P209+R209,R209)</f>
        <v>1</v>
      </c>
      <c r="T209" s="3"/>
      <c r="U209" s="15">
        <v>70</v>
      </c>
      <c r="V209" s="17">
        <v>4.0499999999999998E-4</v>
      </c>
      <c r="W209" s="12">
        <v>46331</v>
      </c>
      <c r="X209" s="7">
        <v>56</v>
      </c>
      <c r="Y209" s="15">
        <f>(IF(P209&gt;0,P209+R209,R209)-(X209*Ventas!AE34*0.925))</f>
        <v>1</v>
      </c>
      <c r="Z209" s="3"/>
      <c r="AA209" s="15">
        <f>(120*(Ventas!AE34*1.485) - IF(Y209&gt;0,Y209,0))</f>
        <v>-1</v>
      </c>
      <c r="AB209" s="15">
        <v>0</v>
      </c>
      <c r="AC209" s="15">
        <f>IF(Y209&gt;0,Y209+IF(AB209&gt;0,AB209,0),AB209)</f>
        <v>1</v>
      </c>
      <c r="AD209" s="16">
        <v>0.81</v>
      </c>
      <c r="AE209" s="8">
        <v>3010</v>
      </c>
      <c r="AF209" s="3"/>
      <c r="AG209" s="3"/>
      <c r="AH209" s="1" t="s">
        <v>32</v>
      </c>
      <c r="AI209">
        <f t="shared" si="3"/>
        <v>0</v>
      </c>
    </row>
    <row r="210" spans="1:35" x14ac:dyDescent="0.25">
      <c r="A210" s="1" t="s">
        <v>285</v>
      </c>
      <c r="B210" s="32" t="s">
        <v>382</v>
      </c>
      <c r="C210" s="14" t="s">
        <v>383</v>
      </c>
      <c r="D210" s="8">
        <v>2</v>
      </c>
      <c r="E210" s="12">
        <v>46238</v>
      </c>
      <c r="F210" s="7">
        <v>1</v>
      </c>
      <c r="G210" s="15">
        <f>(D210-(0)+0-(F210*Ventas!AE201*1))</f>
        <v>1.0407999999999999</v>
      </c>
      <c r="H210" s="18">
        <f>(G210/(Ventas!AE201*1)/60)</f>
        <v>1.8084514873505698E-2</v>
      </c>
      <c r="I210" s="8">
        <v>0</v>
      </c>
      <c r="J210" s="15">
        <f>IF(G210&gt;0,G210+I210,I210)</f>
        <v>1.0407999999999999</v>
      </c>
      <c r="K210" s="3"/>
      <c r="L210" s="15">
        <v>52</v>
      </c>
      <c r="M210" s="17">
        <v>6.4899999999999995E-4</v>
      </c>
      <c r="N210" s="12">
        <v>46275</v>
      </c>
      <c r="O210" s="7">
        <v>37</v>
      </c>
      <c r="P210" s="15">
        <f>(IF(G210&gt;0,G210+I210,I210)-(O210*Ventas!AE201*1))</f>
        <v>-34.449600000000004</v>
      </c>
      <c r="Q210" s="18">
        <f>(P210/(Ventas!AE201*1)/60)</f>
        <v>-0.59858215179316099</v>
      </c>
      <c r="R210" s="8">
        <v>0</v>
      </c>
      <c r="S210" s="15">
        <f>IF(P210&gt;0,P210+R210,R210)</f>
        <v>0</v>
      </c>
      <c r="T210" s="3"/>
      <c r="U210" s="15">
        <v>52</v>
      </c>
      <c r="V210" s="17">
        <v>6.4899999999999995E-4</v>
      </c>
      <c r="W210" s="12">
        <v>46331</v>
      </c>
      <c r="X210" s="7">
        <v>56</v>
      </c>
      <c r="Y210" s="15">
        <f>(IF(P210&gt;0,P210+R210,R210)-(X210*Ventas!AE201*1))</f>
        <v>-53.715200000000003</v>
      </c>
      <c r="Z210" s="18">
        <f>(Y210/(Ventas!AE201*1)/60)</f>
        <v>-0.93333333333333335</v>
      </c>
      <c r="AA210" s="15">
        <f>(120*(Ventas!AE201*1) - IF(Y210&gt;0,Y210,0))</f>
        <v>115.10400000000001</v>
      </c>
      <c r="AB210" s="15">
        <v>0</v>
      </c>
      <c r="AC210" s="15">
        <f>IF(Y210&gt;0,Y210+IF(AB210&gt;0,AB210,0),AB210)</f>
        <v>0</v>
      </c>
      <c r="AD210" s="16">
        <v>1.3</v>
      </c>
      <c r="AE210" s="8">
        <v>3010</v>
      </c>
      <c r="AF210" s="15">
        <f>(AC210-(60*Ventas!AE201*1))</f>
        <v>-57.552000000000007</v>
      </c>
      <c r="AG210" s="18">
        <f>(AF210/(Ventas!AE201*1)/60)</f>
        <v>-1.0000000000000002</v>
      </c>
      <c r="AH210" s="1" t="s">
        <v>32</v>
      </c>
      <c r="AI210">
        <f t="shared" si="3"/>
        <v>0</v>
      </c>
    </row>
    <row r="211" spans="1:35" x14ac:dyDescent="0.25">
      <c r="A211" s="1"/>
      <c r="B211" s="1" t="s">
        <v>74</v>
      </c>
      <c r="C211" s="14" t="s">
        <v>75</v>
      </c>
      <c r="D211" s="8">
        <v>4</v>
      </c>
      <c r="E211" s="12">
        <v>46238</v>
      </c>
      <c r="F211" s="7">
        <v>1</v>
      </c>
      <c r="G211" s="15">
        <f>(D211-(0)+0-(F211*Ventas!AE64*1))</f>
        <v>3.76</v>
      </c>
      <c r="H211" s="18">
        <f>(G211/(Ventas!AE64*1)/60)</f>
        <v>0.26111111111111113</v>
      </c>
      <c r="I211" s="8">
        <v>0</v>
      </c>
      <c r="J211" s="15">
        <f>IF(G211&gt;0,G211+I211,I211)</f>
        <v>3.76</v>
      </c>
      <c r="K211" s="3"/>
      <c r="L211" s="15">
        <v>1</v>
      </c>
      <c r="M211" s="17">
        <v>3.3100000000000002E-4</v>
      </c>
      <c r="N211" s="12">
        <v>46275</v>
      </c>
      <c r="O211" s="7">
        <v>37</v>
      </c>
      <c r="P211" s="15">
        <f>(IF(G211&gt;0,G211+I211,I211)-(O211*Ventas!AE64*1))</f>
        <v>-5.1199999999999992</v>
      </c>
      <c r="Q211" s="18">
        <f>(P211/(Ventas!AE64*1)/60)</f>
        <v>-0.35555555555555551</v>
      </c>
      <c r="R211" s="8">
        <v>30</v>
      </c>
      <c r="S211" s="15">
        <f>IF(P211&gt;0,P211+R211,R211)</f>
        <v>30</v>
      </c>
      <c r="T211" s="15">
        <v>10.61</v>
      </c>
      <c r="U211" s="15">
        <v>1</v>
      </c>
      <c r="V211" s="17">
        <v>3.3100000000000002E-4</v>
      </c>
      <c r="W211" s="12">
        <v>46331</v>
      </c>
      <c r="X211" s="7">
        <v>56</v>
      </c>
      <c r="Y211" s="15">
        <f>(IF(P211&gt;0,P211+R211,R211)-(X211*Ventas!AE64*1))</f>
        <v>16.560000000000002</v>
      </c>
      <c r="Z211" s="18">
        <f>(Y211/(Ventas!AE64*1)/60)</f>
        <v>1.1500000000000001</v>
      </c>
      <c r="AA211" s="15">
        <f>(120*(Ventas!AE64*1) - IF(Y211&gt;0,Y211,0))</f>
        <v>12.239999999999995</v>
      </c>
      <c r="AB211" s="15">
        <v>13</v>
      </c>
      <c r="AC211" s="15">
        <f>IF(Y211&gt;0,Y211+IF(AB211&gt;0,AB211,0),AB211)</f>
        <v>29.560000000000002</v>
      </c>
      <c r="AD211" s="16">
        <v>10.36</v>
      </c>
      <c r="AE211" s="8">
        <v>3027</v>
      </c>
      <c r="AF211" s="15">
        <f>(AC211-(60*Ventas!AE64*1))</f>
        <v>15.160000000000004</v>
      </c>
      <c r="AG211" s="18">
        <f>(AF211/(Ventas!AE64*1)/60)</f>
        <v>1.052777777777778</v>
      </c>
      <c r="AH211" s="1" t="s">
        <v>35</v>
      </c>
      <c r="AI211">
        <f t="shared" si="3"/>
        <v>134.68</v>
      </c>
    </row>
    <row r="212" spans="1:35" x14ac:dyDescent="0.25">
      <c r="A212" s="1"/>
      <c r="B212" s="1" t="s">
        <v>50</v>
      </c>
      <c r="C212" s="14" t="s">
        <v>51</v>
      </c>
      <c r="D212" s="8">
        <v>6</v>
      </c>
      <c r="E212" s="12">
        <v>46238</v>
      </c>
      <c r="F212" s="7">
        <v>1</v>
      </c>
      <c r="G212" s="15">
        <f>(D212-(0)+0-(F212*Ventas!AE39*0))</f>
        <v>6</v>
      </c>
      <c r="H212" s="3"/>
      <c r="I212" s="8">
        <v>0</v>
      </c>
      <c r="J212" s="15">
        <f>IF(G212&gt;0,G212+I212,I212)</f>
        <v>6</v>
      </c>
      <c r="K212" s="3"/>
      <c r="L212" s="3"/>
      <c r="M212" s="3"/>
      <c r="N212" s="12">
        <v>46275</v>
      </c>
      <c r="O212" s="7">
        <v>37</v>
      </c>
      <c r="P212" s="15">
        <f>(IF(G212&gt;0,G212+I212,I212)-(O212*Ventas!AE39*1))</f>
        <v>6</v>
      </c>
      <c r="Q212" s="3"/>
      <c r="R212" s="8">
        <v>0</v>
      </c>
      <c r="S212" s="15">
        <f>IF(P212&gt;0,P212+R212,R212)</f>
        <v>6</v>
      </c>
      <c r="T212" s="3"/>
      <c r="U212" s="3"/>
      <c r="V212" s="3"/>
      <c r="W212" s="12">
        <v>46331</v>
      </c>
      <c r="X212" s="7">
        <v>56</v>
      </c>
      <c r="Y212" s="15">
        <f>(IF(P212&gt;0,P212+R212,R212)-(X212*Ventas!AE39*1))</f>
        <v>6</v>
      </c>
      <c r="Z212" s="3"/>
      <c r="AA212" s="15">
        <f>(120*(Ventas!AE39*1) - IF(Y212&gt;0,Y212,0))</f>
        <v>-6</v>
      </c>
      <c r="AB212" s="15">
        <v>0</v>
      </c>
      <c r="AC212" s="15">
        <f>IF(Y212&gt;0,Y212+IF(AB212&gt;0,AB212,0),AB212)</f>
        <v>6</v>
      </c>
      <c r="AD212" s="16">
        <v>0.1</v>
      </c>
      <c r="AE212" s="8">
        <v>3010</v>
      </c>
      <c r="AF212" s="3"/>
      <c r="AG212" s="3"/>
      <c r="AH212" s="1" t="s">
        <v>35</v>
      </c>
      <c r="AI212">
        <f t="shared" si="3"/>
        <v>0</v>
      </c>
    </row>
    <row r="213" spans="1:35" x14ac:dyDescent="0.25">
      <c r="A213" s="1"/>
      <c r="B213" s="1" t="s">
        <v>554</v>
      </c>
      <c r="C213" s="14" t="s">
        <v>555</v>
      </c>
      <c r="D213" s="8">
        <v>8</v>
      </c>
      <c r="E213" s="12">
        <v>46238</v>
      </c>
      <c r="F213" s="7">
        <v>1</v>
      </c>
      <c r="G213" s="15">
        <f>(D213-(0)+0-(F213*Ventas!AE51*1))</f>
        <v>6.8</v>
      </c>
      <c r="H213" s="18">
        <f>(G213/(Ventas!AE51*1)/60)</f>
        <v>9.4444444444444456E-2</v>
      </c>
      <c r="I213" s="8">
        <v>360</v>
      </c>
      <c r="J213" s="15">
        <f>IF(G213&gt;0,G213+I213,I213)</f>
        <v>366.8</v>
      </c>
      <c r="K213" s="15">
        <v>0.56999999999999995</v>
      </c>
      <c r="L213" s="15">
        <v>120</v>
      </c>
      <c r="M213" s="17">
        <v>7.67E-4</v>
      </c>
      <c r="N213" s="12">
        <v>46275</v>
      </c>
      <c r="O213" s="7">
        <v>37</v>
      </c>
      <c r="P213" s="15">
        <f>(IF(G213&gt;0,G213+I213,I213)-(O213*Ventas!AE51*0.9189))</f>
        <v>326.00084000000004</v>
      </c>
      <c r="Q213" s="18">
        <f>(P213/(Ventas!AE51*0.9189)/60)</f>
        <v>4.9274017242838664</v>
      </c>
      <c r="R213" s="8">
        <v>0</v>
      </c>
      <c r="S213" s="15">
        <f>IF(P213&gt;0,P213+R213,R213)</f>
        <v>326.00084000000004</v>
      </c>
      <c r="T213" s="3"/>
      <c r="U213" s="15">
        <v>120</v>
      </c>
      <c r="V213" s="17">
        <v>7.67E-4</v>
      </c>
      <c r="W213" s="12">
        <v>46331</v>
      </c>
      <c r="X213" s="7">
        <v>56</v>
      </c>
      <c r="Y213" s="15">
        <f>(IF(P213&gt;0,P213+R213,R213)-(X213*Ventas!AE51*0.925))</f>
        <v>263.84084000000001</v>
      </c>
      <c r="Z213" s="18">
        <f>(Y213/(Ventas!AE51*0.925)/60)</f>
        <v>3.9615741741741739</v>
      </c>
      <c r="AA213" s="15">
        <f>(120*(Ventas!AE51*1.485) - IF(Y213&gt;0,Y213,0))</f>
        <v>-50.000840000000011</v>
      </c>
      <c r="AB213" s="15">
        <v>0</v>
      </c>
      <c r="AC213" s="15">
        <f>IF(Y213&gt;0,Y213+IF(AB213&gt;0,AB213,0),AB213)</f>
        <v>263.84084000000001</v>
      </c>
      <c r="AD213" s="16">
        <v>0.56999999999999995</v>
      </c>
      <c r="AE213" s="8">
        <v>3025</v>
      </c>
      <c r="AF213" s="15">
        <f>(AC213-(60*Ventas!AE51*1.485))</f>
        <v>156.92084</v>
      </c>
      <c r="AG213" s="18">
        <f>(AF213/(Ventas!AE51*1.485)/60)</f>
        <v>1.4676472128694349</v>
      </c>
      <c r="AH213" s="1" t="s">
        <v>32</v>
      </c>
      <c r="AI213">
        <f t="shared" si="3"/>
        <v>0</v>
      </c>
    </row>
    <row r="214" spans="1:35" x14ac:dyDescent="0.25">
      <c r="A214" s="1"/>
      <c r="B214" s="1" t="s">
        <v>140</v>
      </c>
      <c r="C214" s="14" t="s">
        <v>141</v>
      </c>
      <c r="D214" s="8">
        <v>7</v>
      </c>
      <c r="E214" s="12">
        <v>46238</v>
      </c>
      <c r="F214" s="7">
        <v>1</v>
      </c>
      <c r="G214" s="15">
        <f>(D214-(0)+0-(F214*Ventas!AE97*1))</f>
        <v>6.9180999999999999</v>
      </c>
      <c r="H214" s="18">
        <f>(G214/(Ventas!AE97*1)/60)</f>
        <v>1.4078347578347581</v>
      </c>
      <c r="I214" s="8">
        <v>0</v>
      </c>
      <c r="J214" s="15">
        <f>IF(G214&gt;0,G214+I214,I214)</f>
        <v>6.9180999999999999</v>
      </c>
      <c r="K214" s="3"/>
      <c r="L214" s="15">
        <v>6</v>
      </c>
      <c r="M214" s="17">
        <v>5.0000000000000001E-3</v>
      </c>
      <c r="N214" s="12">
        <v>46275</v>
      </c>
      <c r="O214" s="7">
        <v>37</v>
      </c>
      <c r="P214" s="15">
        <f>(IF(G214&gt;0,G214+I214,I214)-(O214*Ventas!AE97*1))</f>
        <v>3.8878000000000004</v>
      </c>
      <c r="Q214" s="18">
        <f>(P214/(Ventas!AE97*1)/60)</f>
        <v>0.79116809116809128</v>
      </c>
      <c r="R214" s="8">
        <v>0</v>
      </c>
      <c r="S214" s="15">
        <f>IF(P214&gt;0,P214+R214,R214)</f>
        <v>3.8878000000000004</v>
      </c>
      <c r="T214" s="3"/>
      <c r="U214" s="15">
        <v>6</v>
      </c>
      <c r="V214" s="17">
        <v>5.0000000000000001E-3</v>
      </c>
      <c r="W214" s="12">
        <v>46331</v>
      </c>
      <c r="X214" s="7">
        <v>56</v>
      </c>
      <c r="Y214" s="15">
        <f>(IF(P214&gt;0,P214+R214,R214)-(X214*Ventas!AE97*1))</f>
        <v>-0.698599999999999</v>
      </c>
      <c r="Z214" s="18">
        <f>(Y214/(Ventas!AE97*1)/60)</f>
        <v>-0.14216524216524198</v>
      </c>
      <c r="AA214" s="15">
        <f>(120*(Ventas!AE97*1) - IF(Y214&gt;0,Y214,0))</f>
        <v>9.8279999999999976</v>
      </c>
      <c r="AB214" s="15">
        <v>12</v>
      </c>
      <c r="AC214" s="15">
        <f>IF(Y214&gt;0,Y214+IF(AB214&gt;0,AB214,0),AB214)</f>
        <v>12</v>
      </c>
      <c r="AD214" s="16">
        <v>7.86</v>
      </c>
      <c r="AE214" s="8">
        <v>3027</v>
      </c>
      <c r="AF214" s="15">
        <f>(AC214-(60*Ventas!AE97*1))</f>
        <v>7.0860000000000012</v>
      </c>
      <c r="AG214" s="18">
        <f>(AF214/(Ventas!AE97*1)/60)</f>
        <v>1.4420024420024427</v>
      </c>
      <c r="AH214" s="1" t="s">
        <v>35</v>
      </c>
      <c r="AI214">
        <f t="shared" si="3"/>
        <v>94.320000000000007</v>
      </c>
    </row>
    <row r="215" spans="1:35" x14ac:dyDescent="0.25">
      <c r="A215" s="1"/>
      <c r="B215" s="1" t="s">
        <v>622</v>
      </c>
      <c r="C215" s="14" t="s">
        <v>623</v>
      </c>
      <c r="D215" s="8">
        <v>9</v>
      </c>
      <c r="E215" s="12">
        <v>46238</v>
      </c>
      <c r="F215" s="7">
        <v>1</v>
      </c>
      <c r="G215" s="15">
        <f>(D215-(0)+0-(F215*Ventas!AE277*1))</f>
        <v>8.5</v>
      </c>
      <c r="H215" s="18">
        <f>(G215/(Ventas!AE277*1)/60)</f>
        <v>0.28333333333333333</v>
      </c>
      <c r="I215" s="8">
        <v>108</v>
      </c>
      <c r="J215" s="15">
        <f>IF(G215&gt;0,G215+I215,I215)</f>
        <v>116.5</v>
      </c>
      <c r="K215" s="15">
        <v>6.91</v>
      </c>
      <c r="L215" s="3">
        <v>54</v>
      </c>
      <c r="M215" s="3"/>
      <c r="N215" s="12">
        <v>46275</v>
      </c>
      <c r="O215" s="7">
        <v>37</v>
      </c>
      <c r="P215" s="15">
        <f>(IF(G215&gt;0,G215+I215,I215)-(O215*Ventas!AE277*0.9189))</f>
        <v>99.500349999999997</v>
      </c>
      <c r="Q215" s="18">
        <f>(P215/(Ventas!AE277*0.9189)/60)</f>
        <v>3.609400732760184</v>
      </c>
      <c r="R215" s="8">
        <v>0</v>
      </c>
      <c r="S215" s="15">
        <f>IF(P215&gt;0,P215+R215,R215)</f>
        <v>99.500349999999997</v>
      </c>
      <c r="T215" s="3"/>
      <c r="U215" s="3">
        <v>54</v>
      </c>
      <c r="V215" s="3"/>
      <c r="W215" s="12">
        <v>46331</v>
      </c>
      <c r="X215" s="7">
        <v>56</v>
      </c>
      <c r="Y215" s="15">
        <f>(IF(P215&gt;0,P215+R215,R215)-(X215*Ventas!AE277*0.925))</f>
        <v>73.600349999999992</v>
      </c>
      <c r="Z215" s="18">
        <f>(Y215/(Ventas!AE277*0.925)/60)</f>
        <v>2.6522648648648643</v>
      </c>
      <c r="AA215" s="15">
        <f>(120*(Ventas!AE277*1.485) - IF(Y215&gt;0,Y215,0))</f>
        <v>15.499650000000017</v>
      </c>
      <c r="AB215" s="15">
        <v>0</v>
      </c>
      <c r="AC215" s="15">
        <f>IF(Y215&gt;0,Y215+IF(AB215&gt;0,AB215,0),AB215)</f>
        <v>73.600349999999992</v>
      </c>
      <c r="AD215" s="16">
        <v>6.91</v>
      </c>
      <c r="AE215" s="8">
        <v>3025</v>
      </c>
      <c r="AF215" s="15">
        <f>(AC215-(60*Ventas!AE277*1.485))</f>
        <v>29.050349999999987</v>
      </c>
      <c r="AG215" s="18">
        <f>(AF215/(Ventas!AE277*1.485)/60)</f>
        <v>0.65208417508417482</v>
      </c>
      <c r="AH215" s="1" t="s">
        <v>35</v>
      </c>
      <c r="AI215">
        <f t="shared" si="3"/>
        <v>0</v>
      </c>
    </row>
    <row r="216" spans="1:35" x14ac:dyDescent="0.25">
      <c r="A216" s="1"/>
      <c r="B216" s="1" t="s">
        <v>598</v>
      </c>
      <c r="C216" s="14" t="s">
        <v>599</v>
      </c>
      <c r="D216" s="8">
        <v>10</v>
      </c>
      <c r="E216" s="12">
        <v>46238</v>
      </c>
      <c r="F216" s="7">
        <v>1</v>
      </c>
      <c r="G216" s="15">
        <f>(D216-(0)+0-(F216*Ventas!AE267*1))</f>
        <v>9.8457666666666661</v>
      </c>
      <c r="H216" s="18">
        <f>(G216/(Ventas!AE267*1)/60)</f>
        <v>1.0639471219652765</v>
      </c>
      <c r="I216" s="8">
        <v>44</v>
      </c>
      <c r="J216" s="15">
        <f>IF(G216&gt;0,G216+I216,I216)</f>
        <v>53.845766666666663</v>
      </c>
      <c r="K216" s="15">
        <v>5.26</v>
      </c>
      <c r="L216" s="15">
        <v>44</v>
      </c>
      <c r="M216" s="17">
        <v>7.7300000000000003E-4</v>
      </c>
      <c r="N216" s="12">
        <v>46275</v>
      </c>
      <c r="O216" s="7">
        <v>37</v>
      </c>
      <c r="P216" s="15">
        <f>(IF(G216&gt;0,G216+I216,I216)-(O216*Ventas!AE267*0.9189))</f>
        <v>48.601941296666666</v>
      </c>
      <c r="Q216" s="18">
        <f>(P216/(Ventas!AE267*0.9189)/60)</f>
        <v>5.7155215931503163</v>
      </c>
      <c r="R216" s="8">
        <v>0</v>
      </c>
      <c r="S216" s="15">
        <f>IF(P216&gt;0,P216+R216,R216)</f>
        <v>48.601941296666666</v>
      </c>
      <c r="T216" s="3"/>
      <c r="U216" s="15">
        <v>44</v>
      </c>
      <c r="V216" s="17">
        <v>7.7300000000000003E-4</v>
      </c>
      <c r="W216" s="12">
        <v>46331</v>
      </c>
      <c r="X216" s="7">
        <v>56</v>
      </c>
      <c r="Y216" s="15">
        <f>(IF(P216&gt;0,P216+R216,R216)-(X216*Ventas!AE267*0.925))</f>
        <v>40.612654630000002</v>
      </c>
      <c r="Z216" s="18">
        <f>(Y216/(Ventas!AE267*0.925)/60)</f>
        <v>4.7444967120135049</v>
      </c>
      <c r="AA216" s="15">
        <f>(120*(Ventas!AE267*1.485) - IF(Y216&gt;0,Y216,0))</f>
        <v>-13.128274630000003</v>
      </c>
      <c r="AB216" s="15">
        <v>0</v>
      </c>
      <c r="AC216" s="15">
        <f>IF(Y216&gt;0,Y216+IF(AB216&gt;0,AB216,0),AB216)</f>
        <v>40.612654630000002</v>
      </c>
      <c r="AD216" s="16">
        <v>5.26</v>
      </c>
      <c r="AE216" s="8">
        <v>3025</v>
      </c>
      <c r="AF216" s="15">
        <f>(AC216-(60*Ventas!AE267*1.485))</f>
        <v>26.870464630000004</v>
      </c>
      <c r="AG216" s="18">
        <f>(AF216/(Ventas!AE267*1.485)/60)</f>
        <v>1.9553262347558873</v>
      </c>
      <c r="AH216" s="1" t="s">
        <v>35</v>
      </c>
      <c r="AI216">
        <f t="shared" si="3"/>
        <v>0</v>
      </c>
    </row>
    <row r="217" spans="1:35" x14ac:dyDescent="0.25">
      <c r="A217" s="1"/>
      <c r="B217" s="1" t="s">
        <v>654</v>
      </c>
      <c r="C217" s="14" t="s">
        <v>655</v>
      </c>
      <c r="D217" s="8">
        <v>11</v>
      </c>
      <c r="E217" s="12">
        <v>46238</v>
      </c>
      <c r="F217" s="7">
        <v>1</v>
      </c>
      <c r="G217" s="15">
        <f>(D217-(0)+0-(F217*Ventas!AE5*1))</f>
        <v>10.964383333333334</v>
      </c>
      <c r="H217" s="18">
        <f>(G217/(Ventas!AE5*1)/60)</f>
        <v>5.1307362345967871</v>
      </c>
      <c r="I217" s="8">
        <v>0</v>
      </c>
      <c r="J217" s="15">
        <f>IF(G217&gt;0,G217+I217,I217)</f>
        <v>10.964383333333334</v>
      </c>
      <c r="K217" s="3"/>
      <c r="L217" s="3"/>
      <c r="M217" s="17">
        <v>3.6110000000000001E-3</v>
      </c>
      <c r="N217" s="12">
        <v>46275</v>
      </c>
      <c r="O217" s="7">
        <v>37</v>
      </c>
      <c r="P217" s="15">
        <f>(IF(G217&gt;0,G217+I217,I217)-(O217*Ventas!AE5*0.9459))</f>
        <v>9.7178605483333342</v>
      </c>
      <c r="Q217" s="18">
        <f>(P217/(Ventas!AE5*0.9459)/60)</f>
        <v>4.8075179560173247</v>
      </c>
      <c r="R217" s="8">
        <v>0</v>
      </c>
      <c r="S217" s="15">
        <f>IF(P217&gt;0,P217+R217,R217)</f>
        <v>9.7178605483333342</v>
      </c>
      <c r="T217" s="3"/>
      <c r="U217" s="3"/>
      <c r="V217" s="17">
        <v>3.6110000000000001E-3</v>
      </c>
      <c r="W217" s="12">
        <v>46331</v>
      </c>
      <c r="X217" s="7">
        <v>56</v>
      </c>
      <c r="Y217" s="15">
        <f>(IF(P217&gt;0,P217+R217,R217)-(X217*Ventas!AE5*0.9554))</f>
        <v>7.8122834016666678</v>
      </c>
      <c r="Z217" s="18">
        <f>(Y217/(Ventas!AE5*0.9554)/60)</f>
        <v>3.8263811680239908</v>
      </c>
      <c r="AA217" s="15">
        <f>(120*(Ventas!AE5*1.5117) - IF(Y217&gt;0,Y217,0))</f>
        <v>-1.3512776016666681</v>
      </c>
      <c r="AB217" s="15">
        <v>0</v>
      </c>
      <c r="AC217" s="15">
        <f>IF(Y217&gt;0,Y217+IF(AB217&gt;0,AB217,0),AB217)</f>
        <v>7.8122834016666678</v>
      </c>
      <c r="AD217" s="16">
        <v>12.5244</v>
      </c>
      <c r="AE217" s="8">
        <v>3025</v>
      </c>
      <c r="AF217" s="15">
        <f>(AC217-(60*Ventas!AE5*1.5117))</f>
        <v>4.5817805016666675</v>
      </c>
      <c r="AG217" s="18">
        <f>(AF217/(Ventas!AE5*1.5117)/60)</f>
        <v>1.4182870727856853</v>
      </c>
      <c r="AH217" s="1" t="s">
        <v>35</v>
      </c>
      <c r="AI217">
        <f t="shared" si="3"/>
        <v>0</v>
      </c>
    </row>
    <row r="218" spans="1:35" x14ac:dyDescent="0.25">
      <c r="A218" s="1"/>
      <c r="B218" s="1" t="s">
        <v>110</v>
      </c>
      <c r="C218" s="14" t="s">
        <v>111</v>
      </c>
      <c r="D218" s="8">
        <v>14</v>
      </c>
      <c r="E218" s="12">
        <v>46238</v>
      </c>
      <c r="F218" s="7">
        <v>1</v>
      </c>
      <c r="G218" s="15">
        <f>(D218-(0)+0-(F218*Ventas!AE82*1))</f>
        <v>11</v>
      </c>
      <c r="H218" s="18">
        <f>(G218/(Ventas!AE82*1)/60)</f>
        <v>6.1111111111111109E-2</v>
      </c>
      <c r="I218" s="8">
        <v>120</v>
      </c>
      <c r="J218" s="15">
        <f>IF(G218&gt;0,G218+I218,I218)</f>
        <v>131</v>
      </c>
      <c r="K218" s="15">
        <v>1.05</v>
      </c>
      <c r="L218" s="15">
        <v>120</v>
      </c>
      <c r="M218" s="17">
        <v>2.81E-4</v>
      </c>
      <c r="N218" s="12">
        <v>46275</v>
      </c>
      <c r="O218" s="7">
        <v>37</v>
      </c>
      <c r="P218" s="15">
        <f>(IF(G218&gt;0,G218+I218,I218)-(O218*Ventas!AE82*1))</f>
        <v>20</v>
      </c>
      <c r="Q218" s="18">
        <f>(P218/(Ventas!AE82*1)/60)</f>
        <v>0.11111111111111112</v>
      </c>
      <c r="R218" s="8">
        <v>240</v>
      </c>
      <c r="S218" s="15">
        <f>IF(P218&gt;0,P218+R218,R218)</f>
        <v>260</v>
      </c>
      <c r="T218" s="15">
        <v>1.06</v>
      </c>
      <c r="U218" s="15">
        <v>120</v>
      </c>
      <c r="V218" s="17">
        <v>2.81E-4</v>
      </c>
      <c r="W218" s="12">
        <v>46331</v>
      </c>
      <c r="X218" s="7">
        <v>56</v>
      </c>
      <c r="Y218" s="15">
        <f>(IF(P218&gt;0,P218+R218,R218)-(X218*Ventas!AE82*1))</f>
        <v>92</v>
      </c>
      <c r="Z218" s="18">
        <f>(Y218/(Ventas!AE82*1)/60)</f>
        <v>0.51111111111111118</v>
      </c>
      <c r="AA218" s="15">
        <f>(120*(Ventas!AE82*1) - IF(Y218&gt;0,Y218,0))</f>
        <v>268</v>
      </c>
      <c r="AB218" s="15">
        <v>240</v>
      </c>
      <c r="AC218" s="15">
        <f>IF(Y218&gt;0,Y218+IF(AB218&gt;0,AB218,0),AB218)</f>
        <v>332</v>
      </c>
      <c r="AD218" s="16">
        <v>1.05</v>
      </c>
      <c r="AE218" s="8">
        <v>3025</v>
      </c>
      <c r="AF218" s="15">
        <f>(AC218-(60*Ventas!AE82*1))</f>
        <v>152</v>
      </c>
      <c r="AG218" s="18">
        <f>(AF218/(Ventas!AE82*1)/60)</f>
        <v>0.84444444444444444</v>
      </c>
      <c r="AH218" s="1" t="s">
        <v>35</v>
      </c>
      <c r="AI218">
        <f t="shared" si="3"/>
        <v>252</v>
      </c>
    </row>
    <row r="219" spans="1:35" x14ac:dyDescent="0.25">
      <c r="A219" s="1" t="s">
        <v>384</v>
      </c>
      <c r="B219" s="1" t="s">
        <v>385</v>
      </c>
      <c r="C219" s="14" t="s">
        <v>386</v>
      </c>
      <c r="D219" s="8">
        <v>12</v>
      </c>
      <c r="E219" s="12">
        <v>46238</v>
      </c>
      <c r="F219" s="7">
        <v>1</v>
      </c>
      <c r="G219" s="15">
        <f>(D219-(0)+0-(F219*Ventas!AE202*1))</f>
        <v>11.21</v>
      </c>
      <c r="H219" s="18">
        <f>(G219/(Ventas!AE202*1)/60)</f>
        <v>0.23649789029535867</v>
      </c>
      <c r="I219" s="8">
        <v>48</v>
      </c>
      <c r="J219" s="15">
        <f>IF(G219&gt;0,G219+I219,I219)</f>
        <v>59.21</v>
      </c>
      <c r="K219" s="15">
        <v>3.45</v>
      </c>
      <c r="L219" s="15">
        <v>48</v>
      </c>
      <c r="M219" s="17">
        <v>7.0299999999999996E-4</v>
      </c>
      <c r="N219" s="12">
        <v>46275</v>
      </c>
      <c r="O219" s="7">
        <v>37</v>
      </c>
      <c r="P219" s="15">
        <f>(IF(G219&gt;0,G219+I219,I219)-(O219*Ventas!AE202*1))</f>
        <v>29.98</v>
      </c>
      <c r="Q219" s="18">
        <f>(P219/(Ventas!AE202*1)/60)</f>
        <v>0.63248945147679325</v>
      </c>
      <c r="R219" s="8">
        <v>0</v>
      </c>
      <c r="S219" s="15">
        <f>IF(P219&gt;0,P219+R219,R219)</f>
        <v>29.98</v>
      </c>
      <c r="T219" s="3"/>
      <c r="U219" s="15">
        <v>48</v>
      </c>
      <c r="V219" s="17">
        <v>7.0299999999999996E-4</v>
      </c>
      <c r="W219" s="12">
        <v>46331</v>
      </c>
      <c r="X219" s="7">
        <v>56</v>
      </c>
      <c r="Y219" s="15">
        <f>(IF(P219&gt;0,P219+R219,R219)-(X219*Ventas!AE202*1))</f>
        <v>-14.260000000000002</v>
      </c>
      <c r="Z219" s="18">
        <f>(Y219/(Ventas!AE202*1)/60)</f>
        <v>-0.3008438818565401</v>
      </c>
      <c r="AA219" s="15">
        <f>(120*(Ventas!AE202*1) - IF(Y219&gt;0,Y219,0))</f>
        <v>94.800000000000011</v>
      </c>
      <c r="AB219" s="15">
        <v>96</v>
      </c>
      <c r="AC219" s="15">
        <f>IF(Y219&gt;0,Y219+IF(AB219&gt;0,AB219,0),AB219)</f>
        <v>96</v>
      </c>
      <c r="AD219" s="16">
        <v>3.45</v>
      </c>
      <c r="AE219" s="8">
        <v>3025</v>
      </c>
      <c r="AF219" s="15">
        <f>(AC219-(60*Ventas!AE202*1))</f>
        <v>48.599999999999994</v>
      </c>
      <c r="AG219" s="18">
        <f>(AF219/(Ventas!AE202*1)/60)</f>
        <v>1.0253164556962022</v>
      </c>
      <c r="AH219" s="1" t="s">
        <v>35</v>
      </c>
      <c r="AI219">
        <f t="shared" si="3"/>
        <v>331.20000000000005</v>
      </c>
    </row>
    <row r="220" spans="1:35" x14ac:dyDescent="0.25">
      <c r="A220" s="1"/>
      <c r="B220" s="1" t="s">
        <v>600</v>
      </c>
      <c r="C220" s="14" t="s">
        <v>601</v>
      </c>
      <c r="D220" s="8">
        <v>13</v>
      </c>
      <c r="E220" s="12">
        <v>46238</v>
      </c>
      <c r="F220" s="7">
        <v>1</v>
      </c>
      <c r="G220" s="15">
        <f>(D220-(0)+0-(F220*Ventas!AE268*1))</f>
        <v>12.87125</v>
      </c>
      <c r="H220" s="18">
        <f>(G220/(Ventas!AE268*1)/60)</f>
        <v>1.6661812297734628</v>
      </c>
      <c r="I220" s="8">
        <v>0</v>
      </c>
      <c r="J220" s="15">
        <f>IF(G220&gt;0,G220+I220,I220)</f>
        <v>12.87125</v>
      </c>
      <c r="K220" s="3"/>
      <c r="L220" s="15">
        <v>44</v>
      </c>
      <c r="M220" s="17">
        <v>7.7300000000000003E-4</v>
      </c>
      <c r="N220" s="12">
        <v>46275</v>
      </c>
      <c r="O220" s="7">
        <v>37</v>
      </c>
      <c r="P220" s="15">
        <f>(IF(G220&gt;0,G220+I220,I220)-(O220*Ventas!AE268*0.9189))</f>
        <v>8.4938401249999984</v>
      </c>
      <c r="Q220" s="18">
        <f>(P220/(Ventas!AE268*0.9189)/60)</f>
        <v>1.1965678852687589</v>
      </c>
      <c r="R220" s="8">
        <v>0</v>
      </c>
      <c r="S220" s="15">
        <f>IF(P220&gt;0,P220+R220,R220)</f>
        <v>8.4938401249999984</v>
      </c>
      <c r="T220" s="3"/>
      <c r="U220" s="15">
        <v>44</v>
      </c>
      <c r="V220" s="17">
        <v>7.7300000000000003E-4</v>
      </c>
      <c r="W220" s="12">
        <v>46331</v>
      </c>
      <c r="X220" s="7">
        <v>56</v>
      </c>
      <c r="Y220" s="15">
        <f>(IF(P220&gt;0,P220+R220,R220)-(X220*Ventas!AE268*0.925))</f>
        <v>1.8245901249999985</v>
      </c>
      <c r="Z220" s="18">
        <f>(Y220/(Ventas!AE268*0.925)/60)</f>
        <v>0.25534367182716677</v>
      </c>
      <c r="AA220" s="15">
        <f>(120*(Ventas!AE268*1.485) - IF(Y220&gt;0,Y220,0))</f>
        <v>21.118659875000006</v>
      </c>
      <c r="AB220" s="89">
        <v>0</v>
      </c>
      <c r="AC220" s="15">
        <f>IF(Y220&gt;0,Y220+IF(AB220&gt;0,AB220,0),AB220)</f>
        <v>1.8245901249999985</v>
      </c>
      <c r="AD220" s="16">
        <v>5.7</v>
      </c>
      <c r="AE220" s="8">
        <v>3010</v>
      </c>
      <c r="AF220" s="15">
        <f>(AC220-(60*Ventas!AE268*1.485))</f>
        <v>-9.6470348750000028</v>
      </c>
      <c r="AG220" s="18">
        <f>(AF220/(Ventas!AE268*1.485)/60)</f>
        <v>-0.84094754448476139</v>
      </c>
      <c r="AH220" s="1" t="s">
        <v>35</v>
      </c>
      <c r="AI220">
        <f t="shared" si="3"/>
        <v>0</v>
      </c>
    </row>
    <row r="221" spans="1:35" x14ac:dyDescent="0.25">
      <c r="A221" s="1"/>
      <c r="B221" s="1" t="s">
        <v>48</v>
      </c>
      <c r="C221" s="14" t="s">
        <v>49</v>
      </c>
      <c r="D221" s="8">
        <v>15</v>
      </c>
      <c r="E221" s="12">
        <v>46238</v>
      </c>
      <c r="F221" s="7">
        <v>1</v>
      </c>
      <c r="G221" s="15">
        <f>(D221-(0)+0-(F221*Ventas!AE38*0))</f>
        <v>15</v>
      </c>
      <c r="H221" s="3"/>
      <c r="I221" s="8">
        <v>0</v>
      </c>
      <c r="J221" s="15">
        <f>IF(G221&gt;0,G221+I221,I221)</f>
        <v>15</v>
      </c>
      <c r="K221" s="3"/>
      <c r="L221" s="3"/>
      <c r="M221" s="3"/>
      <c r="N221" s="12">
        <v>46275</v>
      </c>
      <c r="O221" s="7">
        <v>37</v>
      </c>
      <c r="P221" s="15">
        <f>(IF(G221&gt;0,G221+I221,I221)-(O221*Ventas!AE38*1))</f>
        <v>15</v>
      </c>
      <c r="Q221" s="3"/>
      <c r="R221" s="8">
        <v>0</v>
      </c>
      <c r="S221" s="15">
        <f>IF(P221&gt;0,P221+R221,R221)</f>
        <v>15</v>
      </c>
      <c r="T221" s="3"/>
      <c r="U221" s="3"/>
      <c r="V221" s="3"/>
      <c r="W221" s="12">
        <v>46331</v>
      </c>
      <c r="X221" s="7">
        <v>56</v>
      </c>
      <c r="Y221" s="15">
        <f>(IF(P221&gt;0,P221+R221,R221)-(X221*Ventas!AE38*1))</f>
        <v>15</v>
      </c>
      <c r="Z221" s="3"/>
      <c r="AA221" s="15">
        <f>(120*(Ventas!AE38*1) - IF(Y221&gt;0,Y221,0))</f>
        <v>-15</v>
      </c>
      <c r="AB221" s="15">
        <v>0</v>
      </c>
      <c r="AC221" s="15">
        <f>IF(Y221&gt;0,Y221+IF(AB221&gt;0,AB221,0),AB221)</f>
        <v>15</v>
      </c>
      <c r="AD221" s="16">
        <v>0.1</v>
      </c>
      <c r="AE221" s="8">
        <v>3010</v>
      </c>
      <c r="AF221" s="3"/>
      <c r="AG221" s="3"/>
      <c r="AH221" s="1" t="s">
        <v>35</v>
      </c>
      <c r="AI221">
        <f t="shared" si="3"/>
        <v>0</v>
      </c>
    </row>
    <row r="222" spans="1:35" x14ac:dyDescent="0.25">
      <c r="A222" s="1"/>
      <c r="B222" s="40" t="s">
        <v>230</v>
      </c>
      <c r="C222" s="14" t="s">
        <v>231</v>
      </c>
      <c r="D222" s="8">
        <v>17</v>
      </c>
      <c r="E222" s="12">
        <v>46238</v>
      </c>
      <c r="F222" s="7">
        <v>1</v>
      </c>
      <c r="G222" s="15">
        <f>(D222-(0)+0-(F222*Ventas!AE139*1))</f>
        <v>16.751950000000001</v>
      </c>
      <c r="H222" s="18">
        <f>(G222/(Ventas!AE139*1)/60)</f>
        <v>1.125576160720285</v>
      </c>
      <c r="I222" s="8">
        <v>0</v>
      </c>
      <c r="J222" s="15">
        <f>IF(G222&gt;0,G222+I222,I222)</f>
        <v>16.751950000000001</v>
      </c>
      <c r="K222" s="3"/>
      <c r="L222" s="3">
        <v>84</v>
      </c>
      <c r="M222" s="3"/>
      <c r="N222" s="12">
        <v>46275</v>
      </c>
      <c r="O222" s="7">
        <v>37</v>
      </c>
      <c r="P222" s="15">
        <f>(IF(G222&gt;0,G222+I222,I222)-(O222*Ventas!AE139*1))</f>
        <v>7.5741000000000014</v>
      </c>
      <c r="Q222" s="18">
        <f>(P222/(Ventas!AE139*1)/60)</f>
        <v>0.50890949405361829</v>
      </c>
      <c r="R222" s="8">
        <v>0</v>
      </c>
      <c r="S222" s="15">
        <f>IF(P222&gt;0,P222+R222,R222)</f>
        <v>7.5741000000000014</v>
      </c>
      <c r="T222" s="3"/>
      <c r="U222" s="86">
        <v>84</v>
      </c>
      <c r="V222" s="3"/>
      <c r="W222" s="12">
        <v>46331</v>
      </c>
      <c r="X222" s="7">
        <v>56</v>
      </c>
      <c r="Y222" s="15">
        <f>(IF(P222&gt;0,P222+R222,R222)-(X222*Ventas!AE139*1))</f>
        <v>-6.3166999999999973</v>
      </c>
      <c r="Z222" s="18">
        <f>(Y222/(Ventas!AE139*1)/60)</f>
        <v>-0.42442383927971494</v>
      </c>
      <c r="AA222" s="15">
        <f>(120*(Ventas!AE139*1) - IF(Y222&gt;0,Y222,0))</f>
        <v>29.765999999999998</v>
      </c>
      <c r="AB222" s="15">
        <v>0</v>
      </c>
      <c r="AC222" s="15">
        <f>IF(Y222&gt;0,Y222+IF(AB222&gt;0,AB222,0),AB222)</f>
        <v>0</v>
      </c>
      <c r="AD222" s="16">
        <v>0.42</v>
      </c>
      <c r="AE222" s="8">
        <v>3010</v>
      </c>
      <c r="AF222" s="15">
        <f>(AC222-(60*Ventas!AE139*1))</f>
        <v>-14.882999999999999</v>
      </c>
      <c r="AG222" s="18">
        <f>(AF222/(Ventas!AE139*1)/60)</f>
        <v>-1</v>
      </c>
      <c r="AH222" s="1" t="s">
        <v>32</v>
      </c>
      <c r="AI222">
        <f t="shared" si="3"/>
        <v>0</v>
      </c>
    </row>
    <row r="223" spans="1:35" x14ac:dyDescent="0.25">
      <c r="A223" s="1"/>
      <c r="B223" s="1" t="s">
        <v>38</v>
      </c>
      <c r="C223" s="14" t="s">
        <v>39</v>
      </c>
      <c r="D223" s="8">
        <v>17</v>
      </c>
      <c r="E223" s="12">
        <v>46238</v>
      </c>
      <c r="F223" s="7">
        <v>1</v>
      </c>
      <c r="G223" s="15">
        <f>(D223-(0)+0-(F223*Ventas!AE9*0))</f>
        <v>17</v>
      </c>
      <c r="H223" s="3"/>
      <c r="I223" s="8">
        <v>0</v>
      </c>
      <c r="J223" s="15">
        <f>IF(G223&gt;0,G223+I223,I223)</f>
        <v>17</v>
      </c>
      <c r="K223" s="3"/>
      <c r="L223" s="15">
        <v>1</v>
      </c>
      <c r="M223" s="17">
        <v>0.22</v>
      </c>
      <c r="N223" s="12">
        <v>46275</v>
      </c>
      <c r="O223" s="7">
        <v>37</v>
      </c>
      <c r="P223" s="15">
        <f>(IF(G223&gt;0,G223+I223,I223)-(O223*Ventas!AE9*1))</f>
        <v>17</v>
      </c>
      <c r="Q223" s="3"/>
      <c r="R223" s="8">
        <v>0</v>
      </c>
      <c r="S223" s="15">
        <f>IF(P223&gt;0,P223+R223,R223)</f>
        <v>17</v>
      </c>
      <c r="T223" s="3"/>
      <c r="U223" s="15">
        <v>1</v>
      </c>
      <c r="V223" s="17">
        <v>0.22</v>
      </c>
      <c r="W223" s="12">
        <v>46331</v>
      </c>
      <c r="X223" s="7">
        <v>56</v>
      </c>
      <c r="Y223" s="15">
        <f>(IF(P223&gt;0,P223+R223,R223)-(X223*Ventas!AE9*1))</f>
        <v>17</v>
      </c>
      <c r="Z223" s="3"/>
      <c r="AA223" s="15">
        <f>(120*(Ventas!AE9*1) - IF(Y223&gt;0,Y223,0))</f>
        <v>-17</v>
      </c>
      <c r="AB223" s="15">
        <v>0</v>
      </c>
      <c r="AC223" s="15">
        <f>IF(Y223&gt;0,Y223+IF(AB223&gt;0,AB223,0),AB223)</f>
        <v>17</v>
      </c>
      <c r="AD223" s="3"/>
      <c r="AE223" s="8">
        <v>3025</v>
      </c>
      <c r="AF223" s="3"/>
      <c r="AG223" s="3"/>
      <c r="AH223" s="1" t="s">
        <v>32</v>
      </c>
      <c r="AI223">
        <f t="shared" si="3"/>
        <v>0</v>
      </c>
    </row>
    <row r="224" spans="1:35" x14ac:dyDescent="0.25">
      <c r="A224" s="1"/>
      <c r="B224" s="1" t="s">
        <v>522</v>
      </c>
      <c r="C224" s="14" t="s">
        <v>523</v>
      </c>
      <c r="D224" s="8">
        <v>21</v>
      </c>
      <c r="E224" s="12">
        <v>46238</v>
      </c>
      <c r="F224" s="7">
        <v>1</v>
      </c>
      <c r="G224" s="15">
        <f>(D224-(0)+0-(F224*Ventas!AE27*1))</f>
        <v>20.483033333333335</v>
      </c>
      <c r="H224" s="18">
        <f>(G224/(Ventas!AE27*1)/60)</f>
        <v>0.66035957616007912</v>
      </c>
      <c r="I224" s="8">
        <v>0</v>
      </c>
      <c r="J224" s="15">
        <f>IF(G224&gt;0,G224+I224,I224)</f>
        <v>20.483033333333335</v>
      </c>
      <c r="K224" s="3"/>
      <c r="L224" s="15">
        <v>60</v>
      </c>
      <c r="M224" s="17">
        <v>7.2499999999999995E-4</v>
      </c>
      <c r="N224" s="12">
        <v>46275</v>
      </c>
      <c r="O224" s="7">
        <v>37</v>
      </c>
      <c r="P224" s="15">
        <f>(IF(G224&gt;0,G224+I224,I224)-(O224*Ventas!AE27*0.9189))</f>
        <v>2.9065285433333337</v>
      </c>
      <c r="Q224" s="18">
        <f>(P224/(Ventas!AE27*0.9189)/60)</f>
        <v>0.1019747264773959</v>
      </c>
      <c r="R224" s="8">
        <v>0</v>
      </c>
      <c r="S224" s="15">
        <f>IF(P224&gt;0,P224+R224,R224)</f>
        <v>2.9065285433333337</v>
      </c>
      <c r="T224" s="3"/>
      <c r="U224" s="15">
        <v>60</v>
      </c>
      <c r="V224" s="17">
        <v>7.2499999999999995E-4</v>
      </c>
      <c r="W224" s="12">
        <v>46331</v>
      </c>
      <c r="X224" s="7">
        <v>56</v>
      </c>
      <c r="Y224" s="15">
        <f>(IF(P224&gt;0,P224+R224,R224)-(X224*Ventas!AE27*0.925))</f>
        <v>-23.87234479</v>
      </c>
      <c r="Z224" s="18">
        <f>(Y224/(Ventas!AE27*0.925)/60)</f>
        <v>-0.83203108883595045</v>
      </c>
      <c r="AA224" s="15">
        <f>(120*(Ventas!AE27*1.485) - IF(Y224&gt;0,Y224,0))</f>
        <v>92.123460000000009</v>
      </c>
      <c r="AB224" s="89">
        <v>0</v>
      </c>
      <c r="AC224" s="15">
        <f>IF(Y224&gt;0,Y224+IF(AB224&gt;0,AB224,0),AB224)</f>
        <v>0</v>
      </c>
      <c r="AD224" s="16">
        <v>0.96</v>
      </c>
      <c r="AE224" s="8">
        <v>3010</v>
      </c>
      <c r="AF224" s="15">
        <f>(AC224-(60*Ventas!AE27*1.485))</f>
        <v>-46.061730000000004</v>
      </c>
      <c r="AG224" s="18">
        <f>(AF224/(Ventas!AE27*1.485)/60)</f>
        <v>-1</v>
      </c>
      <c r="AH224" s="1" t="s">
        <v>32</v>
      </c>
      <c r="AI224">
        <f t="shared" si="3"/>
        <v>0</v>
      </c>
    </row>
    <row r="225" spans="1:35" x14ac:dyDescent="0.25">
      <c r="A225" s="1"/>
      <c r="B225" s="1" t="s">
        <v>36</v>
      </c>
      <c r="C225" s="14" t="s">
        <v>37</v>
      </c>
      <c r="D225" s="8">
        <v>21</v>
      </c>
      <c r="E225" s="12">
        <v>46238</v>
      </c>
      <c r="F225" s="7">
        <v>1</v>
      </c>
      <c r="G225" s="15">
        <f>(D225-(0)+0-(F225*Ventas!AE8*0))</f>
        <v>21</v>
      </c>
      <c r="H225" s="3"/>
      <c r="I225" s="8">
        <v>0</v>
      </c>
      <c r="J225" s="15">
        <f>IF(G225&gt;0,G225+I225,I225)</f>
        <v>21</v>
      </c>
      <c r="K225" s="3"/>
      <c r="L225" s="15">
        <v>1</v>
      </c>
      <c r="M225" s="17">
        <v>8.7999999999999995E-2</v>
      </c>
      <c r="N225" s="12">
        <v>46275</v>
      </c>
      <c r="O225" s="7">
        <v>37</v>
      </c>
      <c r="P225" s="15">
        <f>(IF(G225&gt;0,G225+I225,I225)-(O225*Ventas!AE8*1))</f>
        <v>21</v>
      </c>
      <c r="Q225" s="3"/>
      <c r="R225" s="8">
        <v>0</v>
      </c>
      <c r="S225" s="15">
        <f>IF(P225&gt;0,P225+R225,R225)</f>
        <v>21</v>
      </c>
      <c r="T225" s="3"/>
      <c r="U225" s="15">
        <v>1</v>
      </c>
      <c r="V225" s="17">
        <v>8.7999999999999995E-2</v>
      </c>
      <c r="W225" s="12">
        <v>46331</v>
      </c>
      <c r="X225" s="7">
        <v>56</v>
      </c>
      <c r="Y225" s="15">
        <f>(IF(P225&gt;0,P225+R225,R225)-(X225*Ventas!AE8*1))</f>
        <v>21</v>
      </c>
      <c r="Z225" s="3"/>
      <c r="AA225" s="15">
        <f>(120*(Ventas!AE8*1) - IF(Y225&gt;0,Y225,0))</f>
        <v>-21</v>
      </c>
      <c r="AB225" s="15">
        <v>0</v>
      </c>
      <c r="AC225" s="15">
        <f>IF(Y225&gt;0,Y225+IF(AB225&gt;0,AB225,0),AB225)</f>
        <v>21</v>
      </c>
      <c r="AD225" s="16">
        <v>31.65</v>
      </c>
      <c r="AE225" s="8">
        <v>3027</v>
      </c>
      <c r="AF225" s="3"/>
      <c r="AG225" s="3"/>
      <c r="AH225" s="1" t="s">
        <v>32</v>
      </c>
      <c r="AI225">
        <f t="shared" si="3"/>
        <v>0</v>
      </c>
    </row>
    <row r="226" spans="1:35" x14ac:dyDescent="0.25">
      <c r="A226" s="1"/>
      <c r="B226" s="1" t="s">
        <v>162</v>
      </c>
      <c r="C226" s="14" t="s">
        <v>163</v>
      </c>
      <c r="D226" s="8">
        <v>22</v>
      </c>
      <c r="E226" s="12">
        <v>46238</v>
      </c>
      <c r="F226" s="7">
        <v>1</v>
      </c>
      <c r="G226" s="15">
        <f>(D226-(0)+0-(F226*Ventas!AE105*1))</f>
        <v>21.928966666666668</v>
      </c>
      <c r="H226" s="18">
        <f>(G226/(Ventas!AE105*1)/60)</f>
        <v>5.1452291568903492</v>
      </c>
      <c r="I226" s="8">
        <v>0</v>
      </c>
      <c r="J226" s="15">
        <f>IF(G226&gt;0,G226+I226,I226)</f>
        <v>21.928966666666668</v>
      </c>
      <c r="K226" s="3"/>
      <c r="L226" s="3"/>
      <c r="M226" s="17">
        <v>5.3699999999999998E-3</v>
      </c>
      <c r="N226" s="12">
        <v>46275</v>
      </c>
      <c r="O226" s="7">
        <v>37</v>
      </c>
      <c r="P226" s="15">
        <f>(IF(G226&gt;0,G226+I226,I226)-(O226*Ventas!AE105*1))</f>
        <v>19.300733333333334</v>
      </c>
      <c r="Q226" s="18">
        <f>(P226/(Ventas!AE105*1)/60)</f>
        <v>4.5285624902236821</v>
      </c>
      <c r="R226" s="8">
        <v>0</v>
      </c>
      <c r="S226" s="15">
        <f>IF(P226&gt;0,P226+R226,R226)</f>
        <v>19.300733333333334</v>
      </c>
      <c r="T226" s="3"/>
      <c r="U226" s="3"/>
      <c r="V226" s="17">
        <v>5.3699999999999998E-3</v>
      </c>
      <c r="W226" s="12">
        <v>46331</v>
      </c>
      <c r="X226" s="7">
        <v>56</v>
      </c>
      <c r="Y226" s="15">
        <f>(IF(P226&gt;0,P226+R226,R226)-(X226*Ventas!AE105*1))</f>
        <v>15.322866666666666</v>
      </c>
      <c r="Z226" s="18">
        <f>(Y226/(Ventas!AE105*1)/60)</f>
        <v>3.5952291568903485</v>
      </c>
      <c r="AA226" s="15">
        <f>(120*(Ventas!AE105*1) - IF(Y226&gt;0,Y226,0))</f>
        <v>-6.7988666666666653</v>
      </c>
      <c r="AB226" s="15">
        <v>0</v>
      </c>
      <c r="AC226" s="15">
        <f>IF(Y226&gt;0,Y226+IF(AB226&gt;0,AB226,0),AB226)</f>
        <v>15.322866666666666</v>
      </c>
      <c r="AD226" s="16">
        <v>11.35</v>
      </c>
      <c r="AE226" s="8">
        <v>3010</v>
      </c>
      <c r="AF226" s="15">
        <f>(AC226-(60*Ventas!AE105*1))</f>
        <v>11.060866666666666</v>
      </c>
      <c r="AG226" s="18">
        <f>(AF226/(Ventas!AE105*1)/60)</f>
        <v>2.5952291568903485</v>
      </c>
      <c r="AH226" s="1" t="s">
        <v>35</v>
      </c>
      <c r="AI226">
        <f t="shared" si="3"/>
        <v>0</v>
      </c>
    </row>
    <row r="227" spans="1:35" x14ac:dyDescent="0.25">
      <c r="A227" s="1"/>
      <c r="B227" s="69" t="s">
        <v>572</v>
      </c>
      <c r="C227" s="14" t="s">
        <v>573</v>
      </c>
      <c r="D227" s="8">
        <v>24</v>
      </c>
      <c r="E227" s="12">
        <v>46238</v>
      </c>
      <c r="F227" s="7">
        <v>1</v>
      </c>
      <c r="G227" s="15">
        <f>(D227-(0)+0-(F227*Ventas!AE254*1))</f>
        <v>22.847850000000001</v>
      </c>
      <c r="H227" s="18">
        <f>(G227/(Ventas!AE254*1)/60)</f>
        <v>0.33051035021481578</v>
      </c>
      <c r="I227" s="8">
        <v>44</v>
      </c>
      <c r="J227" s="15">
        <f>IF(G227&gt;0,G227+I227,I227)</f>
        <v>66.847849999999994</v>
      </c>
      <c r="K227" s="15">
        <v>4.2</v>
      </c>
      <c r="L227" s="15">
        <v>25</v>
      </c>
      <c r="M227" s="17">
        <v>1.2199999999999999E-3</v>
      </c>
      <c r="N227" s="12">
        <v>46275</v>
      </c>
      <c r="O227" s="7">
        <v>37</v>
      </c>
      <c r="P227" s="15">
        <f>(IF(G227&gt;0,G227+I227,I227)-(O227*Ventas!AE254*0.9189))</f>
        <v>27.675556504999989</v>
      </c>
      <c r="Q227" s="18">
        <f>(P227/(Ventas!AE254*0.9189)/60)</f>
        <v>0.43568021311444854</v>
      </c>
      <c r="R227" s="8">
        <v>0</v>
      </c>
      <c r="S227" s="15">
        <f>IF(P227&gt;0,P227+R227,R227)</f>
        <v>27.675556504999989</v>
      </c>
      <c r="T227" s="3"/>
      <c r="U227" s="15">
        <v>25</v>
      </c>
      <c r="V227" s="17">
        <v>1.2199999999999999E-3</v>
      </c>
      <c r="W227" s="12">
        <v>46331</v>
      </c>
      <c r="X227" s="7">
        <v>56</v>
      </c>
      <c r="Y227" s="15">
        <f>(IF(P227&gt;0,P227+R227,R227)-(X227*Ventas!AE254*0.925))</f>
        <v>-32.005813495000012</v>
      </c>
      <c r="Z227" s="18">
        <f>(Y227/(Ventas!AE254*0.925)/60)</f>
        <v>-0.50052625459726119</v>
      </c>
      <c r="AA227" s="15">
        <f>(120*(Ventas!AE254*1.485) - IF(Y227&gt;0,Y227,0))</f>
        <v>205.31313</v>
      </c>
      <c r="AB227" s="15">
        <v>0</v>
      </c>
      <c r="AC227" s="15">
        <f>IF(Y227&gt;0,Y227+IF(AB227&gt;0,AB227,0),AB227)</f>
        <v>0</v>
      </c>
      <c r="AD227" s="16">
        <v>4.2</v>
      </c>
      <c r="AE227" s="8">
        <v>3025</v>
      </c>
      <c r="AF227" s="15">
        <f>(AC227-(60*Ventas!AE254*1.485))</f>
        <v>-102.65656500000001</v>
      </c>
      <c r="AG227" s="18">
        <f>(AF227/(Ventas!AE254*1.485)/60)</f>
        <v>-1.0000000000000002</v>
      </c>
      <c r="AH227" s="1" t="s">
        <v>35</v>
      </c>
      <c r="AI227">
        <f t="shared" si="3"/>
        <v>0</v>
      </c>
    </row>
    <row r="228" spans="1:35" x14ac:dyDescent="0.25">
      <c r="A228" s="1"/>
      <c r="B228" s="1" t="s">
        <v>652</v>
      </c>
      <c r="C228" s="14" t="s">
        <v>653</v>
      </c>
      <c r="D228" s="8">
        <v>23</v>
      </c>
      <c r="E228" s="12">
        <v>46238</v>
      </c>
      <c r="F228" s="7">
        <v>1</v>
      </c>
      <c r="G228" s="15">
        <f>(D228-(0)+0-(F228*Ventas!AE3*1))</f>
        <v>22.9085</v>
      </c>
      <c r="H228" s="18">
        <f>(G228/(Ventas!AE3*1)/60)</f>
        <v>4.1727686703096536</v>
      </c>
      <c r="I228" s="8">
        <v>0</v>
      </c>
      <c r="J228" s="15">
        <f>IF(G228&gt;0,G228+I228,I228)</f>
        <v>22.9085</v>
      </c>
      <c r="K228" s="3"/>
      <c r="L228" s="15">
        <v>10</v>
      </c>
      <c r="M228" s="17">
        <v>3.3999999999999998E-3</v>
      </c>
      <c r="N228" s="12">
        <v>46275</v>
      </c>
      <c r="O228" s="7">
        <v>37</v>
      </c>
      <c r="P228" s="15">
        <f>(IF(G228&gt;0,G228+I228,I228)-(O228*Ventas!AE3*0.9459))</f>
        <v>19.706155549999998</v>
      </c>
      <c r="Q228" s="18">
        <f>(P228/(Ventas!AE3*0.9459)/60)</f>
        <v>3.7947601969654858</v>
      </c>
      <c r="R228" s="8">
        <v>0</v>
      </c>
      <c r="S228" s="15">
        <f>IF(P228&gt;0,P228+R228,R228)</f>
        <v>19.706155549999998</v>
      </c>
      <c r="T228" s="3"/>
      <c r="U228" s="15">
        <v>10</v>
      </c>
      <c r="V228" s="17">
        <v>3.3999999999999998E-3</v>
      </c>
      <c r="W228" s="12">
        <v>46331</v>
      </c>
      <c r="X228" s="7">
        <v>56</v>
      </c>
      <c r="Y228" s="15">
        <f>(IF(P228&gt;0,P228+R228,R228)-(X228*Ventas!AE3*0.9554))</f>
        <v>14.810685949999996</v>
      </c>
      <c r="Z228" s="18">
        <f>(Y228/(Ventas!AE3*0.9554)/60)</f>
        <v>2.8236937446545807</v>
      </c>
      <c r="AA228" s="15">
        <f>(120*(Ventas!AE3*1.5117) - IF(Y228&gt;0,Y228,0))</f>
        <v>1.7877800500000056</v>
      </c>
      <c r="AB228" s="15">
        <v>0</v>
      </c>
      <c r="AC228" s="15">
        <f>IF(Y228&gt;0,Y228+IF(AB228&gt;0,AB228,0),AB228)</f>
        <v>14.810685949999996</v>
      </c>
      <c r="AD228" s="16">
        <v>9.7200000000000006</v>
      </c>
      <c r="AE228" s="8">
        <v>3010</v>
      </c>
      <c r="AF228" s="15">
        <f>(AC228-(60*Ventas!AE3*1.5117))</f>
        <v>6.5114529499999936</v>
      </c>
      <c r="AG228" s="18">
        <f>(AF228/(Ventas!AE3*1.5117)/60)</f>
        <v>0.78458490682211146</v>
      </c>
      <c r="AH228" s="1" t="s">
        <v>35</v>
      </c>
      <c r="AI228">
        <f t="shared" si="3"/>
        <v>0</v>
      </c>
    </row>
    <row r="229" spans="1:35" x14ac:dyDescent="0.25">
      <c r="A229" s="1"/>
      <c r="B229" s="56" t="s">
        <v>236</v>
      </c>
      <c r="C229" s="14" t="s">
        <v>237</v>
      </c>
      <c r="D229" s="8">
        <v>28</v>
      </c>
      <c r="E229" s="12">
        <v>46238</v>
      </c>
      <c r="F229" s="7">
        <v>1</v>
      </c>
      <c r="G229" s="15">
        <f>(D229-(0)+0-(F229*Ventas!AE142*1))</f>
        <v>26.89</v>
      </c>
      <c r="H229" s="18">
        <f>(G229/(Ventas!AE142*1)/60)</f>
        <v>0.40375375375375372</v>
      </c>
      <c r="I229" s="8">
        <v>420</v>
      </c>
      <c r="J229" s="15">
        <f>IF(G229&gt;0,G229+I229,I229)</f>
        <v>446.89</v>
      </c>
      <c r="K229" s="15">
        <v>1.1299999999999999</v>
      </c>
      <c r="L229" s="15">
        <v>84</v>
      </c>
      <c r="M229" s="17">
        <v>4.0200000000000001E-4</v>
      </c>
      <c r="N229" s="12">
        <v>46275</v>
      </c>
      <c r="O229" s="7">
        <v>37</v>
      </c>
      <c r="P229" s="15">
        <f>(IF(G229&gt;0,G229+I229,I229)-(O229*Ventas!AE142*1))</f>
        <v>405.82</v>
      </c>
      <c r="Q229" s="18">
        <f>(P229/(Ventas!AE142*1)/60)</f>
        <v>6.0933933933933933</v>
      </c>
      <c r="R229" s="8">
        <v>84</v>
      </c>
      <c r="S229" s="15">
        <f>IF(P229&gt;0,P229+R229,R229)</f>
        <v>489.82</v>
      </c>
      <c r="T229" s="15">
        <v>1.1399999999999999</v>
      </c>
      <c r="U229" s="15">
        <v>84</v>
      </c>
      <c r="V229" s="17">
        <v>4.0200000000000001E-4</v>
      </c>
      <c r="W229" s="12">
        <v>46331</v>
      </c>
      <c r="X229" s="7">
        <v>56</v>
      </c>
      <c r="Y229" s="15">
        <f>(IF(P229&gt;0,P229+R229,R229)-(X229*Ventas!AE142*1))</f>
        <v>427.65999999999997</v>
      </c>
      <c r="Z229" s="18">
        <f>(Y229/(Ventas!AE142*1)/60)</f>
        <v>6.4213213213213196</v>
      </c>
      <c r="AA229" s="15">
        <f>(120*(Ventas!AE142*1) - IF(Y229&gt;0,Y229,0))</f>
        <v>-294.45999999999992</v>
      </c>
      <c r="AB229" s="15">
        <v>0</v>
      </c>
      <c r="AC229" s="15">
        <f>IF(Y229&gt;0,Y229+IF(AB229&gt;0,AB229,0),AB229)</f>
        <v>427.65999999999997</v>
      </c>
      <c r="AD229" s="16">
        <v>1.1299999999999999</v>
      </c>
      <c r="AE229" s="8">
        <v>3025</v>
      </c>
      <c r="AF229" s="15">
        <f>(AC229-(60*Ventas!AE142*1))</f>
        <v>361.05999999999995</v>
      </c>
      <c r="AG229" s="18">
        <f>(AF229/(Ventas!AE142*1)/60)</f>
        <v>5.4213213213213196</v>
      </c>
      <c r="AH229" s="1" t="s">
        <v>35</v>
      </c>
      <c r="AI229">
        <f t="shared" si="3"/>
        <v>0</v>
      </c>
    </row>
    <row r="230" spans="1:35" x14ac:dyDescent="0.25">
      <c r="A230" s="1"/>
      <c r="B230" s="1" t="s">
        <v>264</v>
      </c>
      <c r="C230" s="14" t="s">
        <v>265</v>
      </c>
      <c r="D230" s="8">
        <v>29</v>
      </c>
      <c r="E230" s="12">
        <v>46238</v>
      </c>
      <c r="F230" s="7">
        <v>1</v>
      </c>
      <c r="G230" s="15">
        <f>(D230-(0)+0-(F230*Ventas!AE156*1))</f>
        <v>29</v>
      </c>
      <c r="H230" s="3"/>
      <c r="I230" s="8">
        <v>0</v>
      </c>
      <c r="J230" s="15">
        <f>IF(G230&gt;0,G230+I230,I230)</f>
        <v>29</v>
      </c>
      <c r="K230" s="3"/>
      <c r="L230" s="3"/>
      <c r="M230" s="3"/>
      <c r="N230" s="12">
        <v>46275</v>
      </c>
      <c r="O230" s="7">
        <v>37</v>
      </c>
      <c r="P230" s="15">
        <f>(IF(G230&gt;0,G230+I230,I230)-(O230*Ventas!AE156*1))</f>
        <v>29</v>
      </c>
      <c r="Q230" s="3"/>
      <c r="R230" s="8">
        <v>0</v>
      </c>
      <c r="S230" s="15">
        <f>IF(P230&gt;0,P230+R230,R230)</f>
        <v>29</v>
      </c>
      <c r="T230" s="3"/>
      <c r="U230" s="3"/>
      <c r="V230" s="3"/>
      <c r="W230" s="12">
        <v>46331</v>
      </c>
      <c r="X230" s="7">
        <v>56</v>
      </c>
      <c r="Y230" s="15">
        <f>(IF(P230&gt;0,P230+R230,R230)-(X230*Ventas!AE156*1))</f>
        <v>29</v>
      </c>
      <c r="Z230" s="3"/>
      <c r="AA230" s="15">
        <f>(120*(Ventas!AE156*1) - IF(Y230&gt;0,Y230,0))</f>
        <v>-29</v>
      </c>
      <c r="AB230" s="15">
        <v>0</v>
      </c>
      <c r="AC230" s="15">
        <f>IF(Y230&gt;0,Y230+IF(AB230&gt;0,AB230,0),AB230)</f>
        <v>29</v>
      </c>
      <c r="AD230" s="3"/>
      <c r="AE230" s="3"/>
      <c r="AF230" s="3"/>
      <c r="AG230" s="3"/>
      <c r="AH230" s="1" t="s">
        <v>32</v>
      </c>
      <c r="AI230">
        <f t="shared" si="3"/>
        <v>0</v>
      </c>
    </row>
    <row r="231" spans="1:35" x14ac:dyDescent="0.25">
      <c r="A231" s="1"/>
      <c r="B231" s="1" t="s">
        <v>294</v>
      </c>
      <c r="C231" s="14" t="s">
        <v>295</v>
      </c>
      <c r="D231" s="8">
        <v>35</v>
      </c>
      <c r="E231" s="12">
        <v>46238</v>
      </c>
      <c r="F231" s="7">
        <v>1</v>
      </c>
      <c r="G231" s="15">
        <f>(D231-(0)+0-(F231*Ventas!AE167*1))</f>
        <v>34.836266666666667</v>
      </c>
      <c r="H231" s="18">
        <f>(G231/(Ventas!AE167*1)/60)</f>
        <v>3.5460369163952232</v>
      </c>
      <c r="I231" s="8">
        <v>0</v>
      </c>
      <c r="J231" s="15">
        <f>IF(G231&gt;0,G231+I231,I231)</f>
        <v>34.836266666666667</v>
      </c>
      <c r="K231" s="3"/>
      <c r="L231" s="15">
        <v>65</v>
      </c>
      <c r="M231" s="17">
        <v>6.69E-4</v>
      </c>
      <c r="N231" s="12">
        <v>46275</v>
      </c>
      <c r="O231" s="7">
        <v>37</v>
      </c>
      <c r="P231" s="15">
        <f>(IF(G231&gt;0,G231+I231,I231)-(O231*Ventas!AE167*1))</f>
        <v>28.778133333333336</v>
      </c>
      <c r="Q231" s="18">
        <f>(P231/(Ventas!AE167*1)/60)</f>
        <v>2.9293702497285565</v>
      </c>
      <c r="R231" s="8">
        <v>0</v>
      </c>
      <c r="S231" s="15">
        <f>IF(P231&gt;0,P231+R231,R231)</f>
        <v>28.778133333333336</v>
      </c>
      <c r="T231" s="3"/>
      <c r="U231" s="15">
        <v>65</v>
      </c>
      <c r="V231" s="17">
        <v>6.69E-4</v>
      </c>
      <c r="W231" s="12">
        <v>46331</v>
      </c>
      <c r="X231" s="7">
        <v>56</v>
      </c>
      <c r="Y231" s="15">
        <f>(IF(P231&gt;0,P231+R231,R231)-(X231*Ventas!AE167*1))</f>
        <v>19.609066666666671</v>
      </c>
      <c r="Z231" s="18">
        <f>(Y231/(Ventas!AE167*1)/60)</f>
        <v>1.9960369163952232</v>
      </c>
      <c r="AA231" s="15">
        <f>(120*(Ventas!AE167*1) - IF(Y231&gt;0,Y231,0))</f>
        <v>3.8933333333325493E-2</v>
      </c>
      <c r="AB231" s="15">
        <v>0</v>
      </c>
      <c r="AC231" s="15">
        <f>IF(Y231&gt;0,Y231+IF(AB231&gt;0,AB231,0),AB231)</f>
        <v>19.609066666666671</v>
      </c>
      <c r="AD231" s="16">
        <v>0.94</v>
      </c>
      <c r="AE231" s="8">
        <v>3027</v>
      </c>
      <c r="AF231" s="15">
        <f>(AC231-(60*Ventas!AE167*1))</f>
        <v>9.7850666666666726</v>
      </c>
      <c r="AG231" s="18">
        <f>(AF231/(Ventas!AE167*1)/60)</f>
        <v>0.99603691639522329</v>
      </c>
      <c r="AH231" s="1" t="s">
        <v>35</v>
      </c>
      <c r="AI231">
        <f t="shared" si="3"/>
        <v>0</v>
      </c>
    </row>
    <row r="232" spans="1:35" x14ac:dyDescent="0.25">
      <c r="A232" s="1"/>
      <c r="B232" s="1" t="s">
        <v>602</v>
      </c>
      <c r="C232" s="14" t="s">
        <v>603</v>
      </c>
      <c r="D232" s="8">
        <v>37</v>
      </c>
      <c r="E232" s="12">
        <v>46238</v>
      </c>
      <c r="F232" s="7">
        <v>1</v>
      </c>
      <c r="G232" s="15">
        <f>(D232-(0)+0-(F232*Ventas!AE269*1))</f>
        <v>36.882716666666667</v>
      </c>
      <c r="H232" s="18">
        <f>(G232/(Ventas!AE269*1)/60)</f>
        <v>5.2412557434512808</v>
      </c>
      <c r="I232" s="8">
        <v>0</v>
      </c>
      <c r="J232" s="15">
        <f>IF(G232&gt;0,G232+I232,I232)</f>
        <v>36.882716666666667</v>
      </c>
      <c r="K232" s="3"/>
      <c r="L232" s="15">
        <v>44</v>
      </c>
      <c r="M232" s="17">
        <v>7.7300000000000003E-4</v>
      </c>
      <c r="N232" s="12">
        <v>46275</v>
      </c>
      <c r="O232" s="7">
        <v>37</v>
      </c>
      <c r="P232" s="15">
        <f>(IF(G232&gt;0,G232+I232,I232)-(O232*Ventas!AE269*0.9189))</f>
        <v>32.895165431666669</v>
      </c>
      <c r="Q232" s="18">
        <f>(P232/(Ventas!AE269*0.9189)/60)</f>
        <v>5.0871702507903809</v>
      </c>
      <c r="R232" s="8">
        <v>0</v>
      </c>
      <c r="S232" s="15">
        <f>IF(P232&gt;0,P232+R232,R232)</f>
        <v>32.895165431666669</v>
      </c>
      <c r="T232" s="3"/>
      <c r="U232" s="15">
        <v>44</v>
      </c>
      <c r="V232" s="17">
        <v>7.7300000000000003E-4</v>
      </c>
      <c r="W232" s="12">
        <v>46331</v>
      </c>
      <c r="X232" s="7">
        <v>56</v>
      </c>
      <c r="Y232" s="15">
        <f>(IF(P232&gt;0,P232+R232,R232)-(X232*Ventas!AE269*0.925))</f>
        <v>26.819888765000002</v>
      </c>
      <c r="Z232" s="18">
        <f>(Y232/(Ventas!AE269*0.925)/60)</f>
        <v>4.1202890920194033</v>
      </c>
      <c r="AA232" s="15">
        <f>(120*(Ventas!AE269*1.485) - IF(Y232&gt;0,Y232,0))</f>
        <v>-5.9199987650000025</v>
      </c>
      <c r="AB232" s="15">
        <v>0</v>
      </c>
      <c r="AC232" s="15">
        <f>IF(Y232&gt;0,Y232+IF(AB232&gt;0,AB232,0),AB232)</f>
        <v>26.819888765000002</v>
      </c>
      <c r="AD232" s="16">
        <v>5.7</v>
      </c>
      <c r="AE232" s="8">
        <v>3010</v>
      </c>
      <c r="AF232" s="15">
        <f>(AC232-(60*Ventas!AE269*1.485))</f>
        <v>16.369943765000002</v>
      </c>
      <c r="AG232" s="18">
        <f>(AF232/(Ventas!AE269*1.485)/60)</f>
        <v>1.5665100404834669</v>
      </c>
      <c r="AH232" s="1" t="s">
        <v>35</v>
      </c>
      <c r="AI232">
        <f t="shared" si="3"/>
        <v>0</v>
      </c>
    </row>
    <row r="233" spans="1:35" x14ac:dyDescent="0.25">
      <c r="A233" s="1"/>
      <c r="B233" s="1" t="s">
        <v>33</v>
      </c>
      <c r="C233" s="14" t="s">
        <v>34</v>
      </c>
      <c r="D233" s="8">
        <v>41</v>
      </c>
      <c r="E233" s="12">
        <v>46238</v>
      </c>
      <c r="F233" s="7">
        <v>1</v>
      </c>
      <c r="G233" s="15">
        <f>(D233-(0)+0-(F233*Ventas!AE7*0))</f>
        <v>41</v>
      </c>
      <c r="H233" s="3"/>
      <c r="I233" s="8">
        <v>0</v>
      </c>
      <c r="J233" s="15">
        <f>IF(G233&gt;0,G233+I233,I233)</f>
        <v>41</v>
      </c>
      <c r="K233" s="3"/>
      <c r="L233" s="15">
        <v>2</v>
      </c>
      <c r="M233" s="17">
        <v>8.4000000000000005E-2</v>
      </c>
      <c r="N233" s="12">
        <v>46275</v>
      </c>
      <c r="O233" s="7">
        <v>37</v>
      </c>
      <c r="P233" s="15">
        <f>(IF(G233&gt;0,G233+I233,I233)-(O233*Ventas!AE7*1))</f>
        <v>41</v>
      </c>
      <c r="Q233" s="3"/>
      <c r="R233" s="8">
        <v>0</v>
      </c>
      <c r="S233" s="15">
        <f>IF(P233&gt;0,P233+R233,R233)</f>
        <v>41</v>
      </c>
      <c r="T233" s="3"/>
      <c r="U233" s="15">
        <v>2</v>
      </c>
      <c r="V233" s="17">
        <v>8.4000000000000005E-2</v>
      </c>
      <c r="W233" s="12">
        <v>46331</v>
      </c>
      <c r="X233" s="7">
        <v>56</v>
      </c>
      <c r="Y233" s="15">
        <f>(IF(P233&gt;0,P233+R233,R233)-(X233*Ventas!AE7*1))</f>
        <v>41</v>
      </c>
      <c r="Z233" s="3"/>
      <c r="AA233" s="15">
        <f>(120*(Ventas!AE7*1) - IF(Y233&gt;0,Y233,0))</f>
        <v>-41</v>
      </c>
      <c r="AB233" s="15">
        <v>0</v>
      </c>
      <c r="AC233" s="15">
        <f>IF(Y233&gt;0,Y233+IF(AB233&gt;0,AB233,0),AB233)</f>
        <v>41</v>
      </c>
      <c r="AD233" s="16">
        <v>16.899999999999999</v>
      </c>
      <c r="AE233" s="8">
        <v>3010</v>
      </c>
      <c r="AF233" s="3"/>
      <c r="AG233" s="3"/>
      <c r="AH233" s="1" t="s">
        <v>35</v>
      </c>
      <c r="AI233">
        <f t="shared" si="3"/>
        <v>0</v>
      </c>
    </row>
    <row r="234" spans="1:35" x14ac:dyDescent="0.25">
      <c r="A234" s="1"/>
      <c r="B234" s="1" t="s">
        <v>160</v>
      </c>
      <c r="C234" s="14" t="s">
        <v>161</v>
      </c>
      <c r="D234" s="8">
        <v>42</v>
      </c>
      <c r="E234" s="12">
        <v>46238</v>
      </c>
      <c r="F234" s="7">
        <v>1</v>
      </c>
      <c r="G234" s="15">
        <f>(D234-(0)+0-(F234*Ventas!AE104*1))</f>
        <v>41.106749999999998</v>
      </c>
      <c r="H234" s="18">
        <f>(G234/(Ventas!AE104*1)/60)</f>
        <v>0.7669885250489783</v>
      </c>
      <c r="I234" s="8">
        <v>0</v>
      </c>
      <c r="J234" s="15">
        <f>IF(G234&gt;0,G234+I234,I234)</f>
        <v>41.106749999999998</v>
      </c>
      <c r="K234" s="3"/>
      <c r="L234" s="15">
        <v>90</v>
      </c>
      <c r="M234" s="17">
        <v>3.39E-4</v>
      </c>
      <c r="N234" s="12">
        <v>46275</v>
      </c>
      <c r="O234" s="7">
        <v>37</v>
      </c>
      <c r="P234" s="15">
        <f>(IF(G234&gt;0,G234+I234,I234)-(O234*Ventas!AE104*1))</f>
        <v>8.0564999999999927</v>
      </c>
      <c r="Q234" s="18">
        <f>(P234/(Ventas!AE104*1)/60)</f>
        <v>0.15032185838231163</v>
      </c>
      <c r="R234" s="8">
        <v>120</v>
      </c>
      <c r="S234" s="15">
        <f>IF(P234&gt;0,P234+R234,R234)</f>
        <v>128.0565</v>
      </c>
      <c r="T234" s="15">
        <v>0.61</v>
      </c>
      <c r="U234" s="15">
        <v>90</v>
      </c>
      <c r="V234" s="17">
        <v>3.39E-4</v>
      </c>
      <c r="W234" s="12">
        <v>46331</v>
      </c>
      <c r="X234" s="7">
        <v>56</v>
      </c>
      <c r="Y234" s="15">
        <f>(IF(P234&gt;0,P234+R234,R234)-(X234*Ventas!AE104*1))</f>
        <v>78.034499999999994</v>
      </c>
      <c r="Z234" s="18">
        <f>(Y234/(Ventas!AE104*1)/60)</f>
        <v>1.4560033585222498</v>
      </c>
      <c r="AA234" s="15">
        <f>(120*(Ventas!AE104*1) - IF(Y234&gt;0,Y234,0))</f>
        <v>29.155500000000018</v>
      </c>
      <c r="AB234" s="15">
        <v>0</v>
      </c>
      <c r="AC234" s="15">
        <f>IF(Y234&gt;0,Y234+IF(AB234&gt;0,AB234,0),AB234)</f>
        <v>78.034499999999994</v>
      </c>
      <c r="AD234" s="16">
        <v>0.59</v>
      </c>
      <c r="AE234" s="8">
        <v>3027</v>
      </c>
      <c r="AF234" s="15">
        <f>(AC234-(60*Ventas!AE104*1))</f>
        <v>24.439499999999988</v>
      </c>
      <c r="AG234" s="18">
        <f>(AF234/(Ventas!AE104*1)/60)</f>
        <v>0.45600335852224994</v>
      </c>
      <c r="AH234" s="1" t="s">
        <v>35</v>
      </c>
      <c r="AI234">
        <f t="shared" si="3"/>
        <v>0</v>
      </c>
    </row>
    <row r="235" spans="1:35" x14ac:dyDescent="0.25">
      <c r="A235" s="1"/>
      <c r="B235" s="1" t="s">
        <v>222</v>
      </c>
      <c r="C235" s="14" t="s">
        <v>223</v>
      </c>
      <c r="D235" s="8">
        <v>42</v>
      </c>
      <c r="E235" s="12">
        <v>46238</v>
      </c>
      <c r="F235" s="7">
        <v>1</v>
      </c>
      <c r="G235" s="15">
        <f>(D235-(0)+0-(F235*Ventas!AE135*1))</f>
        <v>41.871133333333333</v>
      </c>
      <c r="H235" s="18">
        <f>(G235/(Ventas!AE135*1)/60)</f>
        <v>5.4153043628211748</v>
      </c>
      <c r="I235" s="8">
        <v>0</v>
      </c>
      <c r="J235" s="15">
        <f>IF(G235&gt;0,G235+I235,I235)</f>
        <v>41.871133333333333</v>
      </c>
      <c r="K235" s="3"/>
      <c r="L235" s="15">
        <v>44</v>
      </c>
      <c r="M235" s="17">
        <v>8.0599999999999997E-4</v>
      </c>
      <c r="N235" s="12">
        <v>46275</v>
      </c>
      <c r="O235" s="7">
        <v>37</v>
      </c>
      <c r="P235" s="15">
        <f>(IF(G235&gt;0,G235+I235,I235)-(O235*Ventas!AE135*1))</f>
        <v>37.103066666666663</v>
      </c>
      <c r="Q235" s="18">
        <f>(P235/(Ventas!AE135*1)/60)</f>
        <v>4.7986376961545085</v>
      </c>
      <c r="R235" s="8">
        <v>0</v>
      </c>
      <c r="S235" s="15">
        <f>IF(P235&gt;0,P235+R235,R235)</f>
        <v>37.103066666666663</v>
      </c>
      <c r="T235" s="3"/>
      <c r="U235" s="15">
        <v>44</v>
      </c>
      <c r="V235" s="17">
        <v>8.0599999999999997E-4</v>
      </c>
      <c r="W235" s="12">
        <v>46331</v>
      </c>
      <c r="X235" s="7">
        <v>56</v>
      </c>
      <c r="Y235" s="15">
        <f>(IF(P235&gt;0,P235+R235,R235)-(X235*Ventas!AE135*1))</f>
        <v>29.886533333333329</v>
      </c>
      <c r="Z235" s="18">
        <f>(Y235/(Ventas!AE135*1)/60)</f>
        <v>3.865304362821175</v>
      </c>
      <c r="AA235" s="15">
        <f>(120*(Ventas!AE135*1) - IF(Y235&gt;0,Y235,0))</f>
        <v>-14.422533333333327</v>
      </c>
      <c r="AB235" s="15">
        <v>0</v>
      </c>
      <c r="AC235" s="15">
        <f>IF(Y235&gt;0,Y235+IF(AB235&gt;0,AB235,0),AB235)</f>
        <v>29.886533333333329</v>
      </c>
      <c r="AD235" s="16">
        <v>1.78</v>
      </c>
      <c r="AE235" s="8">
        <v>3027</v>
      </c>
      <c r="AF235" s="15">
        <f>(AC235-(60*Ventas!AE135*1))</f>
        <v>22.154533333333326</v>
      </c>
      <c r="AG235" s="18">
        <f>(AF235/(Ventas!AE135*1)/60)</f>
        <v>2.865304362821175</v>
      </c>
      <c r="AH235" s="1" t="s">
        <v>32</v>
      </c>
      <c r="AI235">
        <f t="shared" si="3"/>
        <v>0</v>
      </c>
    </row>
    <row r="236" spans="1:35" x14ac:dyDescent="0.25">
      <c r="A236" s="1"/>
      <c r="B236" s="1" t="s">
        <v>246</v>
      </c>
      <c r="C236" s="14" t="s">
        <v>247</v>
      </c>
      <c r="D236" s="8">
        <v>47</v>
      </c>
      <c r="E236" s="12">
        <v>46238</v>
      </c>
      <c r="F236" s="7">
        <v>1</v>
      </c>
      <c r="G236" s="15">
        <f>(D236-(0)+0-(F236*Ventas!AE147*1))</f>
        <v>45.41</v>
      </c>
      <c r="H236" s="18">
        <f>(G236/(Ventas!AE147*1)/60)</f>
        <v>0.47599580712788259</v>
      </c>
      <c r="I236" s="8">
        <v>0</v>
      </c>
      <c r="J236" s="15">
        <f>IF(G236&gt;0,G236+I236,I236)</f>
        <v>45.41</v>
      </c>
      <c r="K236" s="3"/>
      <c r="L236" s="3">
        <v>84</v>
      </c>
      <c r="M236" s="3"/>
      <c r="N236" s="12">
        <v>46275</v>
      </c>
      <c r="O236" s="7">
        <v>37</v>
      </c>
      <c r="P236" s="15">
        <f>(IF(G236&gt;0,G236+I236,I236)-(O236*Ventas!AE147*1))</f>
        <v>-13.420000000000009</v>
      </c>
      <c r="Q236" s="18">
        <f>(P236/(Ventas!AE147*1)/60)</f>
        <v>-0.14067085953878417</v>
      </c>
      <c r="R236" s="8">
        <v>168</v>
      </c>
      <c r="S236" s="15">
        <f>IF(P236&gt;0,P236+R236,R236)</f>
        <v>168</v>
      </c>
      <c r="T236" s="15">
        <v>1.82</v>
      </c>
      <c r="U236" s="3">
        <v>84</v>
      </c>
      <c r="V236" s="3"/>
      <c r="W236" s="12">
        <v>46331</v>
      </c>
      <c r="X236" s="7">
        <v>56</v>
      </c>
      <c r="Y236" s="15">
        <f>(IF(P236&gt;0,P236+R236,R236)-(X236*Ventas!AE147*1))</f>
        <v>78.959999999999994</v>
      </c>
      <c r="Z236" s="18">
        <f>(Y236/(Ventas!AE147*1)/60)</f>
        <v>0.82767295597484258</v>
      </c>
      <c r="AA236" s="15">
        <f>(120*(Ventas!AE147*1) - IF(Y236&gt;0,Y236,0))</f>
        <v>111.84000000000002</v>
      </c>
      <c r="AB236" s="15">
        <v>168</v>
      </c>
      <c r="AC236" s="15">
        <f>IF(Y236&gt;0,Y236+IF(AB236&gt;0,AB236,0),AB236)</f>
        <v>246.95999999999998</v>
      </c>
      <c r="AD236" s="16">
        <v>1.78</v>
      </c>
      <c r="AE236" s="8">
        <v>3027</v>
      </c>
      <c r="AF236" s="15">
        <f>(AC236-(60*Ventas!AE147*1))</f>
        <v>151.55999999999997</v>
      </c>
      <c r="AG236" s="18">
        <f>(AF236/(Ventas!AE147*1)/60)</f>
        <v>1.5886792452830185</v>
      </c>
      <c r="AH236" s="1" t="s">
        <v>35</v>
      </c>
      <c r="AI236">
        <f t="shared" si="3"/>
        <v>299.04000000000002</v>
      </c>
    </row>
    <row r="237" spans="1:35" x14ac:dyDescent="0.25">
      <c r="A237" s="1"/>
      <c r="B237" s="1" t="s">
        <v>624</v>
      </c>
      <c r="C237" s="14" t="s">
        <v>625</v>
      </c>
      <c r="D237" s="8">
        <v>46</v>
      </c>
      <c r="E237" s="12">
        <v>46238</v>
      </c>
      <c r="F237" s="7">
        <v>1</v>
      </c>
      <c r="G237" s="15">
        <f>(D237-(0)+0-(F237*Ventas!AE278*1))</f>
        <v>45.816600000000001</v>
      </c>
      <c r="H237" s="18">
        <f>(G237/(Ventas!AE278*1)/60)</f>
        <v>4.1636314067611782</v>
      </c>
      <c r="I237" s="8">
        <v>0</v>
      </c>
      <c r="J237" s="15">
        <f>IF(G237&gt;0,G237+I237,I237)</f>
        <v>45.816600000000001</v>
      </c>
      <c r="K237" s="3"/>
      <c r="L237" s="3">
        <v>44</v>
      </c>
      <c r="M237" s="3"/>
      <c r="N237" s="12">
        <v>46275</v>
      </c>
      <c r="O237" s="7">
        <v>37</v>
      </c>
      <c r="P237" s="15">
        <f>(IF(G237&gt;0,G237+I237,I237)-(O237*Ventas!AE278*0.9189))</f>
        <v>39.581128380000003</v>
      </c>
      <c r="Q237" s="18">
        <f>(P237/(Ventas!AE278*0.9189)/60)</f>
        <v>3.9144372693015317</v>
      </c>
      <c r="R237" s="8">
        <v>88</v>
      </c>
      <c r="S237" s="15">
        <f>IF(P237&gt;0,P237+R237,R237)</f>
        <v>127.58112838</v>
      </c>
      <c r="T237" s="15">
        <v>4.0199999999999996</v>
      </c>
      <c r="U237" s="3">
        <v>44</v>
      </c>
      <c r="V237" s="3"/>
      <c r="W237" s="12">
        <v>46331</v>
      </c>
      <c r="X237" s="7">
        <v>56</v>
      </c>
      <c r="Y237" s="15">
        <f>(IF(P237&gt;0,P237+R237,R237)-(X237*Ventas!AE278*0.925))</f>
        <v>118.08100838</v>
      </c>
      <c r="Z237" s="18">
        <f>(Y237/(Ventas!AE278*0.925)/60)</f>
        <v>11.600794637822117</v>
      </c>
      <c r="AA237" s="15">
        <f>(120*(Ventas!AE278*1.485) - IF(Y237&gt;0,Y237,0))</f>
        <v>-85.399128380000008</v>
      </c>
      <c r="AB237" s="15">
        <v>0</v>
      </c>
      <c r="AC237" s="15">
        <f>IF(Y237&gt;0,Y237+IF(AB237&gt;0,AB237,0),AB237)</f>
        <v>118.08100838</v>
      </c>
      <c r="AD237" s="16">
        <v>3.92</v>
      </c>
      <c r="AE237" s="8">
        <v>3027</v>
      </c>
      <c r="AF237" s="15">
        <f>(AC237-(60*Ventas!AE278*1.485))</f>
        <v>101.74006838</v>
      </c>
      <c r="AG237" s="18">
        <f>(AF237/(Ventas!AE278*1.485)/60)</f>
        <v>6.2260842020104104</v>
      </c>
      <c r="AH237" s="1" t="s">
        <v>35</v>
      </c>
      <c r="AI237">
        <f t="shared" si="3"/>
        <v>0</v>
      </c>
    </row>
    <row r="238" spans="1:35" x14ac:dyDescent="0.25">
      <c r="A238" s="1"/>
      <c r="B238" s="45" t="s">
        <v>180</v>
      </c>
      <c r="C238" s="14" t="s">
        <v>181</v>
      </c>
      <c r="D238" s="8">
        <v>47</v>
      </c>
      <c r="E238" s="12">
        <v>46238</v>
      </c>
      <c r="F238" s="7">
        <v>1</v>
      </c>
      <c r="G238" s="15">
        <f>(D238-(0)+0-(F238*Ventas!AE114*1))</f>
        <v>46.530299999999997</v>
      </c>
      <c r="H238" s="18">
        <f>(G238/(Ventas!AE114*1)/60)</f>
        <v>1.6510645092612306</v>
      </c>
      <c r="I238" s="8">
        <v>0</v>
      </c>
      <c r="J238" s="15">
        <f>IF(G238&gt;0,G238+I238,I238)</f>
        <v>46.530299999999997</v>
      </c>
      <c r="K238" s="3"/>
      <c r="L238" s="15">
        <v>84</v>
      </c>
      <c r="M238" s="17">
        <v>3.57E-4</v>
      </c>
      <c r="N238" s="12">
        <v>46275</v>
      </c>
      <c r="O238" s="7">
        <v>37</v>
      </c>
      <c r="P238" s="15">
        <f>(IF(G238&gt;0,G238+I238,I238)-(O238*Ventas!AE114*1))</f>
        <v>29.151399999999995</v>
      </c>
      <c r="Q238" s="18">
        <f>(P238/(Ventas!AE114*1)/60)</f>
        <v>1.0343978425945637</v>
      </c>
      <c r="R238" s="8">
        <v>0</v>
      </c>
      <c r="S238" s="15">
        <f>IF(P238&gt;0,P238+R238,R238)</f>
        <v>29.151399999999995</v>
      </c>
      <c r="T238" s="3"/>
      <c r="U238" s="15">
        <v>84</v>
      </c>
      <c r="V238" s="17">
        <v>3.57E-4</v>
      </c>
      <c r="W238" s="12">
        <v>46331</v>
      </c>
      <c r="X238" s="7">
        <v>56</v>
      </c>
      <c r="Y238" s="15">
        <f>(IF(P238&gt;0,P238+R238,R238)-(X238*Ventas!AE114*1))</f>
        <v>2.848199999999995</v>
      </c>
      <c r="Z238" s="18">
        <f>(Y238/(Ventas!AE114*1)/60)</f>
        <v>0.1010645092612304</v>
      </c>
      <c r="AA238" s="15">
        <f>(120*(Ventas!AE114*1) - IF(Y238&gt;0,Y238,0))</f>
        <v>53.515800000000013</v>
      </c>
      <c r="AB238" s="15">
        <v>0</v>
      </c>
      <c r="AC238" s="15">
        <f>IF(Y238&gt;0,Y238+IF(AB238&gt;0,AB238,0),AB238)</f>
        <v>2.848199999999995</v>
      </c>
      <c r="AD238" s="16">
        <v>0.65</v>
      </c>
      <c r="AE238" s="8">
        <v>3010</v>
      </c>
      <c r="AF238" s="15">
        <f>(AC238-(60*Ventas!AE114*1))</f>
        <v>-25.333800000000007</v>
      </c>
      <c r="AG238" s="18">
        <f>(AF238/(Ventas!AE114*1)/60)</f>
        <v>-0.89893549073876966</v>
      </c>
      <c r="AH238" s="1" t="s">
        <v>35</v>
      </c>
      <c r="AI238">
        <f t="shared" si="3"/>
        <v>0</v>
      </c>
    </row>
    <row r="239" spans="1:35" x14ac:dyDescent="0.25">
      <c r="A239" s="1"/>
      <c r="B239" s="49" t="s">
        <v>188</v>
      </c>
      <c r="C239" s="14" t="s">
        <v>189</v>
      </c>
      <c r="D239" s="8">
        <v>48</v>
      </c>
      <c r="E239" s="12">
        <v>46238</v>
      </c>
      <c r="F239" s="7">
        <v>1</v>
      </c>
      <c r="G239" s="15">
        <f>(D239-(0)+0-(F239*Ventas!AE118*1))</f>
        <v>47.420533333333331</v>
      </c>
      <c r="H239" s="18">
        <f>(G239/(Ventas!AE118*1)/60)</f>
        <v>1.3639131768676178</v>
      </c>
      <c r="I239" s="8">
        <v>168</v>
      </c>
      <c r="J239" s="15">
        <f>IF(G239&gt;0,G239+I239,I239)</f>
        <v>215.42053333333334</v>
      </c>
      <c r="K239" s="15">
        <v>0.6</v>
      </c>
      <c r="L239" s="15">
        <v>84</v>
      </c>
      <c r="M239" s="17">
        <v>3.57E-4</v>
      </c>
      <c r="N239" s="12">
        <v>46275</v>
      </c>
      <c r="O239" s="7">
        <v>37</v>
      </c>
      <c r="P239" s="15">
        <f>(IF(G239&gt;0,G239+I239,I239)-(O239*Ventas!AE118*1))</f>
        <v>193.98026666666667</v>
      </c>
      <c r="Q239" s="18">
        <f>(P239/(Ventas!AE118*1)/60)</f>
        <v>5.5792759625709465</v>
      </c>
      <c r="R239" s="8">
        <v>168</v>
      </c>
      <c r="S239" s="15">
        <f>IF(P239&gt;0,P239+R239,R239)</f>
        <v>361.98026666666669</v>
      </c>
      <c r="T239" s="15">
        <v>0.61</v>
      </c>
      <c r="U239" s="15">
        <v>84</v>
      </c>
      <c r="V239" s="17">
        <v>3.57E-4</v>
      </c>
      <c r="W239" s="12">
        <v>46331</v>
      </c>
      <c r="X239" s="7">
        <v>56</v>
      </c>
      <c r="Y239" s="15">
        <f>(IF(P239&gt;0,P239+R239,R239)-(X239*Ventas!AE118*1))</f>
        <v>329.53013333333337</v>
      </c>
      <c r="Z239" s="18">
        <f>(Y239/(Ventas!AE118*1)/60)</f>
        <v>9.477972081607609</v>
      </c>
      <c r="AA239" s="15">
        <f>(120*(Ventas!AE118*1) - IF(Y239&gt;0,Y239,0))</f>
        <v>-259.99413333333337</v>
      </c>
      <c r="AB239" s="15">
        <v>0</v>
      </c>
      <c r="AC239" s="15">
        <f>IF(Y239&gt;0,Y239+IF(AB239&gt;0,AB239,0),AB239)</f>
        <v>329.53013333333337</v>
      </c>
      <c r="AD239" s="16">
        <v>0.6</v>
      </c>
      <c r="AE239" s="8">
        <v>3025</v>
      </c>
      <c r="AF239" s="15">
        <f>(AC239-(60*Ventas!AE118*1))</f>
        <v>294.7621333333334</v>
      </c>
      <c r="AG239" s="18">
        <f>(AF239/(Ventas!AE118*1)/60)</f>
        <v>8.4779720816076107</v>
      </c>
      <c r="AH239" s="1" t="s">
        <v>35</v>
      </c>
      <c r="AI239">
        <f t="shared" si="3"/>
        <v>0</v>
      </c>
    </row>
    <row r="240" spans="1:35" x14ac:dyDescent="0.25">
      <c r="A240" s="1"/>
      <c r="B240" s="1" t="s">
        <v>618</v>
      </c>
      <c r="C240" s="14" t="s">
        <v>619</v>
      </c>
      <c r="D240" s="8">
        <v>49</v>
      </c>
      <c r="E240" s="12">
        <v>46238</v>
      </c>
      <c r="F240" s="7">
        <v>1</v>
      </c>
      <c r="G240" s="15">
        <f>(D240-(0)+0-(F240*Ventas!AE275*1))</f>
        <v>48.709166666666668</v>
      </c>
      <c r="H240" s="18">
        <f>(G240/(Ventas!AE275*1)/60)</f>
        <v>2.7913562559694367</v>
      </c>
      <c r="I240" s="8">
        <v>0</v>
      </c>
      <c r="J240" s="15">
        <f>IF(G240&gt;0,G240+I240,I240)</f>
        <v>48.709166666666668</v>
      </c>
      <c r="K240" s="3"/>
      <c r="L240" s="3">
        <v>44</v>
      </c>
      <c r="M240" s="3"/>
      <c r="N240" s="12">
        <v>46275</v>
      </c>
      <c r="O240" s="7">
        <v>37</v>
      </c>
      <c r="P240" s="15">
        <f>(IF(G240&gt;0,G240+I240,I240)-(O240*Ventas!AE275*0.9189))</f>
        <v>38.821036916666671</v>
      </c>
      <c r="Q240" s="18">
        <f>(P240/(Ventas!AE275*0.9189)/60)</f>
        <v>2.421048270725255</v>
      </c>
      <c r="R240" s="8">
        <v>0</v>
      </c>
      <c r="S240" s="15">
        <f>IF(P240&gt;0,P240+R240,R240)</f>
        <v>38.821036916666671</v>
      </c>
      <c r="T240" s="3"/>
      <c r="U240" s="3">
        <v>44</v>
      </c>
      <c r="V240" s="3"/>
      <c r="W240" s="12">
        <v>46331</v>
      </c>
      <c r="X240" s="7">
        <v>56</v>
      </c>
      <c r="Y240" s="15">
        <f>(IF(P240&gt;0,P240+R240,R240)-(X240*Ventas!AE275*0.925))</f>
        <v>23.755870250000005</v>
      </c>
      <c r="Z240" s="18">
        <f>(Y240/(Ventas!AE275*0.925)/60)</f>
        <v>1.4717491055525442</v>
      </c>
      <c r="AA240" s="15">
        <f>(120*(Ventas!AE275*1.485) - IF(Y240&gt;0,Y240,0))</f>
        <v>28.070629749999998</v>
      </c>
      <c r="AB240" s="15">
        <v>44</v>
      </c>
      <c r="AC240" s="15">
        <f>IF(Y240&gt;0,Y240+IF(AB240&gt;0,AB240,0),AB240)</f>
        <v>67.755870250000001</v>
      </c>
      <c r="AD240" s="16">
        <v>3.52</v>
      </c>
      <c r="AE240" s="8">
        <v>3010</v>
      </c>
      <c r="AF240" s="15">
        <f>(AC240-(60*Ventas!AE275*1.485))</f>
        <v>41.842620249999996</v>
      </c>
      <c r="AG240" s="18">
        <f>(AF240/(Ventas!AE275*1.485)/60)</f>
        <v>1.6147191205271432</v>
      </c>
      <c r="AH240" s="1" t="s">
        <v>35</v>
      </c>
      <c r="AI240">
        <f t="shared" si="3"/>
        <v>154.88</v>
      </c>
    </row>
    <row r="241" spans="1:35" x14ac:dyDescent="0.25">
      <c r="A241" s="1"/>
      <c r="B241" s="1" t="s">
        <v>590</v>
      </c>
      <c r="C241" s="14" t="s">
        <v>591</v>
      </c>
      <c r="D241" s="8">
        <v>52</v>
      </c>
      <c r="E241" s="12">
        <v>46238</v>
      </c>
      <c r="F241" s="7">
        <v>1</v>
      </c>
      <c r="G241" s="15">
        <f>(D241-(0)+0-(F241*Ventas!AE263*1))</f>
        <v>51.958766666666669</v>
      </c>
      <c r="H241" s="18">
        <f>(G241/(Ventas!AE263*1)/60)</f>
        <v>21.001926704392346</v>
      </c>
      <c r="I241" s="8">
        <v>0</v>
      </c>
      <c r="J241" s="15">
        <f>IF(G241&gt;0,G241+I241,I241)</f>
        <v>51.958766666666669</v>
      </c>
      <c r="K241" s="3"/>
      <c r="L241" s="15">
        <v>44</v>
      </c>
      <c r="M241" s="17">
        <v>7.67E-4</v>
      </c>
      <c r="N241" s="12">
        <v>46275</v>
      </c>
      <c r="O241" s="7">
        <v>37</v>
      </c>
      <c r="P241" s="15">
        <f>(IF(G241&gt;0,G241+I241,I241)-(O241*Ventas!AE263*0.9189))</f>
        <v>50.556862196666671</v>
      </c>
      <c r="Q241" s="18">
        <f>(P241/(Ventas!AE263*0.9189)/60)</f>
        <v>22.238841772110508</v>
      </c>
      <c r="R241" s="8">
        <v>0</v>
      </c>
      <c r="S241" s="15">
        <f>IF(P241&gt;0,P241+R241,R241)</f>
        <v>50.556862196666671</v>
      </c>
      <c r="T241" s="3"/>
      <c r="U241" s="15">
        <v>44</v>
      </c>
      <c r="V241" s="17">
        <v>7.67E-4</v>
      </c>
      <c r="W241" s="12">
        <v>46331</v>
      </c>
      <c r="X241" s="7">
        <v>56</v>
      </c>
      <c r="Y241" s="15">
        <f>(IF(P241&gt;0,P241+R241,R241)-(X241*Ventas!AE263*0.925))</f>
        <v>48.420975530000007</v>
      </c>
      <c r="Z241" s="18">
        <f>(Y241/(Ventas!AE263*0.925)/60)</f>
        <v>21.158852293036773</v>
      </c>
      <c r="AA241" s="15">
        <f>(120*(Ventas!AE263*1.485) - IF(Y241&gt;0,Y241,0))</f>
        <v>-41.073195530000007</v>
      </c>
      <c r="AB241" s="15">
        <v>0</v>
      </c>
      <c r="AC241" s="15">
        <f>IF(Y241&gt;0,Y241+IF(AB241&gt;0,AB241,0),AB241)</f>
        <v>48.420975530000007</v>
      </c>
      <c r="AD241" s="16">
        <v>7.38</v>
      </c>
      <c r="AE241" s="8">
        <v>3027</v>
      </c>
      <c r="AF241" s="15">
        <f>(AC241-(60*Ventas!AE263*1.485))</f>
        <v>44.747085530000007</v>
      </c>
      <c r="AG241" s="18">
        <f>(AF241/(Ventas!AE263*1.485)/60)</f>
        <v>12.179756478827619</v>
      </c>
      <c r="AH241" s="1" t="s">
        <v>35</v>
      </c>
      <c r="AI241">
        <f t="shared" si="3"/>
        <v>0</v>
      </c>
    </row>
    <row r="242" spans="1:35" x14ac:dyDescent="0.25">
      <c r="A242" s="1" t="s">
        <v>298</v>
      </c>
      <c r="B242" s="1" t="s">
        <v>299</v>
      </c>
      <c r="C242" s="14" t="s">
        <v>300</v>
      </c>
      <c r="D242" s="8">
        <v>53</v>
      </c>
      <c r="E242" s="12">
        <v>46238</v>
      </c>
      <c r="F242" s="7">
        <v>1</v>
      </c>
      <c r="G242" s="15">
        <f>(D242-(0)+0-(F242*Ventas!AE169*1))</f>
        <v>52.832799999999999</v>
      </c>
      <c r="H242" s="18">
        <f>(G242/(Ventas!AE169*1)/60)</f>
        <v>5.2664274322169051</v>
      </c>
      <c r="I242" s="8">
        <v>0</v>
      </c>
      <c r="J242" s="15">
        <f>IF(G242&gt;0,G242+I242,I242)</f>
        <v>52.832799999999999</v>
      </c>
      <c r="K242" s="3"/>
      <c r="L242" s="15">
        <v>52</v>
      </c>
      <c r="M242" s="17">
        <v>6.4899999999999995E-4</v>
      </c>
      <c r="N242" s="12">
        <v>46275</v>
      </c>
      <c r="O242" s="7">
        <v>37</v>
      </c>
      <c r="P242" s="15">
        <f>(IF(G242&gt;0,G242+I242,I242)-(O242*Ventas!AE169*1))</f>
        <v>46.6464</v>
      </c>
      <c r="Q242" s="18">
        <f>(P242/(Ventas!AE169*1)/60)</f>
        <v>4.6497607655502389</v>
      </c>
      <c r="R242" s="8">
        <v>0</v>
      </c>
      <c r="S242" s="15">
        <f>IF(P242&gt;0,P242+R242,R242)</f>
        <v>46.6464</v>
      </c>
      <c r="T242" s="3"/>
      <c r="U242" s="15">
        <v>52</v>
      </c>
      <c r="V242" s="17">
        <v>6.4899999999999995E-4</v>
      </c>
      <c r="W242" s="12">
        <v>46331</v>
      </c>
      <c r="X242" s="7">
        <v>56</v>
      </c>
      <c r="Y242" s="15">
        <f>(IF(P242&gt;0,P242+R242,R242)-(X242*Ventas!AE169*1))</f>
        <v>37.283200000000001</v>
      </c>
      <c r="Z242" s="18">
        <f>(Y242/(Ventas!AE169*1)/60)</f>
        <v>3.7164274322169053</v>
      </c>
      <c r="AA242" s="15">
        <f>(120*(Ventas!AE169*1) - IF(Y242&gt;0,Y242,0))</f>
        <v>-17.219200000000001</v>
      </c>
      <c r="AB242" s="15">
        <v>0</v>
      </c>
      <c r="AC242" s="15">
        <f>IF(Y242&gt;0,Y242+IF(AB242&gt;0,AB242,0),AB242)</f>
        <v>37.283200000000001</v>
      </c>
      <c r="AD242" s="16">
        <v>0.81</v>
      </c>
      <c r="AE242" s="8">
        <v>3010</v>
      </c>
      <c r="AF242" s="15">
        <f>(AC242-(60*Ventas!AE169*1))</f>
        <v>27.251200000000001</v>
      </c>
      <c r="AG242" s="18">
        <f>(AF242/(Ventas!AE169*1)/60)</f>
        <v>2.7164274322169057</v>
      </c>
      <c r="AH242" s="1" t="s">
        <v>35</v>
      </c>
      <c r="AI242">
        <f t="shared" si="3"/>
        <v>0</v>
      </c>
    </row>
    <row r="243" spans="1:35" x14ac:dyDescent="0.25">
      <c r="A243" s="1"/>
      <c r="B243" s="88" t="s">
        <v>292</v>
      </c>
      <c r="C243" s="14" t="s">
        <v>293</v>
      </c>
      <c r="D243" s="8">
        <v>54</v>
      </c>
      <c r="E243" s="12">
        <v>46238</v>
      </c>
      <c r="F243" s="7">
        <v>1</v>
      </c>
      <c r="G243" s="15">
        <f>(D243-(0)+0-(F243*Ventas!AE166*1))</f>
        <v>53.625233333333334</v>
      </c>
      <c r="H243" s="18">
        <f>(G243/(Ventas!AE166*1)/60)</f>
        <v>2.3848275964303713</v>
      </c>
      <c r="I243" s="8">
        <v>52</v>
      </c>
      <c r="J243" s="15">
        <f>IF(G243&gt;0,G243+I243,I243)</f>
        <v>105.62523333333334</v>
      </c>
      <c r="K243" s="15">
        <v>1.01</v>
      </c>
      <c r="L243" s="15">
        <v>52</v>
      </c>
      <c r="M243" s="17">
        <v>8.3699999999999996E-4</v>
      </c>
      <c r="N243" s="12">
        <v>46275</v>
      </c>
      <c r="O243" s="7">
        <v>37</v>
      </c>
      <c r="P243" s="15">
        <f>(IF(G243&gt;0,G243+I243,I243)-(O243*Ventas!AE166*1))</f>
        <v>91.758866666666677</v>
      </c>
      <c r="Q243" s="18">
        <f>(P243/(Ventas!AE166*1)/60)</f>
        <v>4.0807109608941863</v>
      </c>
      <c r="R243" s="8">
        <v>0</v>
      </c>
      <c r="S243" s="15">
        <f>IF(P243&gt;0,P243+R243,R243)</f>
        <v>91.758866666666677</v>
      </c>
      <c r="T243" s="3"/>
      <c r="U243" s="15">
        <v>52</v>
      </c>
      <c r="V243" s="17">
        <v>8.3699999999999996E-4</v>
      </c>
      <c r="W243" s="12">
        <v>46331</v>
      </c>
      <c r="X243" s="7">
        <v>56</v>
      </c>
      <c r="Y243" s="15">
        <f>(IF(P243&gt;0,P243+R243,R243)-(X243*Ventas!AE166*1))</f>
        <v>70.771933333333351</v>
      </c>
      <c r="Z243" s="18">
        <f>(Y243/(Ventas!AE166*1)/60)</f>
        <v>3.1473776275608532</v>
      </c>
      <c r="AA243" s="15">
        <f>(120*(Ventas!AE166*1) - IF(Y243&gt;0,Y243,0))</f>
        <v>-25.79993333333335</v>
      </c>
      <c r="AB243" s="15">
        <v>52</v>
      </c>
      <c r="AC243" s="15">
        <f>IF(Y243&gt;0,Y243+IF(AB243&gt;0,AB243,0),AB243)</f>
        <v>122.77193333333335</v>
      </c>
      <c r="AD243" s="16">
        <v>1.01</v>
      </c>
      <c r="AE243" s="8">
        <v>3025</v>
      </c>
      <c r="AF243" s="15">
        <f>(AC243-(60*Ventas!AE166*1))</f>
        <v>100.28593333333335</v>
      </c>
      <c r="AG243" s="18">
        <f>(AF243/(Ventas!AE166*1)/60)</f>
        <v>4.4599276586913339</v>
      </c>
      <c r="AH243" s="1" t="s">
        <v>35</v>
      </c>
      <c r="AI243">
        <f t="shared" si="3"/>
        <v>52.52</v>
      </c>
    </row>
    <row r="244" spans="1:35" x14ac:dyDescent="0.25">
      <c r="A244" s="1"/>
      <c r="B244" s="37" t="s">
        <v>228</v>
      </c>
      <c r="C244" s="14" t="s">
        <v>229</v>
      </c>
      <c r="D244" s="8">
        <v>55</v>
      </c>
      <c r="E244" s="12">
        <v>46238</v>
      </c>
      <c r="F244" s="7">
        <v>1</v>
      </c>
      <c r="G244" s="15">
        <f>(D244-(0)+0-(F244*Ventas!AE138*1))</f>
        <v>54.9285</v>
      </c>
      <c r="H244" s="18">
        <f>(G244/(Ventas!AE138*1)/60)</f>
        <v>12.803846153846154</v>
      </c>
      <c r="I244" s="8">
        <v>0</v>
      </c>
      <c r="J244" s="15">
        <f>IF(G244&gt;0,G244+I244,I244)</f>
        <v>54.9285</v>
      </c>
      <c r="K244" s="3"/>
      <c r="L244" s="3">
        <v>84</v>
      </c>
      <c r="M244" s="3"/>
      <c r="N244" s="12">
        <v>46275</v>
      </c>
      <c r="O244" s="7">
        <v>37</v>
      </c>
      <c r="P244" s="15">
        <f>(IF(G244&gt;0,G244+I244,I244)-(O244*Ventas!AE138*1))</f>
        <v>52.283000000000001</v>
      </c>
      <c r="Q244" s="18">
        <f>(P244/(Ventas!AE138*1)/60)</f>
        <v>12.187179487179487</v>
      </c>
      <c r="R244" s="8">
        <v>168</v>
      </c>
      <c r="S244" s="15">
        <f>IF(P244&gt;0,P244+R244,R244)</f>
        <v>220.28300000000002</v>
      </c>
      <c r="T244" s="15">
        <v>0.98</v>
      </c>
      <c r="U244" s="86">
        <v>84</v>
      </c>
      <c r="V244" s="3"/>
      <c r="W244" s="12">
        <v>46331</v>
      </c>
      <c r="X244" s="7">
        <v>56</v>
      </c>
      <c r="Y244" s="15">
        <f>(IF(P244&gt;0,P244+R244,R244)-(X244*Ventas!AE138*1))</f>
        <v>216.27900000000002</v>
      </c>
      <c r="Z244" s="18">
        <f>(Y244/(Ventas!AE138*1)/60)</f>
        <v>50.414685314685315</v>
      </c>
      <c r="AA244" s="15">
        <f>(120*(Ventas!AE138*1) - IF(Y244&gt;0,Y244,0))</f>
        <v>-207.69900000000001</v>
      </c>
      <c r="AB244" s="15">
        <v>0</v>
      </c>
      <c r="AC244" s="15">
        <f>IF(Y244&gt;0,Y244+IF(AB244&gt;0,AB244,0),AB244)</f>
        <v>216.27900000000002</v>
      </c>
      <c r="AD244" s="16">
        <v>0.85</v>
      </c>
      <c r="AE244" s="8">
        <v>3010</v>
      </c>
      <c r="AF244" s="15">
        <f>(AC244-(60*Ventas!AE138*1))</f>
        <v>211.98900000000003</v>
      </c>
      <c r="AG244" s="18">
        <f>(AF244/(Ventas!AE138*1)/60)</f>
        <v>49.414685314685322</v>
      </c>
      <c r="AH244" s="1" t="s">
        <v>32</v>
      </c>
      <c r="AI244">
        <f t="shared" si="3"/>
        <v>0</v>
      </c>
    </row>
    <row r="245" spans="1:35" x14ac:dyDescent="0.25">
      <c r="A245" s="1"/>
      <c r="B245" s="1" t="s">
        <v>620</v>
      </c>
      <c r="C245" s="14" t="s">
        <v>621</v>
      </c>
      <c r="D245" s="8">
        <v>57</v>
      </c>
      <c r="E245" s="12">
        <v>46238</v>
      </c>
      <c r="F245" s="7">
        <v>1</v>
      </c>
      <c r="G245" s="15">
        <f>(D245-(0)+0-(F245*Ventas!AE276*1))</f>
        <v>56.75</v>
      </c>
      <c r="H245" s="18">
        <f>(G245/(Ventas!AE276*1)/60)</f>
        <v>3.7833333333333332</v>
      </c>
      <c r="I245" s="8">
        <v>108</v>
      </c>
      <c r="J245" s="15">
        <f>IF(G245&gt;0,G245+I245,I245)</f>
        <v>164.75</v>
      </c>
      <c r="K245" s="15">
        <v>6.91</v>
      </c>
      <c r="L245" s="3">
        <v>54</v>
      </c>
      <c r="M245" s="3"/>
      <c r="N245" s="12">
        <v>46275</v>
      </c>
      <c r="O245" s="7">
        <v>37</v>
      </c>
      <c r="P245" s="15">
        <f>(IF(G245&gt;0,G245+I245,I245)-(O245*Ventas!AE276*0.9189))</f>
        <v>156.25017500000001</v>
      </c>
      <c r="Q245" s="18">
        <f>(P245/(Ventas!AE276*0.9189)/60)</f>
        <v>11.33603039866507</v>
      </c>
      <c r="R245" s="8">
        <v>0</v>
      </c>
      <c r="S245" s="15">
        <f>IF(P245&gt;0,P245+R245,R245)</f>
        <v>156.25017500000001</v>
      </c>
      <c r="T245" s="3"/>
      <c r="U245" s="3">
        <v>54</v>
      </c>
      <c r="V245" s="3"/>
      <c r="W245" s="12">
        <v>46331</v>
      </c>
      <c r="X245" s="7">
        <v>56</v>
      </c>
      <c r="Y245" s="15">
        <f>(IF(P245&gt;0,P245+R245,R245)-(X245*Ventas!AE276*0.925))</f>
        <v>143.30017500000002</v>
      </c>
      <c r="Z245" s="18">
        <f>(Y245/(Ventas!AE276*0.925)/60)</f>
        <v>10.327940540540542</v>
      </c>
      <c r="AA245" s="15">
        <f>(120*(Ventas!AE276*1.485) - IF(Y245&gt;0,Y245,0))</f>
        <v>-98.750175000000013</v>
      </c>
      <c r="AB245" s="15">
        <v>0</v>
      </c>
      <c r="AC245" s="15">
        <f>IF(Y245&gt;0,Y245+IF(AB245&gt;0,AB245,0),AB245)</f>
        <v>143.30017500000002</v>
      </c>
      <c r="AD245" s="16">
        <v>6.91</v>
      </c>
      <c r="AE245" s="8">
        <v>3025</v>
      </c>
      <c r="AF245" s="15">
        <f>(AC245-(60*Ventas!AE276*1.485))</f>
        <v>121.02517500000002</v>
      </c>
      <c r="AG245" s="18">
        <f>(AF245/(Ventas!AE276*1.485)/60)</f>
        <v>5.4332289562289571</v>
      </c>
      <c r="AH245" s="1" t="s">
        <v>35</v>
      </c>
      <c r="AI245">
        <f t="shared" si="3"/>
        <v>0</v>
      </c>
    </row>
    <row r="246" spans="1:35" x14ac:dyDescent="0.25">
      <c r="A246" s="1"/>
      <c r="B246" s="1" t="s">
        <v>580</v>
      </c>
      <c r="C246" s="14" t="s">
        <v>581</v>
      </c>
      <c r="D246" s="8">
        <v>57</v>
      </c>
      <c r="E246" s="12">
        <v>46238</v>
      </c>
      <c r="F246" s="7">
        <v>1</v>
      </c>
      <c r="G246" s="15">
        <f>(D246-(0)+0-(F246*Ventas!AE258*1))</f>
        <v>56.815049999999999</v>
      </c>
      <c r="H246" s="18">
        <f>(G246/(Ventas!AE258*1)/60)</f>
        <v>5.1198567180318992</v>
      </c>
      <c r="I246" s="8">
        <v>44</v>
      </c>
      <c r="J246" s="15">
        <f>IF(G246&gt;0,G246+I246,I246)</f>
        <v>100.81505</v>
      </c>
      <c r="K246" s="15">
        <v>7.49</v>
      </c>
      <c r="L246" s="15">
        <v>44</v>
      </c>
      <c r="M246" s="17">
        <v>7.67E-4</v>
      </c>
      <c r="N246" s="12">
        <v>46275</v>
      </c>
      <c r="O246" s="7">
        <v>37</v>
      </c>
      <c r="P246" s="15">
        <f>(IF(G246&gt;0,G246+I246,I246)-(O246*Ventas!AE258*0.9189))</f>
        <v>94.526879464999993</v>
      </c>
      <c r="Q246" s="18">
        <f>(P246/(Ventas!AE258*0.9189)/60)</f>
        <v>9.2700373416452386</v>
      </c>
      <c r="R246" s="8">
        <v>0</v>
      </c>
      <c r="S246" s="15">
        <f>IF(P246&gt;0,P246+R246,R246)</f>
        <v>94.526879464999993</v>
      </c>
      <c r="T246" s="3"/>
      <c r="U246" s="15">
        <v>44</v>
      </c>
      <c r="V246" s="17">
        <v>7.67E-4</v>
      </c>
      <c r="W246" s="12">
        <v>46331</v>
      </c>
      <c r="X246" s="7">
        <v>56</v>
      </c>
      <c r="Y246" s="15">
        <f>(IF(P246&gt;0,P246+R246,R246)-(X246*Ventas!AE258*0.925))</f>
        <v>84.946469464999993</v>
      </c>
      <c r="Z246" s="18">
        <f>(Y246/(Ventas!AE258*0.925)/60)</f>
        <v>8.2755718701670027</v>
      </c>
      <c r="AA246" s="15">
        <f>(120*(Ventas!AE258*1.485) - IF(Y246&gt;0,Y246,0))</f>
        <v>-51.988379464999987</v>
      </c>
      <c r="AB246" s="15">
        <v>0</v>
      </c>
      <c r="AC246" s="15">
        <f>IF(Y246&gt;0,Y246+IF(AB246&gt;0,AB246,0),AB246)</f>
        <v>84.946469464999993</v>
      </c>
      <c r="AD246" s="16">
        <v>7.49</v>
      </c>
      <c r="AE246" s="8">
        <v>3025</v>
      </c>
      <c r="AF246" s="15">
        <f>(AC246-(60*Ventas!AE258*1.485))</f>
        <v>68.467424464999993</v>
      </c>
      <c r="AG246" s="18">
        <f>(AF246/(Ventas!AE258*1.485)/60)</f>
        <v>4.1548174948851697</v>
      </c>
      <c r="AH246" s="1" t="s">
        <v>35</v>
      </c>
      <c r="AI246">
        <f t="shared" si="3"/>
        <v>0</v>
      </c>
    </row>
    <row r="247" spans="1:35" x14ac:dyDescent="0.25">
      <c r="A247" s="1"/>
      <c r="B247" s="1" t="s">
        <v>78</v>
      </c>
      <c r="C247" s="14" t="s">
        <v>79</v>
      </c>
      <c r="D247" s="8">
        <v>57</v>
      </c>
      <c r="E247" s="12">
        <v>46238</v>
      </c>
      <c r="F247" s="7">
        <v>1</v>
      </c>
      <c r="G247" s="15">
        <f>(D247-(0)+0-(F247*Ventas!AE66*1))</f>
        <v>56.82</v>
      </c>
      <c r="H247" s="18">
        <f>(G247/(Ventas!AE66*1)/60)</f>
        <v>5.2611111111111111</v>
      </c>
      <c r="I247" s="8">
        <v>0</v>
      </c>
      <c r="J247" s="15">
        <f>IF(G247&gt;0,G247+I247,I247)</f>
        <v>56.82</v>
      </c>
      <c r="K247" s="3"/>
      <c r="L247" s="15">
        <v>60</v>
      </c>
      <c r="M247" s="17">
        <v>4.7199999999999998E-4</v>
      </c>
      <c r="N247" s="12">
        <v>46275</v>
      </c>
      <c r="O247" s="7">
        <v>37</v>
      </c>
      <c r="P247" s="15">
        <f>(IF(G247&gt;0,G247+I247,I247)-(O247*Ventas!AE66*1))</f>
        <v>50.16</v>
      </c>
      <c r="Q247" s="18">
        <f>(P247/(Ventas!AE66*1)/60)</f>
        <v>4.6444444444444448</v>
      </c>
      <c r="R247" s="8">
        <v>0</v>
      </c>
      <c r="S247" s="15">
        <f>IF(P247&gt;0,P247+R247,R247)</f>
        <v>50.16</v>
      </c>
      <c r="T247" s="3"/>
      <c r="U247" s="15">
        <v>60</v>
      </c>
      <c r="V247" s="17">
        <v>4.7199999999999998E-4</v>
      </c>
      <c r="W247" s="12">
        <v>46331</v>
      </c>
      <c r="X247" s="7">
        <v>56</v>
      </c>
      <c r="Y247" s="15">
        <f>(IF(P247&gt;0,P247+R247,R247)-(X247*Ventas!AE66*1))</f>
        <v>40.08</v>
      </c>
      <c r="Z247" s="18">
        <f>(Y247/(Ventas!AE66*1)/60)</f>
        <v>3.7111111111111108</v>
      </c>
      <c r="AA247" s="15">
        <f>(120*(Ventas!AE66*1) - IF(Y247&gt;0,Y247,0))</f>
        <v>-18.48</v>
      </c>
      <c r="AB247" s="15">
        <v>0</v>
      </c>
      <c r="AC247" s="15">
        <f>IF(Y247&gt;0,Y247+IF(AB247&gt;0,AB247,0),AB247)</f>
        <v>40.08</v>
      </c>
      <c r="AD247" s="16">
        <v>0.68</v>
      </c>
      <c r="AE247" s="8">
        <v>3010</v>
      </c>
      <c r="AF247" s="15">
        <f>(AC247-(60*Ventas!AE66*1))</f>
        <v>29.28</v>
      </c>
      <c r="AG247" s="18">
        <f>(AF247/(Ventas!AE66*1)/60)</f>
        <v>2.7111111111111112</v>
      </c>
      <c r="AH247" s="1" t="s">
        <v>32</v>
      </c>
      <c r="AI247">
        <f t="shared" si="3"/>
        <v>0</v>
      </c>
    </row>
    <row r="248" spans="1:35" x14ac:dyDescent="0.25">
      <c r="A248" s="1"/>
      <c r="B248" s="1" t="s">
        <v>594</v>
      </c>
      <c r="C248" s="14" t="s">
        <v>595</v>
      </c>
      <c r="D248" s="8">
        <v>58</v>
      </c>
      <c r="E248" s="12">
        <v>46238</v>
      </c>
      <c r="F248" s="7">
        <v>1</v>
      </c>
      <c r="G248" s="15">
        <f>(D248-(0)+0-(F248*Ventas!AE265*1))</f>
        <v>57.693199999999997</v>
      </c>
      <c r="H248" s="18">
        <f>(G248/(Ventas!AE265*1)/60)</f>
        <v>3.1341373315949581</v>
      </c>
      <c r="I248" s="8">
        <v>0</v>
      </c>
      <c r="J248" s="15">
        <f>IF(G248&gt;0,G248+I248,I248)</f>
        <v>57.693199999999997</v>
      </c>
      <c r="K248" s="3"/>
      <c r="L248" s="15">
        <v>44</v>
      </c>
      <c r="M248" s="17">
        <v>7.67E-4</v>
      </c>
      <c r="N248" s="12">
        <v>46275</v>
      </c>
      <c r="O248" s="7">
        <v>37</v>
      </c>
      <c r="P248" s="15">
        <f>(IF(G248&gt;0,G248+I248,I248)-(O248*Ventas!AE265*0.9189))</f>
        <v>47.262214759999992</v>
      </c>
      <c r="Q248" s="18">
        <f>(P248/(Ventas!AE265*0.9189)/60)</f>
        <v>2.7940824154913031</v>
      </c>
      <c r="R248" s="8">
        <v>0</v>
      </c>
      <c r="S248" s="15">
        <f>IF(P248&gt;0,P248+R248,R248)</f>
        <v>47.262214759999992</v>
      </c>
      <c r="T248" s="3"/>
      <c r="U248" s="15">
        <v>44</v>
      </c>
      <c r="V248" s="17">
        <v>7.67E-4</v>
      </c>
      <c r="W248" s="12">
        <v>46331</v>
      </c>
      <c r="X248" s="7">
        <v>56</v>
      </c>
      <c r="Y248" s="15">
        <f>(IF(P248&gt;0,P248+R248,R248)-(X248*Ventas!AE265*0.925))</f>
        <v>31.369974759999991</v>
      </c>
      <c r="Z248" s="18">
        <f>(Y248/(Ventas!AE265*0.925)/60)</f>
        <v>1.8423232413639186</v>
      </c>
      <c r="AA248" s="15">
        <f>(120*(Ventas!AE265*1.485) - IF(Y248&gt;0,Y248,0))</f>
        <v>23.301785240000015</v>
      </c>
      <c r="AB248" s="89">
        <v>0</v>
      </c>
      <c r="AC248" s="15">
        <f>IF(Y248&gt;0,Y248+IF(AB248&gt;0,AB248,0),AB248)</f>
        <v>31.369974759999991</v>
      </c>
      <c r="AD248" s="16">
        <v>5.42</v>
      </c>
      <c r="AE248" s="8">
        <v>3010</v>
      </c>
      <c r="AF248" s="15">
        <f>(AC248-(60*Ventas!AE265*1.485))</f>
        <v>4.0340947599999879</v>
      </c>
      <c r="AG248" s="18">
        <f>(AF248/(Ventas!AE265*1.485)/60)</f>
        <v>0.14757508300446107</v>
      </c>
      <c r="AH248" s="1" t="s">
        <v>35</v>
      </c>
      <c r="AI248">
        <f t="shared" si="3"/>
        <v>0</v>
      </c>
    </row>
    <row r="249" spans="1:35" x14ac:dyDescent="0.25">
      <c r="A249" s="1"/>
      <c r="B249" s="1" t="s">
        <v>592</v>
      </c>
      <c r="C249" s="14" t="s">
        <v>593</v>
      </c>
      <c r="D249" s="8">
        <v>58</v>
      </c>
      <c r="E249" s="12">
        <v>46238</v>
      </c>
      <c r="F249" s="7">
        <v>1</v>
      </c>
      <c r="G249" s="15">
        <f>(D249-(0)+0-(F249*Ventas!AE264*1))</f>
        <v>57.839166666666664</v>
      </c>
      <c r="H249" s="18">
        <f>(G249/(Ventas!AE264*1)/60)</f>
        <v>5.9936960276338498</v>
      </c>
      <c r="I249" s="8">
        <v>0</v>
      </c>
      <c r="J249" s="15">
        <f>IF(G249&gt;0,G249+I249,I249)</f>
        <v>57.839166666666664</v>
      </c>
      <c r="K249" s="3"/>
      <c r="L249" s="15">
        <v>44</v>
      </c>
      <c r="M249" s="17">
        <v>7.67E-4</v>
      </c>
      <c r="N249" s="12">
        <v>46275</v>
      </c>
      <c r="O249" s="7">
        <v>37</v>
      </c>
      <c r="P249" s="15">
        <f>(IF(G249&gt;0,G249+I249,I249)-(O249*Ventas!AE264*0.9189))</f>
        <v>52.370945916666663</v>
      </c>
      <c r="Q249" s="18">
        <f>(P249/(Ventas!AE264*0.9189)/60)</f>
        <v>5.9060191834082598</v>
      </c>
      <c r="R249" s="8">
        <v>0</v>
      </c>
      <c r="S249" s="15">
        <f>IF(P249&gt;0,P249+R249,R249)</f>
        <v>52.370945916666663</v>
      </c>
      <c r="T249" s="3"/>
      <c r="U249" s="15">
        <v>44</v>
      </c>
      <c r="V249" s="17">
        <v>7.67E-4</v>
      </c>
      <c r="W249" s="12">
        <v>46331</v>
      </c>
      <c r="X249" s="7">
        <v>56</v>
      </c>
      <c r="Y249" s="15">
        <f>(IF(P249&gt;0,P249+R249,R249)-(X249*Ventas!AE264*0.925))</f>
        <v>44.039779249999995</v>
      </c>
      <c r="Z249" s="18">
        <f>(Y249/(Ventas!AE264*0.925)/60)</f>
        <v>4.9337380478924509</v>
      </c>
      <c r="AA249" s="15">
        <f>(120*(Ventas!AE264*1.485) - IF(Y249&gt;0,Y249,0))</f>
        <v>-15.379279249999989</v>
      </c>
      <c r="AB249" s="15">
        <v>0</v>
      </c>
      <c r="AC249" s="15">
        <f>IF(Y249&gt;0,Y249+IF(AB249&gt;0,AB249,0),AB249)</f>
        <v>44.039779249999995</v>
      </c>
      <c r="AD249" s="16">
        <v>5.42</v>
      </c>
      <c r="AE249" s="8">
        <v>3010</v>
      </c>
      <c r="AF249" s="15">
        <f>(AC249-(60*Ventas!AE264*1.485))</f>
        <v>29.709529249999989</v>
      </c>
      <c r="AG249" s="18">
        <f>(AF249/(Ventas!AE264*1.485)/60)</f>
        <v>2.0732038345458021</v>
      </c>
      <c r="AH249" s="1" t="s">
        <v>35</v>
      </c>
      <c r="AI249">
        <f t="shared" si="3"/>
        <v>0</v>
      </c>
    </row>
    <row r="250" spans="1:35" x14ac:dyDescent="0.25">
      <c r="A250" s="1"/>
      <c r="B250" s="1" t="s">
        <v>514</v>
      </c>
      <c r="C250" s="14" t="s">
        <v>515</v>
      </c>
      <c r="D250" s="8">
        <v>61</v>
      </c>
      <c r="E250" s="12">
        <v>46238</v>
      </c>
      <c r="F250" s="7">
        <v>1</v>
      </c>
      <c r="G250" s="15">
        <f>(D250-(0)+0-(F250*Ventas!AE17*1))</f>
        <v>59.864033333333332</v>
      </c>
      <c r="H250" s="18">
        <f>(G250/(Ventas!AE17*1)/60)</f>
        <v>0.87831264610659543</v>
      </c>
      <c r="I250" s="8">
        <v>156</v>
      </c>
      <c r="J250" s="15">
        <f>IF(G250&gt;0,G250+I250,I250)</f>
        <v>215.86403333333334</v>
      </c>
      <c r="K250" s="15">
        <v>1.65</v>
      </c>
      <c r="L250" s="15">
        <v>60</v>
      </c>
      <c r="M250" s="17">
        <v>7.2499999999999995E-4</v>
      </c>
      <c r="N250" s="12">
        <v>46275</v>
      </c>
      <c r="O250" s="7">
        <v>37</v>
      </c>
      <c r="P250" s="15">
        <f>(IF(G250&gt;0,G250+I250,I250)-(O250*Ventas!AE17*0.9189))</f>
        <v>177.24196184333334</v>
      </c>
      <c r="Q250" s="18">
        <f>(P250/(Ventas!AE17*0.9189)/60)</f>
        <v>2.8299675700121001</v>
      </c>
      <c r="R250" s="8">
        <v>0</v>
      </c>
      <c r="S250" s="15">
        <f>IF(P250&gt;0,P250+R250,R250)</f>
        <v>177.24196184333334</v>
      </c>
      <c r="T250" s="3"/>
      <c r="U250" s="15">
        <v>60</v>
      </c>
      <c r="V250" s="17">
        <v>7.2499999999999995E-4</v>
      </c>
      <c r="W250" s="12">
        <v>46331</v>
      </c>
      <c r="X250" s="7">
        <v>56</v>
      </c>
      <c r="Y250" s="15">
        <f>(IF(P250&gt;0,P250+R250,R250)-(X250*Ventas!AE17*0.925))</f>
        <v>118.39888851000001</v>
      </c>
      <c r="Z250" s="18">
        <f>(Y250/(Ventas!AE17*0.925)/60)</f>
        <v>1.8779717478386866</v>
      </c>
      <c r="AA250" s="15">
        <f>(120*(Ventas!AE17*1.485) - IF(Y250&gt;0,Y250,0))</f>
        <v>84.030371489999993</v>
      </c>
      <c r="AB250" s="15">
        <v>120</v>
      </c>
      <c r="AC250" s="15">
        <f>IF(Y250&gt;0,Y250+IF(AB250&gt;0,AB250,0),AB250)</f>
        <v>238.39888851000001</v>
      </c>
      <c r="AD250" s="16">
        <v>1.65</v>
      </c>
      <c r="AE250" s="8">
        <v>3025</v>
      </c>
      <c r="AF250" s="15">
        <f>(AC250-(60*Ventas!AE17*1.485))</f>
        <v>137.18425851000001</v>
      </c>
      <c r="AG250" s="18">
        <f>(AF250/(Ventas!AE17*1.485)/60)</f>
        <v>1.3553797362100717</v>
      </c>
      <c r="AH250" s="1" t="s">
        <v>35</v>
      </c>
      <c r="AI250">
        <f t="shared" si="3"/>
        <v>198</v>
      </c>
    </row>
    <row r="251" spans="1:35" x14ac:dyDescent="0.25">
      <c r="A251" s="1"/>
      <c r="B251" s="1" t="s">
        <v>114</v>
      </c>
      <c r="C251" s="14" t="s">
        <v>115</v>
      </c>
      <c r="D251" s="8">
        <v>61</v>
      </c>
      <c r="E251" s="12">
        <v>46238</v>
      </c>
      <c r="F251" s="7">
        <v>1</v>
      </c>
      <c r="G251" s="15">
        <f>(D251-(0)+0-(F251*Ventas!AE84*1))</f>
        <v>60.896949999999997</v>
      </c>
      <c r="H251" s="18">
        <f>(G251/(Ventas!AE84*1)/60)</f>
        <v>9.849094290797348</v>
      </c>
      <c r="I251" s="8">
        <v>0</v>
      </c>
      <c r="J251" s="15">
        <f>IF(G251&gt;0,G251+I251,I251)</f>
        <v>60.896949999999997</v>
      </c>
      <c r="K251" s="3"/>
      <c r="L251" s="15">
        <v>60</v>
      </c>
      <c r="M251" s="17">
        <v>4.7199999999999998E-4</v>
      </c>
      <c r="N251" s="12">
        <v>46275</v>
      </c>
      <c r="O251" s="7">
        <v>37</v>
      </c>
      <c r="P251" s="15">
        <f>(IF(G251&gt;0,G251+I251,I251)-(O251*Ventas!AE84*1))</f>
        <v>57.084099999999999</v>
      </c>
      <c r="Q251" s="18">
        <f>(P251/(Ventas!AE84*1)/60)</f>
        <v>9.2324276241306809</v>
      </c>
      <c r="R251" s="8">
        <v>0</v>
      </c>
      <c r="S251" s="15">
        <f>IF(P251&gt;0,P251+R251,R251)</f>
        <v>57.084099999999999</v>
      </c>
      <c r="T251" s="3"/>
      <c r="U251" s="15">
        <v>60</v>
      </c>
      <c r="V251" s="17">
        <v>4.7199999999999998E-4</v>
      </c>
      <c r="W251" s="12">
        <v>46331</v>
      </c>
      <c r="X251" s="7">
        <v>56</v>
      </c>
      <c r="Y251" s="15">
        <f>(IF(P251&gt;0,P251+R251,R251)-(X251*Ventas!AE84*1))</f>
        <v>51.313299999999998</v>
      </c>
      <c r="Z251" s="18">
        <f>(Y251/(Ventas!AE84*1)/60)</f>
        <v>8.2990942907973491</v>
      </c>
      <c r="AA251" s="15">
        <f>(120*(Ventas!AE84*1) - IF(Y251&gt;0,Y251,0))</f>
        <v>-38.947299999999998</v>
      </c>
      <c r="AB251" s="15">
        <v>0</v>
      </c>
      <c r="AC251" s="15">
        <f>IF(Y251&gt;0,Y251+IF(AB251&gt;0,AB251,0),AB251)</f>
        <v>51.313299999999998</v>
      </c>
      <c r="AD251" s="16">
        <v>0.59</v>
      </c>
      <c r="AE251" s="8">
        <v>3010</v>
      </c>
      <c r="AF251" s="15">
        <f>(AC251-(60*Ventas!AE84*1))</f>
        <v>45.130299999999998</v>
      </c>
      <c r="AG251" s="18">
        <f>(AF251/(Ventas!AE84*1)/60)</f>
        <v>7.2990942907973473</v>
      </c>
      <c r="AH251" s="1" t="s">
        <v>32</v>
      </c>
      <c r="AI251">
        <f t="shared" si="3"/>
        <v>0</v>
      </c>
    </row>
    <row r="252" spans="1:35" x14ac:dyDescent="0.25">
      <c r="A252" s="1"/>
      <c r="B252" s="1" t="s">
        <v>226</v>
      </c>
      <c r="C252" s="14" t="s">
        <v>227</v>
      </c>
      <c r="D252" s="8">
        <v>62</v>
      </c>
      <c r="E252" s="12">
        <v>46238</v>
      </c>
      <c r="F252" s="7">
        <v>1</v>
      </c>
      <c r="G252" s="15">
        <f>(D252-(0)+0-(F252*Ventas!AE137*1))</f>
        <v>61.933766666666664</v>
      </c>
      <c r="H252" s="18">
        <f>(G252/(Ventas!AE137*1)/60)</f>
        <v>15.584742492870326</v>
      </c>
      <c r="I252" s="8">
        <v>0</v>
      </c>
      <c r="J252" s="15">
        <f>IF(G252&gt;0,G252+I252,I252)</f>
        <v>61.933766666666664</v>
      </c>
      <c r="K252" s="3"/>
      <c r="L252" s="15">
        <v>44</v>
      </c>
      <c r="M252" s="17">
        <v>8.0599999999999997E-4</v>
      </c>
      <c r="N252" s="12">
        <v>46275</v>
      </c>
      <c r="O252" s="7">
        <v>37</v>
      </c>
      <c r="P252" s="15">
        <f>(IF(G252&gt;0,G252+I252,I252)-(O252*Ventas!AE137*1))</f>
        <v>59.483133333333328</v>
      </c>
      <c r="Q252" s="18">
        <f>(P252/(Ventas!AE137*1)/60)</f>
        <v>14.968075826203657</v>
      </c>
      <c r="R252" s="8">
        <v>0</v>
      </c>
      <c r="S252" s="15">
        <f>IF(P252&gt;0,P252+R252,R252)</f>
        <v>59.483133333333328</v>
      </c>
      <c r="T252" s="3"/>
      <c r="U252" s="15">
        <v>44</v>
      </c>
      <c r="V252" s="17">
        <v>8.0599999999999997E-4</v>
      </c>
      <c r="W252" s="12">
        <v>46331</v>
      </c>
      <c r="X252" s="7">
        <v>56</v>
      </c>
      <c r="Y252" s="15">
        <f>(IF(P252&gt;0,P252+R252,R252)-(X252*Ventas!AE137*1))</f>
        <v>55.774066666666663</v>
      </c>
      <c r="Z252" s="18">
        <f>(Y252/(Ventas!AE137*1)/60)</f>
        <v>14.034742492870324</v>
      </c>
      <c r="AA252" s="15">
        <f>(120*(Ventas!AE137*1) - IF(Y252&gt;0,Y252,0))</f>
        <v>-47.826066666666662</v>
      </c>
      <c r="AB252" s="15">
        <v>0</v>
      </c>
      <c r="AC252" s="15">
        <f>IF(Y252&gt;0,Y252+IF(AB252&gt;0,AB252,0),AB252)</f>
        <v>55.774066666666663</v>
      </c>
      <c r="AD252" s="16">
        <v>1.78</v>
      </c>
      <c r="AE252" s="8">
        <v>3027</v>
      </c>
      <c r="AF252" s="15">
        <f>(AC252-(60*Ventas!AE137*1))</f>
        <v>51.800066666666666</v>
      </c>
      <c r="AG252" s="18">
        <f>(AF252/(Ventas!AE137*1)/60)</f>
        <v>13.034742492870325</v>
      </c>
      <c r="AH252" s="1" t="s">
        <v>32</v>
      </c>
      <c r="AI252">
        <f t="shared" si="3"/>
        <v>0</v>
      </c>
    </row>
    <row r="253" spans="1:35" x14ac:dyDescent="0.25">
      <c r="A253" s="1"/>
      <c r="B253" s="54" t="s">
        <v>174</v>
      </c>
      <c r="C253" s="14" t="s">
        <v>175</v>
      </c>
      <c r="D253" s="8">
        <v>63</v>
      </c>
      <c r="E253" s="12">
        <v>46238</v>
      </c>
      <c r="F253" s="7">
        <v>1</v>
      </c>
      <c r="G253" s="15">
        <f>(D253-(0)+0-(F253*Ventas!AE111*1))</f>
        <v>62.48</v>
      </c>
      <c r="H253" s="18">
        <f>(G253/(Ventas!AE111*1)/60)</f>
        <v>2.0025641025641026</v>
      </c>
      <c r="I253" s="8">
        <v>0</v>
      </c>
      <c r="J253" s="15">
        <f>IF(G253&gt;0,G253+I253,I253)</f>
        <v>62.48</v>
      </c>
      <c r="K253" s="3"/>
      <c r="L253" s="15">
        <v>84</v>
      </c>
      <c r="M253" s="17">
        <v>3.57E-4</v>
      </c>
      <c r="N253" s="12">
        <v>46275</v>
      </c>
      <c r="O253" s="7">
        <v>37</v>
      </c>
      <c r="P253" s="15">
        <f>(IF(G253&gt;0,G253+I253,I253)-(O253*Ventas!AE111*1))</f>
        <v>43.239999999999995</v>
      </c>
      <c r="Q253" s="18">
        <f>(P253/(Ventas!AE111*1)/60)</f>
        <v>1.3858974358974359</v>
      </c>
      <c r="R253" s="8">
        <v>84</v>
      </c>
      <c r="S253" s="15">
        <f>IF(P253&gt;0,P253+R253,R253)</f>
        <v>127.24</v>
      </c>
      <c r="T253" s="15">
        <v>0.76</v>
      </c>
      <c r="U253" s="15">
        <v>84</v>
      </c>
      <c r="V253" s="17">
        <v>3.57E-4</v>
      </c>
      <c r="W253" s="12">
        <v>46331</v>
      </c>
      <c r="X253" s="7">
        <v>56</v>
      </c>
      <c r="Y253" s="15">
        <f>(IF(P253&gt;0,P253+R253,R253)-(X253*Ventas!AE111*1))</f>
        <v>98.11999999999999</v>
      </c>
      <c r="Z253" s="18">
        <f>(Y253/(Ventas!AE111*1)/60)</f>
        <v>3.1448717948717948</v>
      </c>
      <c r="AA253" s="15">
        <f>(120*(Ventas!AE111*1) - IF(Y253&gt;0,Y253,0))</f>
        <v>-35.719999999999985</v>
      </c>
      <c r="AB253" s="15">
        <v>0</v>
      </c>
      <c r="AC253" s="15">
        <f>IF(Y253&gt;0,Y253+IF(AB253&gt;0,AB253,0),AB253)</f>
        <v>98.11999999999999</v>
      </c>
      <c r="AD253" s="16">
        <v>0.69</v>
      </c>
      <c r="AE253" s="8">
        <v>3027</v>
      </c>
      <c r="AF253" s="15">
        <f>(AC253-(60*Ventas!AE111*1))</f>
        <v>66.919999999999987</v>
      </c>
      <c r="AG253" s="18">
        <f>(AF253/(Ventas!AE111*1)/60)</f>
        <v>2.1448717948717944</v>
      </c>
      <c r="AH253" s="1" t="s">
        <v>35</v>
      </c>
      <c r="AI253">
        <f t="shared" si="3"/>
        <v>0</v>
      </c>
    </row>
    <row r="254" spans="1:35" x14ac:dyDescent="0.25">
      <c r="A254" s="1"/>
      <c r="B254" s="48" t="s">
        <v>178</v>
      </c>
      <c r="C254" s="14" t="s">
        <v>179</v>
      </c>
      <c r="D254" s="8">
        <v>65</v>
      </c>
      <c r="E254" s="12">
        <v>46238</v>
      </c>
      <c r="F254" s="7">
        <v>1</v>
      </c>
      <c r="G254" s="15">
        <f>(D254-(0)+0-(F254*Ventas!AE113*1))</f>
        <v>63.82</v>
      </c>
      <c r="H254" s="18">
        <f>(G254/(Ventas!AE113*1)/60)</f>
        <v>0.90141242937853117</v>
      </c>
      <c r="I254" s="8">
        <v>0</v>
      </c>
      <c r="J254" s="15">
        <f>IF(G254&gt;0,G254+I254,I254)</f>
        <v>63.82</v>
      </c>
      <c r="K254" s="3"/>
      <c r="L254" s="15">
        <v>84</v>
      </c>
      <c r="M254" s="17">
        <v>3.57E-4</v>
      </c>
      <c r="N254" s="12">
        <v>46275</v>
      </c>
      <c r="O254" s="7">
        <v>37</v>
      </c>
      <c r="P254" s="15">
        <f>(IF(G254&gt;0,G254+I254,I254)-(O254*Ventas!AE113*1))</f>
        <v>20.160000000000004</v>
      </c>
      <c r="Q254" s="18">
        <f>(P254/(Ventas!AE113*1)/60)</f>
        <v>0.28474576271186447</v>
      </c>
      <c r="R254" s="8">
        <v>84</v>
      </c>
      <c r="S254" s="15">
        <f>IF(P254&gt;0,P254+R254,R254)</f>
        <v>104.16</v>
      </c>
      <c r="T254" s="15">
        <v>0.76</v>
      </c>
      <c r="U254" s="15">
        <v>84</v>
      </c>
      <c r="V254" s="17">
        <v>3.57E-4</v>
      </c>
      <c r="W254" s="12">
        <v>46331</v>
      </c>
      <c r="X254" s="7">
        <v>56</v>
      </c>
      <c r="Y254" s="15">
        <f>(IF(P254&gt;0,P254+R254,R254)-(X254*Ventas!AE113*1))</f>
        <v>38.08</v>
      </c>
      <c r="Z254" s="18">
        <f>(Y254/(Ventas!AE113*1)/60)</f>
        <v>0.53785310734463276</v>
      </c>
      <c r="AA254" s="15">
        <f>(120*(Ventas!AE113*1) - IF(Y254&gt;0,Y254,0))</f>
        <v>103.52</v>
      </c>
      <c r="AB254" s="15">
        <v>168</v>
      </c>
      <c r="AC254" s="15">
        <f>IF(Y254&gt;0,Y254+IF(AB254&gt;0,AB254,0),AB254)</f>
        <v>206.07999999999998</v>
      </c>
      <c r="AD254" s="16">
        <v>0.71</v>
      </c>
      <c r="AE254" s="8">
        <v>3027</v>
      </c>
      <c r="AF254" s="15">
        <f>(AC254-(60*Ventas!AE113*1))</f>
        <v>135.27999999999997</v>
      </c>
      <c r="AG254" s="18">
        <f>(AF254/(Ventas!AE113*1)/60)</f>
        <v>1.9107344632768359</v>
      </c>
      <c r="AH254" s="1" t="s">
        <v>35</v>
      </c>
      <c r="AI254">
        <f t="shared" si="3"/>
        <v>119.28</v>
      </c>
    </row>
    <row r="255" spans="1:35" x14ac:dyDescent="0.25">
      <c r="A255" s="1"/>
      <c r="B255" s="1" t="s">
        <v>224</v>
      </c>
      <c r="C255" s="14" t="s">
        <v>225</v>
      </c>
      <c r="D255" s="8">
        <v>65</v>
      </c>
      <c r="E255" s="12">
        <v>46238</v>
      </c>
      <c r="F255" s="7">
        <v>1</v>
      </c>
      <c r="G255" s="15">
        <f>(D255-(0)+0-(F255*Ventas!AE136*1))</f>
        <v>64.949133333333336</v>
      </c>
      <c r="H255" s="18">
        <f>(G255/(Ventas!AE136*1)/60)</f>
        <v>21.280843162953254</v>
      </c>
      <c r="I255" s="8">
        <v>0</v>
      </c>
      <c r="J255" s="15">
        <f>IF(G255&gt;0,G255+I255,I255)</f>
        <v>64.949133333333336</v>
      </c>
      <c r="K255" s="3"/>
      <c r="L255" s="15">
        <v>44</v>
      </c>
      <c r="M255" s="17">
        <v>8.0599999999999997E-4</v>
      </c>
      <c r="N255" s="12">
        <v>46275</v>
      </c>
      <c r="O255" s="7">
        <v>37</v>
      </c>
      <c r="P255" s="15">
        <f>(IF(G255&gt;0,G255+I255,I255)-(O255*Ventas!AE136*1))</f>
        <v>63.067066666666669</v>
      </c>
      <c r="Q255" s="18">
        <f>(P255/(Ventas!AE136*1)/60)</f>
        <v>20.664176496286586</v>
      </c>
      <c r="R255" s="8">
        <v>0</v>
      </c>
      <c r="S255" s="15">
        <f>IF(P255&gt;0,P255+R255,R255)</f>
        <v>63.067066666666669</v>
      </c>
      <c r="T255" s="3"/>
      <c r="U255" s="15">
        <v>44</v>
      </c>
      <c r="V255" s="17">
        <v>8.0599999999999997E-4</v>
      </c>
      <c r="W255" s="12">
        <v>46331</v>
      </c>
      <c r="X255" s="7">
        <v>56</v>
      </c>
      <c r="Y255" s="15">
        <f>(IF(P255&gt;0,P255+R255,R255)-(X255*Ventas!AE136*1))</f>
        <v>60.218533333333333</v>
      </c>
      <c r="Z255" s="18">
        <f>(Y255/(Ventas!AE136*1)/60)</f>
        <v>19.730843162953253</v>
      </c>
      <c r="AA255" s="15">
        <f>(120*(Ventas!AE136*1) - IF(Y255&gt;0,Y255,0))</f>
        <v>-54.114533333333334</v>
      </c>
      <c r="AB255" s="15">
        <v>0</v>
      </c>
      <c r="AC255" s="15">
        <f>IF(Y255&gt;0,Y255+IF(AB255&gt;0,AB255,0),AB255)</f>
        <v>60.218533333333333</v>
      </c>
      <c r="AD255" s="16">
        <v>1.78</v>
      </c>
      <c r="AE255" s="8">
        <v>3027</v>
      </c>
      <c r="AF255" s="15">
        <f>(AC255-(60*Ventas!AE136*1))</f>
        <v>57.166533333333334</v>
      </c>
      <c r="AG255" s="18">
        <f>(AF255/(Ventas!AE136*1)/60)</f>
        <v>18.730843162953253</v>
      </c>
      <c r="AH255" s="1" t="s">
        <v>32</v>
      </c>
      <c r="AI255">
        <f t="shared" si="3"/>
        <v>0</v>
      </c>
    </row>
    <row r="256" spans="1:35" x14ac:dyDescent="0.25">
      <c r="A256" s="1"/>
      <c r="B256" s="1" t="s">
        <v>570</v>
      </c>
      <c r="C256" s="14" t="s">
        <v>571</v>
      </c>
      <c r="D256" s="8">
        <v>68</v>
      </c>
      <c r="E256" s="12">
        <v>46238</v>
      </c>
      <c r="F256" s="7">
        <v>1</v>
      </c>
      <c r="G256" s="15">
        <f>(D256-(0)+0-(F256*Ventas!AE253*1))</f>
        <v>67.871049999999997</v>
      </c>
      <c r="H256" s="18">
        <f>(G256/(Ventas!AE253*1)/60)</f>
        <v>8.7722696135452995</v>
      </c>
      <c r="I256" s="8">
        <v>0</v>
      </c>
      <c r="J256" s="15">
        <f>IF(G256&gt;0,G256+I256,I256)</f>
        <v>67.871049999999997</v>
      </c>
      <c r="K256" s="3"/>
      <c r="L256" s="15">
        <v>70</v>
      </c>
      <c r="M256" s="17">
        <v>4.0000000000000002E-4</v>
      </c>
      <c r="N256" s="12">
        <v>46275</v>
      </c>
      <c r="O256" s="7">
        <v>37</v>
      </c>
      <c r="P256" s="15">
        <f>(IF(G256&gt;0,G256+I256,I256)-(O256*Ventas!AE253*0.9189))</f>
        <v>63.486840264999998</v>
      </c>
      <c r="Q256" s="18">
        <f>(P256/(Ventas!AE253*0.9189)/60)</f>
        <v>8.9298232816903926</v>
      </c>
      <c r="R256" s="8">
        <v>0</v>
      </c>
      <c r="S256" s="15">
        <f>IF(P256&gt;0,P256+R256,R256)</f>
        <v>63.486840264999998</v>
      </c>
      <c r="T256" s="3"/>
      <c r="U256" s="15">
        <v>70</v>
      </c>
      <c r="V256" s="17">
        <v>4.0000000000000002E-4</v>
      </c>
      <c r="W256" s="12">
        <v>46331</v>
      </c>
      <c r="X256" s="7">
        <v>56</v>
      </c>
      <c r="Y256" s="15">
        <f>(IF(P256&gt;0,P256+R256,R256)-(X256*Ventas!AE253*0.925))</f>
        <v>56.807230264999994</v>
      </c>
      <c r="Z256" s="18">
        <f>(Y256/(Ventas!AE253*0.925)/60)</f>
        <v>7.9376013840129369</v>
      </c>
      <c r="AA256" s="15">
        <f>(120*(Ventas!AE253*1.485) - IF(Y256&gt;0,Y256,0))</f>
        <v>-33.828340264999994</v>
      </c>
      <c r="AB256" s="15">
        <v>0</v>
      </c>
      <c r="AC256" s="15">
        <f>IF(Y256&gt;0,Y256+IF(AB256&gt;0,AB256,0),AB256)</f>
        <v>56.807230264999994</v>
      </c>
      <c r="AD256" s="16">
        <v>6.87</v>
      </c>
      <c r="AE256" s="8">
        <v>3010</v>
      </c>
      <c r="AF256" s="15">
        <f>(AC256-(60*Ventas!AE253*1.485))</f>
        <v>45.317785264999991</v>
      </c>
      <c r="AG256" s="18">
        <f>(AF256/(Ventas!AE253*1.485)/60)</f>
        <v>3.9442971583918967</v>
      </c>
      <c r="AH256" s="1" t="s">
        <v>35</v>
      </c>
      <c r="AI256">
        <f t="shared" si="3"/>
        <v>0</v>
      </c>
    </row>
    <row r="257" spans="1:35" x14ac:dyDescent="0.25">
      <c r="A257" s="1"/>
      <c r="B257" s="1" t="s">
        <v>546</v>
      </c>
      <c r="C257" s="14" t="s">
        <v>547</v>
      </c>
      <c r="D257" s="8">
        <v>71</v>
      </c>
      <c r="E257" s="12">
        <v>46238</v>
      </c>
      <c r="F257" s="7">
        <v>1</v>
      </c>
      <c r="G257" s="15">
        <f>(D257-(0)+0-(F257*Ventas!AE47*1))</f>
        <v>70.760000000000005</v>
      </c>
      <c r="H257" s="18">
        <f>(G257/(Ventas!AE47*1)/60)</f>
        <v>4.9138888888888896</v>
      </c>
      <c r="I257" s="8">
        <v>0</v>
      </c>
      <c r="J257" s="15">
        <f>IF(G257&gt;0,G257+I257,I257)</f>
        <v>70.760000000000005</v>
      </c>
      <c r="K257" s="3"/>
      <c r="L257" s="15">
        <v>52</v>
      </c>
      <c r="M257" s="17">
        <v>5.7700000000000004E-4</v>
      </c>
      <c r="N257" s="12">
        <v>46275</v>
      </c>
      <c r="O257" s="7">
        <v>37</v>
      </c>
      <c r="P257" s="15">
        <f>(IF(G257&gt;0,G257+I257,I257)-(O257*Ventas!AE47*0.9189))</f>
        <v>62.600168000000004</v>
      </c>
      <c r="Q257" s="18">
        <f>(P257/(Ventas!AE47*0.9189)/60)</f>
        <v>4.7309107507768955</v>
      </c>
      <c r="R257" s="8">
        <v>0</v>
      </c>
      <c r="S257" s="15">
        <f>IF(P257&gt;0,P257+R257,R257)</f>
        <v>62.600168000000004</v>
      </c>
      <c r="T257" s="3"/>
      <c r="U257" s="15">
        <v>52</v>
      </c>
      <c r="V257" s="17">
        <v>5.7700000000000004E-4</v>
      </c>
      <c r="W257" s="12">
        <v>46331</v>
      </c>
      <c r="X257" s="7">
        <v>56</v>
      </c>
      <c r="Y257" s="15">
        <f>(IF(P257&gt;0,P257+R257,R257)-(X257*Ventas!AE47*0.925))</f>
        <v>50.168168000000001</v>
      </c>
      <c r="Z257" s="18">
        <f>(Y257/(Ventas!AE47*0.925)/60)</f>
        <v>3.7663789789789788</v>
      </c>
      <c r="AA257" s="15">
        <f>(120*(Ventas!AE47*1.485) - IF(Y257&gt;0,Y257,0))</f>
        <v>-7.4001680000000007</v>
      </c>
      <c r="AB257" s="15">
        <v>0</v>
      </c>
      <c r="AC257" s="15">
        <f>IF(Y257&gt;0,Y257+IF(AB257&gt;0,AB257,0),AB257)</f>
        <v>50.168168000000001</v>
      </c>
      <c r="AD257" s="16">
        <v>1.18</v>
      </c>
      <c r="AE257" s="8">
        <v>3027</v>
      </c>
      <c r="AF257" s="15">
        <f>(AC257-(60*Ventas!AE47*1.485))</f>
        <v>28.784168000000001</v>
      </c>
      <c r="AG257" s="18">
        <f>(AF257/(Ventas!AE47*1.485)/60)</f>
        <v>1.3460609801720913</v>
      </c>
      <c r="AH257" s="1" t="s">
        <v>35</v>
      </c>
      <c r="AI257">
        <f t="shared" si="3"/>
        <v>0</v>
      </c>
    </row>
    <row r="258" spans="1:35" x14ac:dyDescent="0.25">
      <c r="A258" s="1" t="s">
        <v>387</v>
      </c>
      <c r="B258" s="1" t="s">
        <v>388</v>
      </c>
      <c r="C258" s="14" t="s">
        <v>389</v>
      </c>
      <c r="D258" s="8">
        <v>74</v>
      </c>
      <c r="E258" s="12">
        <v>46238</v>
      </c>
      <c r="F258" s="7">
        <v>1</v>
      </c>
      <c r="G258" s="15">
        <f>(D258-(0)+0-(F258*Ventas!AE203*1))</f>
        <v>73.64</v>
      </c>
      <c r="H258" s="18">
        <f>(G258/(Ventas!AE203*1)/60)</f>
        <v>3.4092592592592594</v>
      </c>
      <c r="I258" s="8">
        <v>0</v>
      </c>
      <c r="J258" s="15">
        <f>IF(G258&gt;0,G258+I258,I258)</f>
        <v>73.64</v>
      </c>
      <c r="K258" s="3"/>
      <c r="L258" s="15">
        <v>48</v>
      </c>
      <c r="M258" s="17">
        <v>7.0299999999999996E-4</v>
      </c>
      <c r="N258" s="12">
        <v>46275</v>
      </c>
      <c r="O258" s="7">
        <v>37</v>
      </c>
      <c r="P258" s="15">
        <f>(IF(G258&gt;0,G258+I258,I258)-(O258*Ventas!AE203*1))</f>
        <v>60.32</v>
      </c>
      <c r="Q258" s="18">
        <f>(P258/(Ventas!AE203*1)/60)</f>
        <v>2.7925925925925927</v>
      </c>
      <c r="R258" s="8">
        <v>0</v>
      </c>
      <c r="S258" s="15">
        <f>IF(P258&gt;0,P258+R258,R258)</f>
        <v>60.32</v>
      </c>
      <c r="T258" s="3"/>
      <c r="U258" s="15">
        <v>48</v>
      </c>
      <c r="V258" s="17">
        <v>7.0299999999999996E-4</v>
      </c>
      <c r="W258" s="12">
        <v>46331</v>
      </c>
      <c r="X258" s="7">
        <v>56</v>
      </c>
      <c r="Y258" s="15">
        <f>(IF(P258&gt;0,P258+R258,R258)-(X258*Ventas!AE203*1))</f>
        <v>40.159999999999997</v>
      </c>
      <c r="Z258" s="18">
        <f>(Y258/(Ventas!AE203*1)/60)</f>
        <v>1.8592592592592594</v>
      </c>
      <c r="AA258" s="15">
        <f>(120*(Ventas!AE203*1) - IF(Y258&gt;0,Y258,0))</f>
        <v>3.0399999999999991</v>
      </c>
      <c r="AB258" s="15">
        <v>0</v>
      </c>
      <c r="AC258" s="15">
        <f>IF(Y258&gt;0,Y258+IF(AB258&gt;0,AB258,0),AB258)</f>
        <v>40.159999999999997</v>
      </c>
      <c r="AD258" s="16">
        <v>3.7</v>
      </c>
      <c r="AE258" s="8">
        <v>3027</v>
      </c>
      <c r="AF258" s="15">
        <f>(AC258-(60*Ventas!AE203*1))</f>
        <v>18.559999999999999</v>
      </c>
      <c r="AG258" s="18">
        <f>(AF258/(Ventas!AE203*1)/60)</f>
        <v>0.85925925925925928</v>
      </c>
      <c r="AH258" s="1" t="s">
        <v>35</v>
      </c>
      <c r="AI258">
        <f t="shared" si="3"/>
        <v>0</v>
      </c>
    </row>
    <row r="259" spans="1:35" x14ac:dyDescent="0.25">
      <c r="A259" s="1"/>
      <c r="B259" s="87" t="s">
        <v>296</v>
      </c>
      <c r="C259" s="14" t="s">
        <v>297</v>
      </c>
      <c r="D259" s="8">
        <v>75</v>
      </c>
      <c r="E259" s="12">
        <v>46238</v>
      </c>
      <c r="F259" s="7">
        <v>1</v>
      </c>
      <c r="G259" s="15">
        <f>(D259-(0)+0-(F259*Ventas!AE168*1))</f>
        <v>74.286866666666668</v>
      </c>
      <c r="H259" s="18">
        <f>(G259/(Ventas!AE168*1)/60)</f>
        <v>1.7361612290050168</v>
      </c>
      <c r="I259" s="8">
        <v>0</v>
      </c>
      <c r="J259" s="15">
        <f>IF(G259&gt;0,G259+I259,I259)</f>
        <v>74.286866666666668</v>
      </c>
      <c r="K259" s="3"/>
      <c r="L259" s="15">
        <v>52</v>
      </c>
      <c r="M259" s="17">
        <v>6.4899999999999995E-4</v>
      </c>
      <c r="N259" s="12">
        <v>46275</v>
      </c>
      <c r="O259" s="7">
        <v>37</v>
      </c>
      <c r="P259" s="15">
        <f>(IF(G259&gt;0,G259+I259,I259)-(O259*Ventas!AE168*1))</f>
        <v>47.900933333333334</v>
      </c>
      <c r="Q259" s="18">
        <f>(P259/(Ventas!AE168*1)/60)</f>
        <v>1.1194945623383501</v>
      </c>
      <c r="R259" s="8">
        <v>0</v>
      </c>
      <c r="S259" s="15">
        <f>IF(P259&gt;0,P259+R259,R259)</f>
        <v>47.900933333333334</v>
      </c>
      <c r="T259" s="3"/>
      <c r="U259" s="15">
        <v>52</v>
      </c>
      <c r="V259" s="17">
        <v>6.4899999999999995E-4</v>
      </c>
      <c r="W259" s="12">
        <v>46331</v>
      </c>
      <c r="X259" s="7">
        <v>56</v>
      </c>
      <c r="Y259" s="15">
        <f>(IF(P259&gt;0,P259+R259,R259)-(X259*Ventas!AE168*1))</f>
        <v>7.9654666666666643</v>
      </c>
      <c r="Z259" s="18">
        <f>(Y259/(Ventas!AE168*1)/60)</f>
        <v>0.18616122900501691</v>
      </c>
      <c r="AA259" s="15">
        <f>(120*(Ventas!AE168*1) - IF(Y259&gt;0,Y259,0))</f>
        <v>77.610533333333336</v>
      </c>
      <c r="AB259" s="89">
        <v>0</v>
      </c>
      <c r="AC259" s="15">
        <f>IF(Y259&gt;0,Y259+IF(AB259&gt;0,AB259,0),AB259)</f>
        <v>7.9654666666666643</v>
      </c>
      <c r="AD259" s="16">
        <v>0.84</v>
      </c>
      <c r="AE259" s="8">
        <v>3027</v>
      </c>
      <c r="AF259" s="15">
        <f>(AC259-(60*Ventas!AE168*1))</f>
        <v>-34.82253333333334</v>
      </c>
      <c r="AG259" s="18">
        <f>(AF259/(Ventas!AE168*1)/60)</f>
        <v>-0.81383877099498314</v>
      </c>
      <c r="AH259" s="1" t="s">
        <v>35</v>
      </c>
      <c r="AI259">
        <f t="shared" si="3"/>
        <v>0</v>
      </c>
    </row>
    <row r="260" spans="1:35" x14ac:dyDescent="0.25">
      <c r="A260" s="1"/>
      <c r="B260" s="41" t="s">
        <v>80</v>
      </c>
      <c r="C260" s="14" t="s">
        <v>81</v>
      </c>
      <c r="D260" s="8">
        <v>81</v>
      </c>
      <c r="E260" s="12">
        <v>46238</v>
      </c>
      <c r="F260" s="7">
        <v>1</v>
      </c>
      <c r="G260" s="15">
        <f>(D260-(0)+0-(F260*Ventas!AE67*1))</f>
        <v>75.7</v>
      </c>
      <c r="H260" s="18">
        <f>(G260/(Ventas!AE67*1)/60)</f>
        <v>0.23805031446540881</v>
      </c>
      <c r="I260" s="8">
        <v>480</v>
      </c>
      <c r="J260" s="15">
        <f>IF(G260&gt;0,G260+I260,I260)</f>
        <v>555.70000000000005</v>
      </c>
      <c r="K260" s="15">
        <v>0.56999999999999995</v>
      </c>
      <c r="L260" s="15">
        <v>120</v>
      </c>
      <c r="M260" s="17">
        <v>2.81E-4</v>
      </c>
      <c r="N260" s="12">
        <v>46275</v>
      </c>
      <c r="O260" s="7">
        <v>37</v>
      </c>
      <c r="P260" s="15">
        <f>(IF(G260&gt;0,G260+I260,I260)-(O260*Ventas!AE67*1))</f>
        <v>359.6</v>
      </c>
      <c r="Q260" s="18">
        <f>(P260/(Ventas!AE67*1)/60)</f>
        <v>1.1308176100628933</v>
      </c>
      <c r="R260" s="8">
        <v>0</v>
      </c>
      <c r="S260" s="15">
        <f>IF(P260&gt;0,P260+R260,R260)</f>
        <v>359.6</v>
      </c>
      <c r="T260" s="3"/>
      <c r="U260" s="15">
        <v>120</v>
      </c>
      <c r="V260" s="17">
        <v>2.81E-4</v>
      </c>
      <c r="W260" s="12">
        <v>46331</v>
      </c>
      <c r="X260" s="7">
        <v>56</v>
      </c>
      <c r="Y260" s="15">
        <f>(IF(P260&gt;0,P260+R260,R260)-(X260*Ventas!AE67*1))</f>
        <v>62.800000000000011</v>
      </c>
      <c r="Z260" s="18">
        <f>(Y260/(Ventas!AE67*1)/60)</f>
        <v>0.19748427672955979</v>
      </c>
      <c r="AA260" s="15">
        <f>(120*(Ventas!AE67*1) - IF(Y260&gt;0,Y260,0))</f>
        <v>573.20000000000005</v>
      </c>
      <c r="AB260" s="15">
        <v>0</v>
      </c>
      <c r="AC260" s="15">
        <f>IF(Y260&gt;0,Y260+IF(AB260&gt;0,AB260,0),AB260)</f>
        <v>62.800000000000011</v>
      </c>
      <c r="AD260" s="16">
        <v>0.56999999999999995</v>
      </c>
      <c r="AE260" s="8">
        <v>3025</v>
      </c>
      <c r="AF260" s="15">
        <f>(AC260-(60*Ventas!AE67*1))</f>
        <v>-255.2</v>
      </c>
      <c r="AG260" s="18">
        <f>(AF260/(Ventas!AE67*1)/60)</f>
        <v>-0.8025157232704403</v>
      </c>
      <c r="AH260" s="1" t="s">
        <v>35</v>
      </c>
      <c r="AI260">
        <f t="shared" si="3"/>
        <v>0</v>
      </c>
    </row>
    <row r="261" spans="1:35" x14ac:dyDescent="0.25">
      <c r="A261" s="1"/>
      <c r="B261" s="75" t="s">
        <v>584</v>
      </c>
      <c r="C261" s="14" t="s">
        <v>585</v>
      </c>
      <c r="D261" s="8">
        <v>78</v>
      </c>
      <c r="E261" s="12">
        <v>46238</v>
      </c>
      <c r="F261" s="7">
        <v>1</v>
      </c>
      <c r="G261" s="15">
        <f>(D261-(0)+0-(F261*Ventas!AE260*1))</f>
        <v>77.858549999999994</v>
      </c>
      <c r="H261" s="18">
        <f>(G261/(Ventas!AE260*1)/60)</f>
        <v>9.1738600212089061</v>
      </c>
      <c r="I261" s="8">
        <v>0</v>
      </c>
      <c r="J261" s="15">
        <f>IF(G261&gt;0,G261+I261,I261)</f>
        <v>77.858549999999994</v>
      </c>
      <c r="K261" s="3"/>
      <c r="L261" s="15">
        <v>44</v>
      </c>
      <c r="M261" s="17">
        <v>7.67E-4</v>
      </c>
      <c r="N261" s="12">
        <v>46275</v>
      </c>
      <c r="O261" s="7">
        <v>37</v>
      </c>
      <c r="P261" s="15">
        <f>(IF(G261&gt;0,G261+I261,I261)-(O261*Ventas!AE260*0.9189))</f>
        <v>73.04934901499999</v>
      </c>
      <c r="Q261" s="18">
        <f>(P261/(Ventas!AE260*0.9189)/60)</f>
        <v>9.3668571348448229</v>
      </c>
      <c r="R261" s="8">
        <v>0</v>
      </c>
      <c r="S261" s="15">
        <f>IF(P261&gt;0,P261+R261,R261)</f>
        <v>73.04934901499999</v>
      </c>
      <c r="T261" s="3"/>
      <c r="U261" s="15">
        <v>44</v>
      </c>
      <c r="V261" s="17">
        <v>7.67E-4</v>
      </c>
      <c r="W261" s="12">
        <v>46331</v>
      </c>
      <c r="X261" s="7">
        <v>56</v>
      </c>
      <c r="Y261" s="15">
        <f>(IF(P261&gt;0,P261+R261,R261)-(X261*Ventas!AE260*0.925))</f>
        <v>65.722239014999985</v>
      </c>
      <c r="Z261" s="18">
        <f>(Y261/(Ventas!AE260*0.925)/60)</f>
        <v>8.3717531760817003</v>
      </c>
      <c r="AA261" s="15">
        <f>(120*(Ventas!AE260*1.485) - IF(Y261&gt;0,Y261,0))</f>
        <v>-40.515849014999986</v>
      </c>
      <c r="AB261" s="15">
        <v>0</v>
      </c>
      <c r="AC261" s="15">
        <f>IF(Y261&gt;0,Y261+IF(AB261&gt;0,AB261,0),AB261)</f>
        <v>65.722239014999985</v>
      </c>
      <c r="AD261" s="16">
        <v>7.2225999999999999</v>
      </c>
      <c r="AE261" s="8">
        <v>3025</v>
      </c>
      <c r="AF261" s="15">
        <f>(AC261-(60*Ventas!AE260*1.485))</f>
        <v>53.119044014999986</v>
      </c>
      <c r="AG261" s="18">
        <f>(AF261/(Ventas!AE260*1.485)/60)</f>
        <v>4.2147284093438202</v>
      </c>
      <c r="AH261" s="1" t="s">
        <v>35</v>
      </c>
      <c r="AI261">
        <f t="shared" si="3"/>
        <v>0</v>
      </c>
    </row>
    <row r="262" spans="1:35" x14ac:dyDescent="0.25">
      <c r="A262" s="1"/>
      <c r="B262" s="39" t="s">
        <v>218</v>
      </c>
      <c r="C262" s="14" t="s">
        <v>219</v>
      </c>
      <c r="D262" s="8">
        <v>78</v>
      </c>
      <c r="E262" s="12">
        <v>46238</v>
      </c>
      <c r="F262" s="7">
        <v>1</v>
      </c>
      <c r="G262" s="15">
        <f>(D262-(0)+0-(F262*Ventas!AE133*1))</f>
        <v>78</v>
      </c>
      <c r="H262" s="18" t="e">
        <f>(G262/(Ventas!AE133*1)/60)</f>
        <v>#DIV/0!</v>
      </c>
      <c r="I262" s="8">
        <v>0</v>
      </c>
      <c r="J262" s="15">
        <f>IF(G262&gt;0,G262+I262,I262)</f>
        <v>78</v>
      </c>
      <c r="K262" s="3"/>
      <c r="L262" s="3"/>
      <c r="M262" s="3"/>
      <c r="N262" s="12">
        <v>46275</v>
      </c>
      <c r="O262" s="7">
        <v>37</v>
      </c>
      <c r="P262" s="15">
        <f>(IF(G262&gt;0,G262+I262,I262)-(O262*Ventas!AE133*1))</f>
        <v>78</v>
      </c>
      <c r="Q262" s="18" t="e">
        <f>(P262/(Ventas!AE133*1)/60)</f>
        <v>#DIV/0!</v>
      </c>
      <c r="R262" s="8">
        <v>0</v>
      </c>
      <c r="S262" s="15">
        <f>IF(P262&gt;0,P262+R262,R262)</f>
        <v>78</v>
      </c>
      <c r="T262" s="3"/>
      <c r="U262" s="3"/>
      <c r="V262" s="3"/>
      <c r="W262" s="12">
        <v>46331</v>
      </c>
      <c r="X262" s="7">
        <v>56</v>
      </c>
      <c r="Y262" s="15">
        <f>(IF(P262&gt;0,P262+R262,R262)-(X262*Ventas!AE133*1))</f>
        <v>78</v>
      </c>
      <c r="Z262" s="18" t="e">
        <f>(Y262/(Ventas!AE133*1)/60)</f>
        <v>#DIV/0!</v>
      </c>
      <c r="AA262" s="15">
        <f>(120*(Ventas!AE133*1) - IF(Y262&gt;0,Y262,0))</f>
        <v>-78</v>
      </c>
      <c r="AB262" s="15">
        <v>0</v>
      </c>
      <c r="AC262" s="15">
        <f>IF(Y262&gt;0,Y262+IF(AB262&gt;0,AB262,0),AB262)</f>
        <v>78</v>
      </c>
      <c r="AD262" s="16">
        <v>0.59</v>
      </c>
      <c r="AE262" s="8">
        <v>3027</v>
      </c>
      <c r="AF262" s="15">
        <f>(AC262-(60*Ventas!AE133*1))</f>
        <v>78</v>
      </c>
      <c r="AG262" s="18" t="e">
        <f>(AF262/(Ventas!AE133*1)/60)</f>
        <v>#DIV/0!</v>
      </c>
      <c r="AH262" s="1" t="s">
        <v>32</v>
      </c>
      <c r="AI262">
        <f t="shared" ref="AI262:AI309" si="4">AD262*AB262</f>
        <v>0</v>
      </c>
    </row>
    <row r="263" spans="1:35" x14ac:dyDescent="0.25">
      <c r="A263" s="1"/>
      <c r="B263" s="1" t="s">
        <v>548</v>
      </c>
      <c r="C263" s="14" t="s">
        <v>549</v>
      </c>
      <c r="D263" s="8">
        <v>79</v>
      </c>
      <c r="E263" s="12">
        <v>46238</v>
      </c>
      <c r="F263" s="7">
        <v>1</v>
      </c>
      <c r="G263" s="15">
        <f>(D263-(0)+0-(F263*Ventas!AE48*1))</f>
        <v>78.739999999999995</v>
      </c>
      <c r="H263" s="18">
        <f>(G263/(Ventas!AE48*1)/60)</f>
        <v>5.0474358974358973</v>
      </c>
      <c r="I263" s="8">
        <v>0</v>
      </c>
      <c r="J263" s="15">
        <f>IF(G263&gt;0,G263+I263,I263)</f>
        <v>78.739999999999995</v>
      </c>
      <c r="K263" s="3"/>
      <c r="L263" s="15">
        <v>52</v>
      </c>
      <c r="M263" s="17">
        <v>5.7700000000000004E-4</v>
      </c>
      <c r="N263" s="12">
        <v>46275</v>
      </c>
      <c r="O263" s="7">
        <v>37</v>
      </c>
      <c r="P263" s="15">
        <f>(IF(G263&gt;0,G263+I263,I263)-(O263*Ventas!AE48*0.9189))</f>
        <v>69.900182000000001</v>
      </c>
      <c r="Q263" s="18">
        <f>(P263/(Ventas!AE48*0.9189)/60)</f>
        <v>4.8762443110631164</v>
      </c>
      <c r="R263" s="8">
        <v>0</v>
      </c>
      <c r="S263" s="15">
        <f>IF(P263&gt;0,P263+R263,R263)</f>
        <v>69.900182000000001</v>
      </c>
      <c r="T263" s="3"/>
      <c r="U263" s="15">
        <v>52</v>
      </c>
      <c r="V263" s="17">
        <v>5.7700000000000004E-4</v>
      </c>
      <c r="W263" s="12">
        <v>46331</v>
      </c>
      <c r="X263" s="7">
        <v>56</v>
      </c>
      <c r="Y263" s="15">
        <f>(IF(P263&gt;0,P263+R263,R263)-(X263*Ventas!AE48*0.925))</f>
        <v>56.432181999999997</v>
      </c>
      <c r="Z263" s="18">
        <f>(Y263/(Ventas!AE48*0.925)/60)</f>
        <v>3.9107541233541228</v>
      </c>
      <c r="AA263" s="15">
        <f>(120*(Ventas!AE48*1.485) - IF(Y263&gt;0,Y263,0))</f>
        <v>-10.10018199999999</v>
      </c>
      <c r="AB263" s="91">
        <v>104</v>
      </c>
      <c r="AC263" s="15">
        <f>IF(Y263&gt;0,Y263+IF(AB263&gt;0,AB263,0),AB263)</f>
        <v>160.43218200000001</v>
      </c>
      <c r="AD263" s="16">
        <v>1.18</v>
      </c>
      <c r="AE263" s="8">
        <v>3027</v>
      </c>
      <c r="AF263" s="15">
        <f>(AC263-(60*Ventas!AE48*1.485))</f>
        <v>137.26618200000001</v>
      </c>
      <c r="AG263" s="18">
        <f>(AF263/(Ventas!AE48*1.485)/60)</f>
        <v>5.9253294483294479</v>
      </c>
      <c r="AH263" s="1" t="s">
        <v>35</v>
      </c>
      <c r="AI263">
        <f t="shared" si="4"/>
        <v>122.72</v>
      </c>
    </row>
    <row r="264" spans="1:35" x14ac:dyDescent="0.25">
      <c r="A264" s="1"/>
      <c r="B264" s="1" t="s">
        <v>566</v>
      </c>
      <c r="C264" s="14" t="s">
        <v>567</v>
      </c>
      <c r="D264" s="8">
        <v>81</v>
      </c>
      <c r="E264" s="12">
        <v>46238</v>
      </c>
      <c r="F264" s="7">
        <v>1</v>
      </c>
      <c r="G264" s="15">
        <f>(D264-(0)+0-(F264*Ventas!AE252*1))</f>
        <v>80.3185</v>
      </c>
      <c r="H264" s="18">
        <f>(G264/(Ventas!AE252*1)/60)</f>
        <v>1.9642577647346537</v>
      </c>
      <c r="I264" s="8">
        <v>0</v>
      </c>
      <c r="J264" s="15">
        <f>IF(G264&gt;0,G264+I264,I264)</f>
        <v>80.3185</v>
      </c>
      <c r="K264" s="3"/>
      <c r="L264" s="15">
        <v>25</v>
      </c>
      <c r="M264" s="17">
        <v>1.2199999999999999E-3</v>
      </c>
      <c r="N264" s="12">
        <v>46275</v>
      </c>
      <c r="O264" s="7">
        <v>37</v>
      </c>
      <c r="P264" s="15">
        <f>(IF(G264&gt;0,G264+I264,I264)-(O264*Ventas!AE252*0.9189))</f>
        <v>57.147977049999994</v>
      </c>
      <c r="Q264" s="18">
        <f>(P264/(Ventas!AE252*0.9189)/60)</f>
        <v>1.5209519694576705</v>
      </c>
      <c r="R264" s="8">
        <v>0</v>
      </c>
      <c r="S264" s="15">
        <f>IF(P264&gt;0,P264+R264,R264)</f>
        <v>57.147977049999994</v>
      </c>
      <c r="T264" s="3"/>
      <c r="U264" s="15">
        <v>25</v>
      </c>
      <c r="V264" s="17">
        <v>1.2199999999999999E-3</v>
      </c>
      <c r="W264" s="12">
        <v>46331</v>
      </c>
      <c r="X264" s="7">
        <v>56</v>
      </c>
      <c r="Y264" s="15">
        <f>(IF(P264&gt;0,P264+R264,R264)-(X264*Ventas!AE252*0.925))</f>
        <v>21.846277049999983</v>
      </c>
      <c r="Z264" s="18">
        <f>(Y264/(Ventas!AE252*0.925)/60)</f>
        <v>0.57758857448791368</v>
      </c>
      <c r="AA264" s="15">
        <f>(120*(Ventas!AE252*1.485) - IF(Y264&gt;0,Y264,0))</f>
        <v>99.597022950000053</v>
      </c>
      <c r="AB264" s="89">
        <v>0</v>
      </c>
      <c r="AC264" s="15">
        <f>IF(Y264&gt;0,Y264+IF(AB264&gt;0,AB264,0),AB264)</f>
        <v>21.846277049999983</v>
      </c>
      <c r="AD264" s="16">
        <v>4.37</v>
      </c>
      <c r="AE264" s="8">
        <v>3010</v>
      </c>
      <c r="AF264" s="15">
        <f>(AC264-(60*Ventas!AE252*1.485))</f>
        <v>-38.875372950000035</v>
      </c>
      <c r="AG264" s="18">
        <f>(AF264/(Ventas!AE252*1.485)/60)</f>
        <v>-0.64022260511695628</v>
      </c>
      <c r="AH264" s="1" t="s">
        <v>35</v>
      </c>
      <c r="AI264">
        <f t="shared" si="4"/>
        <v>0</v>
      </c>
    </row>
    <row r="265" spans="1:35" x14ac:dyDescent="0.25">
      <c r="A265" s="1"/>
      <c r="B265" s="68" t="s">
        <v>562</v>
      </c>
      <c r="C265" s="14" t="s">
        <v>563</v>
      </c>
      <c r="D265" s="8">
        <v>87</v>
      </c>
      <c r="E265" s="12">
        <v>46238</v>
      </c>
      <c r="F265" s="7">
        <v>1</v>
      </c>
      <c r="G265" s="15">
        <f>(D265-(0)+0-(F265*Ventas!AE55*1))</f>
        <v>84.08</v>
      </c>
      <c r="H265" s="18">
        <f>(G265/(Ventas!AE55*1)/60)</f>
        <v>0.47990867579908675</v>
      </c>
      <c r="I265" s="8">
        <v>416</v>
      </c>
      <c r="J265" s="15">
        <f>IF(G265&gt;0,G265+I265,I265)</f>
        <v>500.08</v>
      </c>
      <c r="K265" s="15">
        <v>1.35</v>
      </c>
      <c r="L265" s="3">
        <v>52</v>
      </c>
      <c r="M265" s="3"/>
      <c r="N265" s="12">
        <v>46275</v>
      </c>
      <c r="O265" s="7">
        <v>37</v>
      </c>
      <c r="P265" s="15">
        <f>(IF(G265&gt;0,G265+I265,I265)-(O265*Ventas!AE55*0.9189))</f>
        <v>400.80204399999997</v>
      </c>
      <c r="Q265" s="18">
        <f>(P265/(Ventas!AE55*0.9189)/60)</f>
        <v>2.4895885292669266</v>
      </c>
      <c r="R265" s="8">
        <v>364</v>
      </c>
      <c r="S265" s="15">
        <f>IF(P265&gt;0,P265+R265,R265)</f>
        <v>764.80204400000002</v>
      </c>
      <c r="T265" s="15">
        <v>1.36</v>
      </c>
      <c r="U265" s="86">
        <v>52</v>
      </c>
      <c r="V265" s="3"/>
      <c r="W265" s="12">
        <v>46331</v>
      </c>
      <c r="X265" s="7">
        <v>56</v>
      </c>
      <c r="Y265" s="15">
        <f>(IF(P265&gt;0,P265+R265,R265)-(X265*Ventas!AE55*0.925))</f>
        <v>613.54604400000005</v>
      </c>
      <c r="Z265" s="18">
        <f>(Y265/(Ventas!AE55*0.925)/60)</f>
        <v>3.7859190670122178</v>
      </c>
      <c r="AA265" s="15">
        <f>(120*(Ventas!AE55*1.485) - IF(Y265&gt;0,Y265,0))</f>
        <v>-93.202044000000114</v>
      </c>
      <c r="AB265" s="15">
        <v>1560</v>
      </c>
      <c r="AC265" s="15">
        <f>IF(Y265&gt;0,Y265+IF(AB265&gt;0,AB265,0),AB265)</f>
        <v>2173.5460440000002</v>
      </c>
      <c r="AD265" s="16">
        <v>1.35</v>
      </c>
      <c r="AE265" s="8">
        <v>3025</v>
      </c>
      <c r="AF265" s="15">
        <f>(AC265-(60*Ventas!AE55*1.485))</f>
        <v>1913.3740440000001</v>
      </c>
      <c r="AG265" s="18">
        <f>(AF265/(Ventas!AE55*1.485)/60)</f>
        <v>7.3542658087726585</v>
      </c>
      <c r="AH265" s="1" t="s">
        <v>35</v>
      </c>
      <c r="AI265">
        <f t="shared" si="4"/>
        <v>2106</v>
      </c>
    </row>
    <row r="266" spans="1:35" x14ac:dyDescent="0.25">
      <c r="A266" s="1"/>
      <c r="B266" s="1" t="s">
        <v>142</v>
      </c>
      <c r="C266" s="14" t="s">
        <v>143</v>
      </c>
      <c r="D266" s="8">
        <v>86</v>
      </c>
      <c r="E266" s="12">
        <v>46238</v>
      </c>
      <c r="F266" s="7">
        <v>1</v>
      </c>
      <c r="G266" s="15">
        <f>(D266-(0)+0-(F266*Ventas!AE98*1))</f>
        <v>85.24678333333334</v>
      </c>
      <c r="H266" s="18">
        <f>(G266/(Ventas!AE98*1)/60)</f>
        <v>1.8862829051696797</v>
      </c>
      <c r="I266" s="8">
        <v>0</v>
      </c>
      <c r="J266" s="15">
        <f>IF(G266&gt;0,G266+I266,I266)</f>
        <v>85.24678333333334</v>
      </c>
      <c r="K266" s="3"/>
      <c r="L266" s="15">
        <v>80</v>
      </c>
      <c r="M266" s="17">
        <v>3.4000000000000002E-4</v>
      </c>
      <c r="N266" s="12">
        <v>46275</v>
      </c>
      <c r="O266" s="7">
        <v>37</v>
      </c>
      <c r="P266" s="15">
        <f>(IF(G266&gt;0,G266+I266,I266)-(O266*Ventas!AE98*1))</f>
        <v>57.377766666666673</v>
      </c>
      <c r="Q266" s="18">
        <f>(P266/(Ventas!AE98*1)/60)</f>
        <v>1.269616238503013</v>
      </c>
      <c r="R266" s="8">
        <v>0</v>
      </c>
      <c r="S266" s="15">
        <f>IF(P266&gt;0,P266+R266,R266)</f>
        <v>57.377766666666673</v>
      </c>
      <c r="T266" s="3"/>
      <c r="U266" s="15">
        <v>80</v>
      </c>
      <c r="V266" s="17">
        <v>3.4000000000000002E-4</v>
      </c>
      <c r="W266" s="12">
        <v>46331</v>
      </c>
      <c r="X266" s="7">
        <v>56</v>
      </c>
      <c r="Y266" s="15">
        <f>(IF(P266&gt;0,P266+R266,R266)-(X266*Ventas!AE98*1))</f>
        <v>15.197633333333336</v>
      </c>
      <c r="Z266" s="18">
        <f>(Y266/(Ventas!AE98*1)/60)</f>
        <v>0.33628290516967968</v>
      </c>
      <c r="AA266" s="15">
        <f>(120*(Ventas!AE98*1) - IF(Y266&gt;0,Y266,0))</f>
        <v>75.188366666666667</v>
      </c>
      <c r="AB266" s="89">
        <v>0</v>
      </c>
      <c r="AC266" s="15">
        <f>IF(Y266&gt;0,Y266+IF(AB266&gt;0,AB266,0),AB266)</f>
        <v>15.197633333333336</v>
      </c>
      <c r="AD266" s="16">
        <v>0.63</v>
      </c>
      <c r="AE266" s="8">
        <v>3027</v>
      </c>
      <c r="AF266" s="15">
        <f>(AC266-(60*Ventas!AE98*1))</f>
        <v>-29.995366666666669</v>
      </c>
      <c r="AG266" s="18">
        <f>(AF266/(Ventas!AE98*1)/60)</f>
        <v>-0.66371709483032026</v>
      </c>
      <c r="AH266" s="1" t="s">
        <v>32</v>
      </c>
      <c r="AI266">
        <f t="shared" si="4"/>
        <v>0</v>
      </c>
    </row>
    <row r="267" spans="1:35" x14ac:dyDescent="0.25">
      <c r="A267" s="1"/>
      <c r="B267" s="62" t="s">
        <v>152</v>
      </c>
      <c r="C267" s="14" t="s">
        <v>153</v>
      </c>
      <c r="D267" s="8">
        <v>87</v>
      </c>
      <c r="E267" s="12">
        <v>46238</v>
      </c>
      <c r="F267" s="7">
        <v>1</v>
      </c>
      <c r="G267" s="15">
        <f>(D267-(0)+0-(F267*Ventas!AE103*1))</f>
        <v>86.008733333333339</v>
      </c>
      <c r="H267" s="18">
        <f>(G267/(Ventas!AE103*1)/60)</f>
        <v>1.4461082341336564</v>
      </c>
      <c r="I267" s="8">
        <v>120</v>
      </c>
      <c r="J267" s="15">
        <f>IF(G267&gt;0,G267+I267,I267)</f>
        <v>206.00873333333334</v>
      </c>
      <c r="K267" s="15">
        <v>0.42</v>
      </c>
      <c r="L267" s="15">
        <v>120</v>
      </c>
      <c r="M267" s="17">
        <v>3.3100000000000002E-4</v>
      </c>
      <c r="N267" s="12">
        <v>46275</v>
      </c>
      <c r="O267" s="7">
        <v>37</v>
      </c>
      <c r="P267" s="15">
        <f>(IF(G267&gt;0,G267+I267,I267)-(O267*Ventas!AE103*1))</f>
        <v>169.33186666666668</v>
      </c>
      <c r="Q267" s="18">
        <f>(P267/(Ventas!AE103*1)/60)</f>
        <v>2.8470621202950213</v>
      </c>
      <c r="R267" s="8">
        <v>120</v>
      </c>
      <c r="S267" s="15">
        <f>IF(P267&gt;0,P267+R267,R267)</f>
        <v>289.33186666666666</v>
      </c>
      <c r="T267" s="15">
        <v>0.42</v>
      </c>
      <c r="U267" s="15">
        <v>120</v>
      </c>
      <c r="V267" s="17">
        <v>3.3100000000000002E-4</v>
      </c>
      <c r="W267" s="12">
        <v>46331</v>
      </c>
      <c r="X267" s="7">
        <v>56</v>
      </c>
      <c r="Y267" s="15">
        <f>(IF(P267&gt;0,P267+R267,R267)-(X267*Ventas!AE103*1))</f>
        <v>233.82093333333333</v>
      </c>
      <c r="Z267" s="18">
        <f>(Y267/(Ventas!AE103*1)/60)</f>
        <v>3.931349339789719</v>
      </c>
      <c r="AA267" s="15">
        <f>(120*(Ventas!AE103*1) - IF(Y267&gt;0,Y267,0))</f>
        <v>-114.86893333333333</v>
      </c>
      <c r="AB267" s="15">
        <v>0</v>
      </c>
      <c r="AC267" s="15">
        <f>IF(Y267&gt;0,Y267+IF(AB267&gt;0,AB267,0),AB267)</f>
        <v>233.82093333333333</v>
      </c>
      <c r="AD267" s="16">
        <v>0.42</v>
      </c>
      <c r="AE267" s="8">
        <v>3025</v>
      </c>
      <c r="AF267" s="15">
        <f>(AC267-(60*Ventas!AE103*1))</f>
        <v>174.34493333333333</v>
      </c>
      <c r="AG267" s="18">
        <f>(AF267/(Ventas!AE103*1)/60)</f>
        <v>2.931349339789719</v>
      </c>
      <c r="AH267" s="1" t="s">
        <v>35</v>
      </c>
      <c r="AI267">
        <f t="shared" si="4"/>
        <v>0</v>
      </c>
    </row>
    <row r="268" spans="1:35" x14ac:dyDescent="0.25">
      <c r="A268" s="1" t="s">
        <v>361</v>
      </c>
      <c r="B268" s="1" t="s">
        <v>362</v>
      </c>
      <c r="C268" s="14" t="s">
        <v>363</v>
      </c>
      <c r="D268" s="8">
        <v>87</v>
      </c>
      <c r="E268" s="12">
        <v>46238</v>
      </c>
      <c r="F268" s="7">
        <v>1</v>
      </c>
      <c r="G268" s="15">
        <f>(D268-(0)+0-(F268*Ventas!AE192*1))</f>
        <v>86.165683333333334</v>
      </c>
      <c r="H268" s="18">
        <f>(G268/(Ventas!AE192*1)/60)</f>
        <v>1.721282553253827</v>
      </c>
      <c r="I268" s="8">
        <v>0</v>
      </c>
      <c r="J268" s="15">
        <f>IF(G268&gt;0,G268+I268,I268)</f>
        <v>86.165683333333334</v>
      </c>
      <c r="K268" s="3"/>
      <c r="L268" s="15">
        <v>52</v>
      </c>
      <c r="M268" s="17">
        <v>6.4899999999999995E-4</v>
      </c>
      <c r="N268" s="12">
        <v>46275</v>
      </c>
      <c r="O268" s="7">
        <v>37</v>
      </c>
      <c r="P268" s="15">
        <f>(IF(G268&gt;0,G268+I268,I268)-(O268*Ventas!AE192*1))</f>
        <v>55.295966666666665</v>
      </c>
      <c r="Q268" s="18">
        <f>(P268/(Ventas!AE192*1)/60)</f>
        <v>1.1046158865871605</v>
      </c>
      <c r="R268" s="8">
        <v>0</v>
      </c>
      <c r="S268" s="15">
        <f>IF(P268&gt;0,P268+R268,R268)</f>
        <v>55.295966666666665</v>
      </c>
      <c r="T268" s="3"/>
      <c r="U268" s="15">
        <v>52</v>
      </c>
      <c r="V268" s="17">
        <v>6.4899999999999995E-4</v>
      </c>
      <c r="W268" s="12">
        <v>46331</v>
      </c>
      <c r="X268" s="7">
        <v>56</v>
      </c>
      <c r="Y268" s="15">
        <f>(IF(P268&gt;0,P268+R268,R268)-(X268*Ventas!AE192*1))</f>
        <v>8.574233333333332</v>
      </c>
      <c r="Z268" s="18">
        <f>(Y268/(Ventas!AE192*1)/60)</f>
        <v>0.1712825532538271</v>
      </c>
      <c r="AA268" s="15">
        <f>(120*(Ventas!AE192*1) - IF(Y268&gt;0,Y268,0))</f>
        <v>91.54376666666667</v>
      </c>
      <c r="AB268" s="15">
        <v>104</v>
      </c>
      <c r="AC268" s="15">
        <f>IF(Y268&gt;0,Y268+IF(AB268&gt;0,AB268,0),AB268)</f>
        <v>112.57423333333332</v>
      </c>
      <c r="AD268" s="16">
        <v>1.48</v>
      </c>
      <c r="AE268" s="8">
        <v>3027</v>
      </c>
      <c r="AF268" s="15">
        <f>(AC268-(60*Ventas!AE192*1))</f>
        <v>62.51523333333332</v>
      </c>
      <c r="AG268" s="18">
        <f>(AF268/(Ventas!AE192*1)/60)</f>
        <v>1.2488310460323482</v>
      </c>
      <c r="AH268" s="1" t="s">
        <v>35</v>
      </c>
      <c r="AI268">
        <f t="shared" si="4"/>
        <v>153.91999999999999</v>
      </c>
    </row>
    <row r="269" spans="1:35" x14ac:dyDescent="0.25">
      <c r="A269" s="1"/>
      <c r="B269" s="1" t="s">
        <v>556</v>
      </c>
      <c r="C269" s="14" t="s">
        <v>557</v>
      </c>
      <c r="D269" s="8">
        <v>90</v>
      </c>
      <c r="E269" s="12">
        <v>46238</v>
      </c>
      <c r="F269" s="7">
        <v>1</v>
      </c>
      <c r="G269" s="15">
        <f>(D269-(0)+0-(F269*Ventas!AE52*1))</f>
        <v>89.310216666666662</v>
      </c>
      <c r="H269" s="18">
        <f>(G269/(Ventas!AE52*1)/60)</f>
        <v>2.157929220930888</v>
      </c>
      <c r="I269" s="8">
        <v>120</v>
      </c>
      <c r="J269" s="15">
        <f>IF(G269&gt;0,G269+I269,I269)</f>
        <v>209.31021666666666</v>
      </c>
      <c r="K269" s="15">
        <v>0.56999999999999995</v>
      </c>
      <c r="L269" s="15">
        <v>120</v>
      </c>
      <c r="M269" s="17">
        <v>7.67E-4</v>
      </c>
      <c r="N269" s="12">
        <v>46275</v>
      </c>
      <c r="O269" s="7">
        <v>37</v>
      </c>
      <c r="P269" s="15">
        <f>(IF(G269&gt;0,G269+I269,I269)-(O269*Ventas!AE52*0.9189))</f>
        <v>185.85806618166666</v>
      </c>
      <c r="Q269" s="18">
        <f>(P269/(Ventas!AE52*0.9189)/60)</f>
        <v>4.8870773799045537</v>
      </c>
      <c r="R269" s="8">
        <v>0</v>
      </c>
      <c r="S269" s="15">
        <f>IF(P269&gt;0,P269+R269,R269)</f>
        <v>185.85806618166666</v>
      </c>
      <c r="T269" s="3"/>
      <c r="U269" s="15">
        <v>120</v>
      </c>
      <c r="V269" s="17">
        <v>7.67E-4</v>
      </c>
      <c r="W269" s="12">
        <v>46331</v>
      </c>
      <c r="X269" s="7">
        <v>56</v>
      </c>
      <c r="Y269" s="15">
        <f>(IF(P269&gt;0,P269+R269,R269)-(X269*Ventas!AE52*0.925))</f>
        <v>150.127289515</v>
      </c>
      <c r="Z269" s="18">
        <f>(Y269/(Ventas!AE52*0.925)/60)</f>
        <v>3.9215157524983359</v>
      </c>
      <c r="AA269" s="15">
        <f>(120*(Ventas!AE52*1.485) - IF(Y269&gt;0,Y269,0))</f>
        <v>-27.207899515000008</v>
      </c>
      <c r="AB269" s="15">
        <v>0</v>
      </c>
      <c r="AC269" s="15">
        <f>IF(Y269&gt;0,Y269+IF(AB269&gt;0,AB269,0),AB269)</f>
        <v>150.127289515</v>
      </c>
      <c r="AD269" s="16">
        <v>0.56999999999999995</v>
      </c>
      <c r="AE269" s="8">
        <v>3025</v>
      </c>
      <c r="AF269" s="15">
        <f>(AC269-(60*Ventas!AE52*1.485))</f>
        <v>88.66759451499999</v>
      </c>
      <c r="AG269" s="18">
        <f>(AF269/(Ventas!AE52*1.485)/60)</f>
        <v>1.4426949973474485</v>
      </c>
      <c r="AH269" s="1" t="s">
        <v>32</v>
      </c>
      <c r="AI269">
        <f t="shared" si="4"/>
        <v>0</v>
      </c>
    </row>
    <row r="270" spans="1:35" x14ac:dyDescent="0.25">
      <c r="A270" s="1"/>
      <c r="B270" s="1" t="s">
        <v>550</v>
      </c>
      <c r="C270" s="14" t="s">
        <v>551</v>
      </c>
      <c r="D270" s="8">
        <v>92</v>
      </c>
      <c r="E270" s="12">
        <v>46238</v>
      </c>
      <c r="F270" s="7">
        <v>1</v>
      </c>
      <c r="G270" s="15">
        <f>(D270-(0)+0-(F270*Ventas!AE49*1))</f>
        <v>91.48</v>
      </c>
      <c r="H270" s="18">
        <f>(G270/(Ventas!AE49*1)/60)</f>
        <v>2.9320512820512823</v>
      </c>
      <c r="I270" s="8">
        <v>0</v>
      </c>
      <c r="J270" s="15">
        <f>IF(G270&gt;0,G270+I270,I270)</f>
        <v>91.48</v>
      </c>
      <c r="K270" s="3"/>
      <c r="L270" s="15">
        <v>52</v>
      </c>
      <c r="M270" s="17">
        <v>5.7700000000000004E-4</v>
      </c>
      <c r="N270" s="12">
        <v>46275</v>
      </c>
      <c r="O270" s="7">
        <v>37</v>
      </c>
      <c r="P270" s="15">
        <f>(IF(G270&gt;0,G270+I270,I270)-(O270*Ventas!AE49*0.9189))</f>
        <v>73.800364000000002</v>
      </c>
      <c r="Q270" s="18">
        <f>(P270/(Ventas!AE49*0.9189)/60)</f>
        <v>2.5741607161293745</v>
      </c>
      <c r="R270" s="8">
        <v>0</v>
      </c>
      <c r="S270" s="15">
        <f>IF(P270&gt;0,P270+R270,R270)</f>
        <v>73.800364000000002</v>
      </c>
      <c r="T270" s="3"/>
      <c r="U270" s="15">
        <v>52</v>
      </c>
      <c r="V270" s="17">
        <v>5.7700000000000004E-4</v>
      </c>
      <c r="W270" s="12">
        <v>46331</v>
      </c>
      <c r="X270" s="7">
        <v>56</v>
      </c>
      <c r="Y270" s="15">
        <f>(IF(P270&gt;0,P270+R270,R270)-(X270*Ventas!AE49*0.925))</f>
        <v>46.864363999999995</v>
      </c>
      <c r="Z270" s="18">
        <f>(Y270/(Ventas!AE49*0.925)/60)</f>
        <v>1.6238518364518362</v>
      </c>
      <c r="AA270" s="15">
        <f>(120*(Ventas!AE49*1.485) - IF(Y270&gt;0,Y270,0))</f>
        <v>45.799636000000021</v>
      </c>
      <c r="AB270" s="15">
        <v>52</v>
      </c>
      <c r="AC270" s="15">
        <f>IF(Y270&gt;0,Y270+IF(AB270&gt;0,AB270,0),AB270)</f>
        <v>98.864363999999995</v>
      </c>
      <c r="AD270" s="16">
        <v>1.1499999999999999</v>
      </c>
      <c r="AE270" s="8">
        <v>3027</v>
      </c>
      <c r="AF270" s="15">
        <f>(AC270-(60*Ventas!AE49*1.485))</f>
        <v>52.532363999999987</v>
      </c>
      <c r="AG270" s="18">
        <f>(AF270/(Ventas!AE49*1.485)/60)</f>
        <v>1.1338246568246564</v>
      </c>
      <c r="AH270" s="1" t="s">
        <v>35</v>
      </c>
      <c r="AI270">
        <f t="shared" si="4"/>
        <v>59.8</v>
      </c>
    </row>
    <row r="271" spans="1:35" x14ac:dyDescent="0.25">
      <c r="A271" s="1"/>
      <c r="B271" s="1" t="s">
        <v>170</v>
      </c>
      <c r="C271" s="14" t="s">
        <v>171</v>
      </c>
      <c r="D271" s="8">
        <v>95</v>
      </c>
      <c r="E271" s="12">
        <v>46238</v>
      </c>
      <c r="F271" s="7">
        <v>1</v>
      </c>
      <c r="G271" s="15">
        <f>(D271-(0)+0-(F271*Ventas!AE109*1))</f>
        <v>94.08</v>
      </c>
      <c r="H271" s="18">
        <f>(G271/(Ventas!AE109*1)/60)</f>
        <v>1.7043478260869565</v>
      </c>
      <c r="I271" s="8">
        <v>0</v>
      </c>
      <c r="J271" s="15">
        <f>IF(G271&gt;0,G271+I271,I271)</f>
        <v>94.08</v>
      </c>
      <c r="K271" s="3"/>
      <c r="L271" s="15">
        <v>90</v>
      </c>
      <c r="M271" s="17">
        <v>3.39E-4</v>
      </c>
      <c r="N271" s="12">
        <v>46275</v>
      </c>
      <c r="O271" s="7">
        <v>37</v>
      </c>
      <c r="P271" s="15">
        <f>(IF(G271&gt;0,G271+I271,I271)-(O271*Ventas!AE109*1))</f>
        <v>60.04</v>
      </c>
      <c r="Q271" s="18">
        <f>(P271/(Ventas!AE109*1)/60)</f>
        <v>1.0876811594202898</v>
      </c>
      <c r="R271" s="8">
        <v>0</v>
      </c>
      <c r="S271" s="15">
        <f>IF(P271&gt;0,P271+R271,R271)</f>
        <v>60.04</v>
      </c>
      <c r="T271" s="3"/>
      <c r="U271" s="15">
        <v>90</v>
      </c>
      <c r="V271" s="17">
        <v>3.39E-4</v>
      </c>
      <c r="W271" s="12">
        <v>46331</v>
      </c>
      <c r="X271" s="7">
        <v>56</v>
      </c>
      <c r="Y271" s="15">
        <f>(IF(P271&gt;0,P271+R271,R271)-(X271*Ventas!AE109*1))</f>
        <v>8.519999999999996</v>
      </c>
      <c r="Z271" s="18">
        <f>(Y271/(Ventas!AE109*1)/60)</f>
        <v>0.15434782608695646</v>
      </c>
      <c r="AA271" s="15">
        <f>(120*(Ventas!AE109*1) - IF(Y271&gt;0,Y271,0))</f>
        <v>101.88000000000001</v>
      </c>
      <c r="AB271" s="15">
        <v>180</v>
      </c>
      <c r="AC271" s="15">
        <f>IF(Y271&gt;0,Y271+IF(AB271&gt;0,AB271,0),AB271)</f>
        <v>188.51999999999998</v>
      </c>
      <c r="AD271" s="16">
        <v>1.41</v>
      </c>
      <c r="AE271" s="8">
        <v>3027</v>
      </c>
      <c r="AF271" s="15">
        <f>(AC271-(60*Ventas!AE109*1))</f>
        <v>133.32</v>
      </c>
      <c r="AG271" s="18">
        <f>(AF271/(Ventas!AE109*1)/60)</f>
        <v>2.4152173913043473</v>
      </c>
      <c r="AH271" s="1" t="s">
        <v>35</v>
      </c>
      <c r="AI271">
        <f t="shared" si="4"/>
        <v>253.79999999999998</v>
      </c>
    </row>
    <row r="272" spans="1:35" x14ac:dyDescent="0.25">
      <c r="A272" s="1"/>
      <c r="B272" s="1" t="s">
        <v>108</v>
      </c>
      <c r="C272" s="14" t="s">
        <v>109</v>
      </c>
      <c r="D272" s="8">
        <v>104</v>
      </c>
      <c r="E272" s="12">
        <v>46238</v>
      </c>
      <c r="F272" s="7">
        <v>1</v>
      </c>
      <c r="G272" s="15">
        <f>(D272-(0)+0-(F272*Ventas!AE81*1))</f>
        <v>103.60429999999999</v>
      </c>
      <c r="H272" s="18">
        <f>(G272/(Ventas!AE81*1)/60)</f>
        <v>4.3637562126189868</v>
      </c>
      <c r="I272" s="8">
        <v>0</v>
      </c>
      <c r="J272" s="15">
        <f>IF(G272&gt;0,G272+I272,I272)</f>
        <v>103.60429999999999</v>
      </c>
      <c r="K272" s="3"/>
      <c r="L272" s="15">
        <v>60</v>
      </c>
      <c r="M272" s="17">
        <v>4.7199999999999998E-4</v>
      </c>
      <c r="N272" s="12">
        <v>46275</v>
      </c>
      <c r="O272" s="7">
        <v>37</v>
      </c>
      <c r="P272" s="15">
        <f>(IF(G272&gt;0,G272+I272,I272)-(O272*Ventas!AE81*1))</f>
        <v>88.963399999999993</v>
      </c>
      <c r="Q272" s="18">
        <f>(P272/(Ventas!AE81*1)/60)</f>
        <v>3.7470895459523206</v>
      </c>
      <c r="R272" s="8">
        <v>0</v>
      </c>
      <c r="S272" s="15">
        <f>IF(P272&gt;0,P272+R272,R272)</f>
        <v>88.963399999999993</v>
      </c>
      <c r="T272" s="3"/>
      <c r="U272" s="15">
        <v>60</v>
      </c>
      <c r="V272" s="17">
        <v>4.7199999999999998E-4</v>
      </c>
      <c r="W272" s="12">
        <v>46331</v>
      </c>
      <c r="X272" s="7">
        <v>56</v>
      </c>
      <c r="Y272" s="15">
        <f>(IF(P272&gt;0,P272+R272,R272)-(X272*Ventas!AE81*1))</f>
        <v>66.804199999999994</v>
      </c>
      <c r="Z272" s="18">
        <f>(Y272/(Ventas!AE81*1)/60)</f>
        <v>2.8137562126189875</v>
      </c>
      <c r="AA272" s="15">
        <f>(120*(Ventas!AE81*1) - IF(Y272&gt;0,Y272,0))</f>
        <v>-19.320199999999993</v>
      </c>
      <c r="AB272" s="15">
        <v>0</v>
      </c>
      <c r="AC272" s="15">
        <f>IF(Y272&gt;0,Y272+IF(AB272&gt;0,AB272,0),AB272)</f>
        <v>66.804199999999994</v>
      </c>
      <c r="AD272" s="16">
        <v>0.54</v>
      </c>
      <c r="AE272" s="8">
        <v>3025</v>
      </c>
      <c r="AF272" s="15">
        <f>(AC272-(60*Ventas!AE81*1))</f>
        <v>43.06219999999999</v>
      </c>
      <c r="AG272" s="18">
        <f>(AF272/(Ventas!AE81*1)/60)</f>
        <v>1.813756212618987</v>
      </c>
      <c r="AH272" s="1" t="s">
        <v>32</v>
      </c>
      <c r="AI272">
        <f t="shared" si="4"/>
        <v>0</v>
      </c>
    </row>
    <row r="273" spans="1:35" x14ac:dyDescent="0.25">
      <c r="A273" s="1"/>
      <c r="B273" s="1" t="s">
        <v>596</v>
      </c>
      <c r="C273" s="14" t="s">
        <v>597</v>
      </c>
      <c r="D273" s="8">
        <v>113</v>
      </c>
      <c r="E273" s="12">
        <v>46238</v>
      </c>
      <c r="F273" s="7">
        <v>1</v>
      </c>
      <c r="G273" s="15">
        <f>(D273-(0)+0-(F273*Ventas!AE266*1))</f>
        <v>112.54615</v>
      </c>
      <c r="H273" s="18">
        <f>(G273/(Ventas!AE266*1)/60)</f>
        <v>4.1330156806580733</v>
      </c>
      <c r="I273" s="8">
        <v>0</v>
      </c>
      <c r="J273" s="15">
        <f>IF(G273&gt;0,G273+I273,I273)</f>
        <v>112.54615</v>
      </c>
      <c r="K273" s="3"/>
      <c r="L273" s="15">
        <v>44</v>
      </c>
      <c r="M273" s="17">
        <v>7.7300000000000003E-4</v>
      </c>
      <c r="N273" s="12">
        <v>46275</v>
      </c>
      <c r="O273" s="7">
        <v>37</v>
      </c>
      <c r="P273" s="15">
        <f>(IF(G273&gt;0,G273+I273,I273)-(O273*Ventas!AE266*0.9189))</f>
        <v>97.115567694999996</v>
      </c>
      <c r="Q273" s="18">
        <f>(P273/(Ventas!AE266*0.9189)/60)</f>
        <v>3.8811194696463955</v>
      </c>
      <c r="R273" s="8">
        <v>0</v>
      </c>
      <c r="S273" s="15">
        <f>IF(P273&gt;0,P273+R273,R273)</f>
        <v>97.115567694999996</v>
      </c>
      <c r="T273" s="3"/>
      <c r="U273" s="15">
        <v>44</v>
      </c>
      <c r="V273" s="17">
        <v>7.7300000000000003E-4</v>
      </c>
      <c r="W273" s="12">
        <v>46331</v>
      </c>
      <c r="X273" s="7">
        <v>56</v>
      </c>
      <c r="Y273" s="15">
        <f>(IF(P273&gt;0,P273+R273,R273)-(X273*Ventas!AE266*0.925))</f>
        <v>73.606137695000001</v>
      </c>
      <c r="Z273" s="18">
        <f>(Y273/(Ventas!AE266*0.925)/60)</f>
        <v>2.9221917268375566</v>
      </c>
      <c r="AA273" s="15">
        <f>(120*(Ventas!AE266*1.485) - IF(Y273&gt;0,Y273,0))</f>
        <v>7.2699323050000118</v>
      </c>
      <c r="AB273" s="15">
        <v>0</v>
      </c>
      <c r="AC273" s="15">
        <f>IF(Y273&gt;0,Y273+IF(AB273&gt;0,AB273,0),AB273)</f>
        <v>73.606137695000001</v>
      </c>
      <c r="AD273" s="16">
        <v>3.5423</v>
      </c>
      <c r="AE273" s="8">
        <v>3010</v>
      </c>
      <c r="AF273" s="15">
        <f>(AC273-(60*Ventas!AE266*1.485))</f>
        <v>33.168102694999995</v>
      </c>
      <c r="AG273" s="18">
        <f>(AF273/(Ventas!AE266*1.485)/60)</f>
        <v>0.82022043590891558</v>
      </c>
      <c r="AH273" s="1" t="s">
        <v>35</v>
      </c>
      <c r="AI273">
        <f t="shared" si="4"/>
        <v>0</v>
      </c>
    </row>
    <row r="274" spans="1:35" x14ac:dyDescent="0.25">
      <c r="A274" s="1"/>
      <c r="B274" s="1" t="s">
        <v>112</v>
      </c>
      <c r="C274" s="14" t="s">
        <v>113</v>
      </c>
      <c r="D274" s="8">
        <v>119</v>
      </c>
      <c r="E274" s="12">
        <v>46238</v>
      </c>
      <c r="F274" s="7">
        <v>1</v>
      </c>
      <c r="G274" s="15">
        <f>(D274-(0)+0-(F274*Ventas!AE83*1))</f>
        <v>118.19826666666667</v>
      </c>
      <c r="H274" s="18">
        <f>(G274/(Ventas!AE83*1)/60)</f>
        <v>2.4571400853705865</v>
      </c>
      <c r="I274" s="8">
        <v>0</v>
      </c>
      <c r="J274" s="15">
        <f>IF(G274&gt;0,G274+I274,I274)</f>
        <v>118.19826666666667</v>
      </c>
      <c r="K274" s="3"/>
      <c r="L274" s="15">
        <v>84</v>
      </c>
      <c r="M274" s="17">
        <v>4.0200000000000001E-4</v>
      </c>
      <c r="N274" s="12">
        <v>46275</v>
      </c>
      <c r="O274" s="7">
        <v>37</v>
      </c>
      <c r="P274" s="15">
        <f>(IF(G274&gt;0,G274+I274,I274)-(O274*Ventas!AE83*1))</f>
        <v>88.53413333333333</v>
      </c>
      <c r="Q274" s="18">
        <f>(P274/(Ventas!AE83*1)/60)</f>
        <v>1.8404734187039193</v>
      </c>
      <c r="R274" s="8">
        <v>0</v>
      </c>
      <c r="S274" s="15">
        <f>IF(P274&gt;0,P274+R274,R274)</f>
        <v>88.53413333333333</v>
      </c>
      <c r="T274" s="3"/>
      <c r="U274" s="15">
        <v>84</v>
      </c>
      <c r="V274" s="17">
        <v>4.0200000000000001E-4</v>
      </c>
      <c r="W274" s="12">
        <v>46331</v>
      </c>
      <c r="X274" s="7">
        <v>56</v>
      </c>
      <c r="Y274" s="15">
        <f>(IF(P274&gt;0,P274+R274,R274)-(X274*Ventas!AE83*1))</f>
        <v>43.637066666666662</v>
      </c>
      <c r="Z274" s="18">
        <f>(Y274/(Ventas!AE83*1)/60)</f>
        <v>0.90714008537058588</v>
      </c>
      <c r="AA274" s="15">
        <f>(120*(Ventas!AE83*1) - IF(Y274&gt;0,Y274,0))</f>
        <v>52.570933333333336</v>
      </c>
      <c r="AB274" s="15">
        <v>84</v>
      </c>
      <c r="AC274" s="15">
        <f>IF(Y274&gt;0,Y274+IF(AB274&gt;0,AB274,0),AB274)</f>
        <v>127.63706666666667</v>
      </c>
      <c r="AD274" s="16">
        <v>1.33</v>
      </c>
      <c r="AE274" s="8">
        <v>3027</v>
      </c>
      <c r="AF274" s="15">
        <f>(AC274-(60*Ventas!AE83*1))</f>
        <v>79.53306666666667</v>
      </c>
      <c r="AG274" s="18">
        <f>(AF274/(Ventas!AE83*1)/60)</f>
        <v>1.6533566162204114</v>
      </c>
      <c r="AH274" s="1" t="s">
        <v>35</v>
      </c>
      <c r="AI274">
        <f t="shared" si="4"/>
        <v>111.72</v>
      </c>
    </row>
    <row r="275" spans="1:35" x14ac:dyDescent="0.25">
      <c r="A275" s="1"/>
      <c r="B275" s="1" t="s">
        <v>60</v>
      </c>
      <c r="C275" s="14" t="s">
        <v>61</v>
      </c>
      <c r="D275" s="8">
        <v>119</v>
      </c>
      <c r="E275" s="12">
        <v>46238</v>
      </c>
      <c r="F275" s="7">
        <v>1</v>
      </c>
      <c r="G275" s="15">
        <f>(D275-(0)+0-(F275*Ventas!AE57*1))</f>
        <v>118.93255000000001</v>
      </c>
      <c r="H275" s="18">
        <f>(G275/(Ventas!AE57*1)/60)</f>
        <v>29.387830491722266</v>
      </c>
      <c r="I275" s="8">
        <v>0</v>
      </c>
      <c r="J275" s="15">
        <f>IF(G275&gt;0,G275+I275,I275)</f>
        <v>118.93255000000001</v>
      </c>
      <c r="K275" s="3"/>
      <c r="L275" s="15">
        <v>84</v>
      </c>
      <c r="M275" s="17">
        <v>4.0200000000000001E-4</v>
      </c>
      <c r="N275" s="12">
        <v>46275</v>
      </c>
      <c r="O275" s="7">
        <v>37</v>
      </c>
      <c r="P275" s="15">
        <f>(IF(G275&gt;0,G275+I275,I275)-(O275*Ventas!AE57*1))</f>
        <v>116.43690000000001</v>
      </c>
      <c r="Q275" s="18">
        <f>(P275/(Ventas!AE57*1)/60)</f>
        <v>28.771163825055602</v>
      </c>
      <c r="R275" s="8">
        <v>0</v>
      </c>
      <c r="S275" s="15">
        <f>IF(P275&gt;0,P275+R275,R275)</f>
        <v>116.43690000000001</v>
      </c>
      <c r="T275" s="3"/>
      <c r="U275" s="15">
        <v>84</v>
      </c>
      <c r="V275" s="17">
        <v>4.0200000000000001E-4</v>
      </c>
      <c r="W275" s="12">
        <v>46331</v>
      </c>
      <c r="X275" s="7">
        <v>56</v>
      </c>
      <c r="Y275" s="15">
        <f>(IF(P275&gt;0,P275+R275,R275)-(X275*Ventas!AE57*1))</f>
        <v>112.65970000000002</v>
      </c>
      <c r="Z275" s="18">
        <f>(Y275/(Ventas!AE57*1)/60)</f>
        <v>27.837830491722269</v>
      </c>
      <c r="AA275" s="15">
        <f>(120*(Ventas!AE57*1) - IF(Y275&gt;0,Y275,0))</f>
        <v>-104.56570000000002</v>
      </c>
      <c r="AB275" s="15">
        <v>0</v>
      </c>
      <c r="AC275" s="15">
        <f>IF(Y275&gt;0,Y275+IF(AB275&gt;0,AB275,0),AB275)</f>
        <v>112.65970000000002</v>
      </c>
      <c r="AD275" s="16">
        <v>0.96040000000000003</v>
      </c>
      <c r="AE275" s="8">
        <v>3025</v>
      </c>
      <c r="AF275" s="15">
        <f>(AC275-(60*Ventas!AE57*1))</f>
        <v>108.61270000000002</v>
      </c>
      <c r="AG275" s="18">
        <f>(AF275/(Ventas!AE57*1)/60)</f>
        <v>26.837830491722272</v>
      </c>
      <c r="AH275" s="1" t="s">
        <v>32</v>
      </c>
      <c r="AI275">
        <f t="shared" si="4"/>
        <v>0</v>
      </c>
    </row>
    <row r="276" spans="1:35" x14ac:dyDescent="0.25">
      <c r="A276" s="1" t="s">
        <v>349</v>
      </c>
      <c r="B276" s="1" t="s">
        <v>376</v>
      </c>
      <c r="C276" s="14" t="s">
        <v>377</v>
      </c>
      <c r="D276" s="8">
        <v>133</v>
      </c>
      <c r="E276" s="12">
        <v>46238</v>
      </c>
      <c r="F276" s="7">
        <v>1</v>
      </c>
      <c r="G276" s="15">
        <f>(D276-(0)+0-(F276*Ventas!AE198*1))</f>
        <v>132.34</v>
      </c>
      <c r="H276" s="18">
        <f>(G276/(Ventas!AE198*1)/60)</f>
        <v>3.3419191919191915</v>
      </c>
      <c r="I276" s="8">
        <v>0</v>
      </c>
      <c r="J276" s="15">
        <f>IF(G276&gt;0,G276+I276,I276)</f>
        <v>132.34</v>
      </c>
      <c r="K276" s="3"/>
      <c r="L276" s="15">
        <v>52</v>
      </c>
      <c r="M276" s="17">
        <v>6.4899999999999995E-4</v>
      </c>
      <c r="N276" s="12">
        <v>46275</v>
      </c>
      <c r="O276" s="7">
        <v>37</v>
      </c>
      <c r="P276" s="15">
        <f>(IF(G276&gt;0,G276+I276,I276)-(O276*Ventas!AE198*1))</f>
        <v>107.92</v>
      </c>
      <c r="Q276" s="18">
        <f>(P276/(Ventas!AE198*1)/60)</f>
        <v>2.7252525252525248</v>
      </c>
      <c r="R276" s="8">
        <v>0</v>
      </c>
      <c r="S276" s="15">
        <f>IF(P276&gt;0,P276+R276,R276)</f>
        <v>107.92</v>
      </c>
      <c r="T276" s="3"/>
      <c r="U276" s="15">
        <v>52</v>
      </c>
      <c r="V276" s="17">
        <v>6.4899999999999995E-4</v>
      </c>
      <c r="W276" s="12">
        <v>46331</v>
      </c>
      <c r="X276" s="7">
        <v>56</v>
      </c>
      <c r="Y276" s="15">
        <f>(IF(P276&gt;0,P276+R276,R276)-(X276*Ventas!AE198*1))</f>
        <v>70.960000000000008</v>
      </c>
      <c r="Z276" s="18">
        <f>(Y276/(Ventas!AE198*1)/60)</f>
        <v>1.7919191919191919</v>
      </c>
      <c r="AA276" s="15">
        <f>(120*(Ventas!AE198*1) - IF(Y276&gt;0,Y276,0))</f>
        <v>8.2399999999999949</v>
      </c>
      <c r="AB276" s="15">
        <v>0</v>
      </c>
      <c r="AC276" s="15">
        <f>IF(Y276&gt;0,Y276+IF(AB276&gt;0,AB276,0),AB276)</f>
        <v>70.960000000000008</v>
      </c>
      <c r="AD276" s="16">
        <v>1.2</v>
      </c>
      <c r="AE276" s="8">
        <v>3010</v>
      </c>
      <c r="AF276" s="15">
        <f>(AC276-(60*Ventas!AE198*1))</f>
        <v>31.360000000000007</v>
      </c>
      <c r="AG276" s="18">
        <f>(AF276/(Ventas!AE198*1)/60)</f>
        <v>0.79191919191919202</v>
      </c>
      <c r="AH276" s="1" t="s">
        <v>32</v>
      </c>
      <c r="AI276">
        <f t="shared" si="4"/>
        <v>0</v>
      </c>
    </row>
    <row r="277" spans="1:35" x14ac:dyDescent="0.25">
      <c r="A277" s="1"/>
      <c r="B277" s="1" t="s">
        <v>134</v>
      </c>
      <c r="C277" s="14" t="s">
        <v>135</v>
      </c>
      <c r="D277" s="8">
        <v>137</v>
      </c>
      <c r="E277" s="12">
        <v>46238</v>
      </c>
      <c r="F277" s="7">
        <v>1</v>
      </c>
      <c r="G277" s="15">
        <f>(D277-(0)+0-(F277*Ventas!AE94*1))</f>
        <v>135.47728333333333</v>
      </c>
      <c r="H277" s="18">
        <f>(G277/(Ventas!AE94*1)/60)</f>
        <v>1.4828462652642027</v>
      </c>
      <c r="I277" s="8">
        <v>120</v>
      </c>
      <c r="J277" s="15">
        <f>IF(G277&gt;0,G277+I277,I277)</f>
        <v>255.47728333333333</v>
      </c>
      <c r="K277" s="15">
        <v>0.42</v>
      </c>
      <c r="L277" s="15">
        <v>120</v>
      </c>
      <c r="M277" s="17">
        <v>2.81E-4</v>
      </c>
      <c r="N277" s="12">
        <v>46275</v>
      </c>
      <c r="O277" s="7">
        <v>37</v>
      </c>
      <c r="P277" s="15">
        <f>(IF(G277&gt;0,G277+I277,I277)-(O277*Ventas!AE94*1))</f>
        <v>199.13676666666669</v>
      </c>
      <c r="Q277" s="18">
        <f>(P277/(Ventas!AE94*1)/60)</f>
        <v>2.1796215827705603</v>
      </c>
      <c r="R277" s="8">
        <v>0</v>
      </c>
      <c r="S277" s="15">
        <f>IF(P277&gt;0,P277+R277,R277)</f>
        <v>199.13676666666669</v>
      </c>
      <c r="T277" s="3"/>
      <c r="U277" s="15">
        <v>120</v>
      </c>
      <c r="V277" s="17">
        <v>2.81E-4</v>
      </c>
      <c r="W277" s="12">
        <v>46331</v>
      </c>
      <c r="X277" s="7">
        <v>56</v>
      </c>
      <c r="Y277" s="15">
        <f>(IF(P277&gt;0,P277+R277,R277)-(X277*Ventas!AE94*1))</f>
        <v>113.86463333333336</v>
      </c>
      <c r="Z277" s="18">
        <f>(Y277/(Ventas!AE94*1)/60)</f>
        <v>1.2462882494372272</v>
      </c>
      <c r="AA277" s="15">
        <f>(120*(Ventas!AE94*1) - IF(Y277&gt;0,Y277,0))</f>
        <v>68.861366666666612</v>
      </c>
      <c r="AB277" s="89">
        <v>0</v>
      </c>
      <c r="AC277" s="15">
        <f>IF(Y277&gt;0,Y277+IF(AB277&gt;0,AB277,0),AB277)</f>
        <v>113.86463333333336</v>
      </c>
      <c r="AD277" s="16">
        <v>0.42</v>
      </c>
      <c r="AE277" s="8">
        <v>3025</v>
      </c>
      <c r="AF277" s="15">
        <f>(AC277-(60*Ventas!AE94*1))</f>
        <v>22.501633333333373</v>
      </c>
      <c r="AG277" s="18">
        <f>(AF277/(Ventas!AE94*1)/60)</f>
        <v>0.24628824943722707</v>
      </c>
      <c r="AH277" s="1" t="s">
        <v>35</v>
      </c>
      <c r="AI277">
        <f t="shared" si="4"/>
        <v>0</v>
      </c>
    </row>
    <row r="278" spans="1:35" x14ac:dyDescent="0.25">
      <c r="A278" s="1"/>
      <c r="B278" s="1" t="s">
        <v>518</v>
      </c>
      <c r="C278" s="14" t="s">
        <v>519</v>
      </c>
      <c r="D278" s="8">
        <v>137</v>
      </c>
      <c r="E278" s="12">
        <v>46238</v>
      </c>
      <c r="F278" s="7">
        <v>1</v>
      </c>
      <c r="G278" s="15">
        <f>(D278-(0)+0-(F278*Ventas!AE25*1))</f>
        <v>136.79141666666666</v>
      </c>
      <c r="H278" s="18">
        <f>(G278/(Ventas!AE25*1)/60)</f>
        <v>10.930197096817151</v>
      </c>
      <c r="I278" s="8">
        <v>0</v>
      </c>
      <c r="J278" s="15">
        <f>IF(G278&gt;0,G278+I278,I278)</f>
        <v>136.79141666666666</v>
      </c>
      <c r="K278" s="3"/>
      <c r="L278" s="15">
        <v>60</v>
      </c>
      <c r="M278" s="17">
        <v>7.2499999999999995E-4</v>
      </c>
      <c r="N278" s="12">
        <v>46275</v>
      </c>
      <c r="O278" s="7">
        <v>37</v>
      </c>
      <c r="P278" s="15">
        <f>(IF(G278&gt;0,G278+I278,I278)-(O278*Ventas!AE25*0.9189))</f>
        <v>129.69972934166665</v>
      </c>
      <c r="Q278" s="18">
        <f>(P278/(Ventas!AE25*0.9189)/60)</f>
        <v>11.278204480157962</v>
      </c>
      <c r="R278" s="8">
        <v>0</v>
      </c>
      <c r="S278" s="15">
        <f>IF(P278&gt;0,P278+R278,R278)</f>
        <v>129.69972934166665</v>
      </c>
      <c r="T278" s="3"/>
      <c r="U278" s="15">
        <v>60</v>
      </c>
      <c r="V278" s="17">
        <v>7.2499999999999995E-4</v>
      </c>
      <c r="W278" s="12">
        <v>46331</v>
      </c>
      <c r="X278" s="7">
        <v>56</v>
      </c>
      <c r="Y278" s="15">
        <f>(IF(P278&gt;0,P278+R278,R278)-(X278*Ventas!AE25*0.925))</f>
        <v>118.89511267499998</v>
      </c>
      <c r="Z278" s="18">
        <f>(Y278/(Ventas!AE25*0.925)/60)</f>
        <v>10.270495960523045</v>
      </c>
      <c r="AA278" s="15">
        <f>(120*(Ventas!AE25*1.485) - IF(Y278&gt;0,Y278,0))</f>
        <v>-81.725562674999964</v>
      </c>
      <c r="AB278" s="15">
        <v>0</v>
      </c>
      <c r="AC278" s="15">
        <f>IF(Y278&gt;0,Y278+IF(AB278&gt;0,AB278,0),AB278)</f>
        <v>118.89511267499998</v>
      </c>
      <c r="AD278" s="16">
        <v>0.96</v>
      </c>
      <c r="AE278" s="8">
        <v>3010</v>
      </c>
      <c r="AF278" s="15">
        <f>(AC278-(60*Ventas!AE25*1.485))</f>
        <v>100.31033767499997</v>
      </c>
      <c r="AG278" s="18">
        <f>(AF278/(Ventas!AE25*1.485)/60)</f>
        <v>5.3974469787769808</v>
      </c>
      <c r="AH278" s="1" t="s">
        <v>32</v>
      </c>
      <c r="AI278">
        <f t="shared" si="4"/>
        <v>0</v>
      </c>
    </row>
    <row r="279" spans="1:35" x14ac:dyDescent="0.25">
      <c r="A279" s="1"/>
      <c r="B279" s="65" t="s">
        <v>538</v>
      </c>
      <c r="C279" s="14" t="s">
        <v>539</v>
      </c>
      <c r="D279" s="8">
        <v>142</v>
      </c>
      <c r="E279" s="12">
        <v>46238</v>
      </c>
      <c r="F279" s="7">
        <v>1</v>
      </c>
      <c r="G279" s="15">
        <f>(D279-(0)+0-(F279*Ventas!AE43*1))</f>
        <v>141.42106666666666</v>
      </c>
      <c r="H279" s="18">
        <f>(G279/(Ventas!AE43*1)/60)</f>
        <v>4.0713112237064326</v>
      </c>
      <c r="I279" s="8">
        <v>0</v>
      </c>
      <c r="J279" s="15">
        <f>IF(G279&gt;0,G279+I279,I279)</f>
        <v>141.42106666666666</v>
      </c>
      <c r="K279" s="3"/>
      <c r="L279" s="15">
        <v>60</v>
      </c>
      <c r="M279" s="17">
        <v>7.2499999999999995E-4</v>
      </c>
      <c r="N279" s="12">
        <v>46275</v>
      </c>
      <c r="O279" s="7">
        <v>37</v>
      </c>
      <c r="P279" s="15">
        <f>(IF(G279&gt;0,G279+I279,I279)-(O279*Ventas!AE43*0.9189))</f>
        <v>121.73773858666667</v>
      </c>
      <c r="Q279" s="18">
        <f>(P279/(Ventas!AE43*0.9189)/60)</f>
        <v>3.8139691192800438</v>
      </c>
      <c r="R279" s="8">
        <v>0</v>
      </c>
      <c r="S279" s="15">
        <f>IF(P279&gt;0,P279+R279,R279)</f>
        <v>121.73773858666667</v>
      </c>
      <c r="T279" s="3"/>
      <c r="U279" s="15">
        <v>60</v>
      </c>
      <c r="V279" s="17">
        <v>7.2499999999999995E-4</v>
      </c>
      <c r="W279" s="12">
        <v>46331</v>
      </c>
      <c r="X279" s="7">
        <v>56</v>
      </c>
      <c r="Y279" s="15">
        <f>(IF(P279&gt;0,P279+R279,R279)-(X279*Ventas!AE43*0.925))</f>
        <v>91.748991919999995</v>
      </c>
      <c r="Z279" s="18">
        <f>(Y279/(Ventas!AE43*0.925)/60)</f>
        <v>2.8554842058087564</v>
      </c>
      <c r="AA279" s="15">
        <f>(120*(Ventas!AE43*1.485) - IF(Y279&gt;0,Y279,0))</f>
        <v>11.416928080000019</v>
      </c>
      <c r="AB279" s="15">
        <v>0</v>
      </c>
      <c r="AC279" s="15">
        <f>IF(Y279&gt;0,Y279+IF(AB279&gt;0,AB279,0),AB279)</f>
        <v>91.748991919999995</v>
      </c>
      <c r="AD279" s="16">
        <v>0.85</v>
      </c>
      <c r="AE279" s="8">
        <v>3010</v>
      </c>
      <c r="AF279" s="15">
        <f>(AC279-(60*Ventas!AE43*1.485))</f>
        <v>40.166031919999988</v>
      </c>
      <c r="AG279" s="18">
        <f>(AF279/(Ventas!AE43*1.485)/60)</f>
        <v>0.7786686130458581</v>
      </c>
      <c r="AH279" s="1" t="s">
        <v>35</v>
      </c>
      <c r="AI279">
        <f t="shared" si="4"/>
        <v>0</v>
      </c>
    </row>
    <row r="280" spans="1:35" x14ac:dyDescent="0.25">
      <c r="A280" s="1"/>
      <c r="B280" s="1" t="s">
        <v>86</v>
      </c>
      <c r="C280" s="14" t="s">
        <v>87</v>
      </c>
      <c r="D280" s="8">
        <v>148</v>
      </c>
      <c r="E280" s="12">
        <v>46238</v>
      </c>
      <c r="F280" s="7">
        <v>1</v>
      </c>
      <c r="G280" s="15">
        <f>(D280-(0)+0-(F280*Ventas!AE70*1))</f>
        <v>146.52641666666668</v>
      </c>
      <c r="H280" s="18">
        <f>(G280/(Ventas!AE70*1)/60)</f>
        <v>1.6572574412335765</v>
      </c>
      <c r="I280" s="8">
        <v>120</v>
      </c>
      <c r="J280" s="15">
        <f>IF(G280&gt;0,G280+I280,I280)</f>
        <v>266.52641666666671</v>
      </c>
      <c r="K280" s="15">
        <v>0.83</v>
      </c>
      <c r="L280" s="15">
        <v>80</v>
      </c>
      <c r="M280" s="17">
        <v>3.4000000000000002E-4</v>
      </c>
      <c r="N280" s="12">
        <v>46275</v>
      </c>
      <c r="O280" s="7">
        <v>37</v>
      </c>
      <c r="P280" s="15">
        <f>(IF(G280&gt;0,G280+I280,I280)-(O280*Ventas!AE70*1))</f>
        <v>212.00383333333338</v>
      </c>
      <c r="Q280" s="18">
        <f>(P280/(Ventas!AE70*1)/60)</f>
        <v>2.3978265377292698</v>
      </c>
      <c r="R280" s="8">
        <v>0</v>
      </c>
      <c r="S280" s="15">
        <f>IF(P280&gt;0,P280+R280,R280)</f>
        <v>212.00383333333338</v>
      </c>
      <c r="T280" s="3"/>
      <c r="U280" s="15">
        <v>80</v>
      </c>
      <c r="V280" s="17">
        <v>3.4000000000000002E-4</v>
      </c>
      <c r="W280" s="12">
        <v>46331</v>
      </c>
      <c r="X280" s="7">
        <v>56</v>
      </c>
      <c r="Y280" s="15">
        <f>(IF(P280&gt;0,P280+R280,R280)-(X280*Ventas!AE70*1))</f>
        <v>129.4831666666667</v>
      </c>
      <c r="Z280" s="18">
        <f>(Y280/(Ventas!AE70*1)/60)</f>
        <v>1.4644932043959362</v>
      </c>
      <c r="AA280" s="15">
        <f>(120*(Ventas!AE70*1) - IF(Y280&gt;0,Y280,0))</f>
        <v>47.346833333333279</v>
      </c>
      <c r="AB280" s="89">
        <v>0</v>
      </c>
      <c r="AC280" s="15">
        <f>IF(Y280&gt;0,Y280+IF(AB280&gt;0,AB280,0),AB280)</f>
        <v>129.4831666666667</v>
      </c>
      <c r="AD280" s="16">
        <v>0.83</v>
      </c>
      <c r="AE280" s="8">
        <v>3025</v>
      </c>
      <c r="AF280" s="15">
        <f>(AC280-(60*Ventas!AE70*1))</f>
        <v>41.068166666666713</v>
      </c>
      <c r="AG280" s="18">
        <f>(AF280/(Ventas!AE70*1)/60)</f>
        <v>0.46449320439593639</v>
      </c>
      <c r="AH280" s="1" t="s">
        <v>35</v>
      </c>
      <c r="AI280">
        <f t="shared" si="4"/>
        <v>0</v>
      </c>
    </row>
    <row r="281" spans="1:35" x14ac:dyDescent="0.25">
      <c r="A281" s="1" t="s">
        <v>279</v>
      </c>
      <c r="B281" s="79" t="s">
        <v>439</v>
      </c>
      <c r="C281" s="14" t="s">
        <v>440</v>
      </c>
      <c r="D281" s="8">
        <v>148</v>
      </c>
      <c r="E281" s="12">
        <v>46238</v>
      </c>
      <c r="F281" s="7">
        <v>1</v>
      </c>
      <c r="G281" s="15">
        <f>(D281-(0)+0-(F281*Ventas!AE223*1))</f>
        <v>147.6198</v>
      </c>
      <c r="H281" s="18">
        <f>(G281/(Ventas!AE223*1)/60)</f>
        <v>6.4711467648605998</v>
      </c>
      <c r="I281" s="8">
        <v>0</v>
      </c>
      <c r="J281" s="15">
        <f>IF(G281&gt;0,G281+I281,I281)</f>
        <v>147.6198</v>
      </c>
      <c r="K281" s="3"/>
      <c r="L281" s="15">
        <v>52</v>
      </c>
      <c r="M281" s="17">
        <v>5.7700000000000004E-4</v>
      </c>
      <c r="N281" s="12">
        <v>46275</v>
      </c>
      <c r="O281" s="7">
        <v>37</v>
      </c>
      <c r="P281" s="15">
        <f>(IF(G281&gt;0,G281+I281,I281)-(O281*Ventas!AE223*1))</f>
        <v>133.55240000000001</v>
      </c>
      <c r="Q281" s="18">
        <f>(P281/(Ventas!AE223*1)/60)</f>
        <v>5.8544800981939327</v>
      </c>
      <c r="R281" s="8">
        <v>0</v>
      </c>
      <c r="S281" s="15">
        <f>IF(P281&gt;0,P281+R281,R281)</f>
        <v>133.55240000000001</v>
      </c>
      <c r="T281" s="3"/>
      <c r="U281" s="15">
        <v>52</v>
      </c>
      <c r="V281" s="17">
        <v>5.7700000000000004E-4</v>
      </c>
      <c r="W281" s="12">
        <v>46331</v>
      </c>
      <c r="X281" s="7">
        <v>56</v>
      </c>
      <c r="Y281" s="15">
        <f>(IF(P281&gt;0,P281+R281,R281)-(X281*Ventas!AE223*1))</f>
        <v>112.2612</v>
      </c>
      <c r="Z281" s="18">
        <f>(Y281/(Ventas!AE223*1)/60)</f>
        <v>4.9211467648605991</v>
      </c>
      <c r="AA281" s="15">
        <f>(120*(Ventas!AE223*1) - IF(Y281&gt;0,Y281,0))</f>
        <v>-66.637200000000007</v>
      </c>
      <c r="AB281" s="15">
        <v>0</v>
      </c>
      <c r="AC281" s="15">
        <f>IF(Y281&gt;0,Y281+IF(AB281&gt;0,AB281,0),AB281)</f>
        <v>112.2612</v>
      </c>
      <c r="AD281" s="16">
        <v>0.99</v>
      </c>
      <c r="AE281" s="8">
        <v>3010</v>
      </c>
      <c r="AF281" s="15">
        <f>(AC281-(60*Ventas!AE223*1))</f>
        <v>89.449200000000005</v>
      </c>
      <c r="AG281" s="18">
        <f>(AF281/(Ventas!AE223*1)/60)</f>
        <v>3.9211467648605995</v>
      </c>
      <c r="AH281" s="1" t="s">
        <v>35</v>
      </c>
      <c r="AI281">
        <f t="shared" si="4"/>
        <v>0</v>
      </c>
    </row>
    <row r="282" spans="1:35" x14ac:dyDescent="0.25">
      <c r="A282" s="1"/>
      <c r="B282" s="1" t="s">
        <v>84</v>
      </c>
      <c r="C282" s="14" t="s">
        <v>85</v>
      </c>
      <c r="D282" s="8">
        <v>152</v>
      </c>
      <c r="E282" s="12">
        <v>46238</v>
      </c>
      <c r="F282" s="7">
        <v>1</v>
      </c>
      <c r="G282" s="15">
        <f>(D282-(0)+0-(F282*Ventas!AE69*1))</f>
        <v>149.68161666666666</v>
      </c>
      <c r="H282" s="18">
        <f>(G282/(Ventas!AE69*1)/60)</f>
        <v>1.0760488031650408</v>
      </c>
      <c r="I282" s="8">
        <v>240</v>
      </c>
      <c r="J282" s="15">
        <f>IF(G282&gt;0,G282+I282,I282)</f>
        <v>389.68161666666663</v>
      </c>
      <c r="K282" s="15">
        <v>0.83</v>
      </c>
      <c r="L282" s="15">
        <v>80</v>
      </c>
      <c r="M282" s="17">
        <v>3.4000000000000002E-4</v>
      </c>
      <c r="N282" s="12">
        <v>46275</v>
      </c>
      <c r="O282" s="7">
        <v>37</v>
      </c>
      <c r="P282" s="15">
        <f>(IF(G282&gt;0,G282+I282,I282)-(O282*Ventas!AE69*1))</f>
        <v>303.90143333333333</v>
      </c>
      <c r="Q282" s="18">
        <f>(P282/(Ventas!AE69*1)/60)</f>
        <v>2.1847223520221228</v>
      </c>
      <c r="R282" s="8">
        <v>0</v>
      </c>
      <c r="S282" s="15">
        <f>IF(P282&gt;0,P282+R282,R282)</f>
        <v>303.90143333333333</v>
      </c>
      <c r="T282" s="3"/>
      <c r="U282" s="15">
        <v>80</v>
      </c>
      <c r="V282" s="17">
        <v>3.4000000000000002E-4</v>
      </c>
      <c r="W282" s="12">
        <v>46331</v>
      </c>
      <c r="X282" s="7">
        <v>56</v>
      </c>
      <c r="Y282" s="15">
        <f>(IF(P282&gt;0,P282+R282,R282)-(X282*Ventas!AE69*1))</f>
        <v>174.07196666666667</v>
      </c>
      <c r="Z282" s="18">
        <f>(Y282/(Ventas!AE69*1)/60)</f>
        <v>1.2513890186887895</v>
      </c>
      <c r="AA282" s="15">
        <f>(120*(Ventas!AE69*1) - IF(Y282&gt;0,Y282,0))</f>
        <v>104.13403333333335</v>
      </c>
      <c r="AB282" s="89">
        <v>0</v>
      </c>
      <c r="AC282" s="15">
        <f>IF(Y282&gt;0,Y282+IF(AB282&gt;0,AB282,0),AB282)</f>
        <v>174.07196666666667</v>
      </c>
      <c r="AD282" s="16">
        <v>0.83</v>
      </c>
      <c r="AE282" s="8">
        <v>3025</v>
      </c>
      <c r="AF282" s="15">
        <f>(AC282-(60*Ventas!AE69*1))</f>
        <v>34.96896666666666</v>
      </c>
      <c r="AG282" s="18">
        <f>(AF282/(Ventas!AE69*1)/60)</f>
        <v>0.25138901868878932</v>
      </c>
      <c r="AH282" s="1" t="s">
        <v>35</v>
      </c>
      <c r="AI282">
        <f t="shared" si="4"/>
        <v>0</v>
      </c>
    </row>
    <row r="283" spans="1:35" x14ac:dyDescent="0.25">
      <c r="A283" s="1"/>
      <c r="B283" s="1" t="s">
        <v>82</v>
      </c>
      <c r="C283" s="14" t="s">
        <v>83</v>
      </c>
      <c r="D283" s="8">
        <v>204</v>
      </c>
      <c r="E283" s="12">
        <v>46238</v>
      </c>
      <c r="F283" s="7">
        <v>1</v>
      </c>
      <c r="G283" s="15">
        <f>(D283-(0)+0-(F283*Ventas!AE68*1))</f>
        <v>199.82060000000001</v>
      </c>
      <c r="H283" s="18">
        <f>(G283/(Ventas!AE68*1)/60)</f>
        <v>0.79684723485029751</v>
      </c>
      <c r="I283" s="8">
        <v>360</v>
      </c>
      <c r="J283" s="15">
        <f>IF(G283&gt;0,G283+I283,I283)</f>
        <v>559.82060000000001</v>
      </c>
      <c r="K283" s="15">
        <v>0.56999999999999995</v>
      </c>
      <c r="L283" s="15">
        <v>120</v>
      </c>
      <c r="M283" s="17">
        <v>2.81E-4</v>
      </c>
      <c r="N283" s="12">
        <v>46275</v>
      </c>
      <c r="O283" s="7">
        <v>37</v>
      </c>
      <c r="P283" s="15">
        <f>(IF(G283&gt;0,G283+I283,I283)-(O283*Ventas!AE68*1))</f>
        <v>405.18280000000004</v>
      </c>
      <c r="Q283" s="18">
        <f>(P283/(Ventas!AE68*1)/60)</f>
        <v>1.6157933355665088</v>
      </c>
      <c r="R283" s="8">
        <v>0</v>
      </c>
      <c r="S283" s="15">
        <f>IF(P283&gt;0,P283+R283,R283)</f>
        <v>405.18280000000004</v>
      </c>
      <c r="T283" s="3"/>
      <c r="U283" s="15">
        <v>120</v>
      </c>
      <c r="V283" s="17">
        <v>2.81E-4</v>
      </c>
      <c r="W283" s="12">
        <v>46331</v>
      </c>
      <c r="X283" s="7">
        <v>56</v>
      </c>
      <c r="Y283" s="15">
        <f>(IF(P283&gt;0,P283+R283,R283)-(X283*Ventas!AE68*1))</f>
        <v>171.13640000000004</v>
      </c>
      <c r="Z283" s="18">
        <f>(Y283/(Ventas!AE68*1)/60)</f>
        <v>0.6824600022331756</v>
      </c>
      <c r="AA283" s="15">
        <f>(120*(Ventas!AE68*1) - IF(Y283&gt;0,Y283,0))</f>
        <v>330.39159999999998</v>
      </c>
      <c r="AB283" s="89">
        <v>0</v>
      </c>
      <c r="AC283" s="15">
        <f>IF(Y283&gt;0,Y283+IF(AB283&gt;0,AB283,0),AB283)</f>
        <v>171.13640000000004</v>
      </c>
      <c r="AD283" s="16">
        <v>0.56999999999999995</v>
      </c>
      <c r="AE283" s="8">
        <v>3025</v>
      </c>
      <c r="AF283" s="15">
        <f>(AC283-(60*Ventas!AE68*1))</f>
        <v>-79.627599999999973</v>
      </c>
      <c r="AG283" s="18">
        <f>(AF283/(Ventas!AE68*1)/60)</f>
        <v>-0.31753999776682446</v>
      </c>
      <c r="AH283" s="1" t="s">
        <v>35</v>
      </c>
      <c r="AI283">
        <f t="shared" si="4"/>
        <v>0</v>
      </c>
    </row>
    <row r="284" spans="1:35" x14ac:dyDescent="0.25">
      <c r="A284" s="1" t="s">
        <v>279</v>
      </c>
      <c r="B284" s="78" t="s">
        <v>280</v>
      </c>
      <c r="C284" s="14" t="s">
        <v>281</v>
      </c>
      <c r="D284" s="8">
        <v>258</v>
      </c>
      <c r="E284" s="12">
        <v>46238</v>
      </c>
      <c r="F284" s="7">
        <v>1</v>
      </c>
      <c r="G284" s="15">
        <f>(D284-(0)+0-(F284*Ventas!AE162*1))</f>
        <v>257.02756666666664</v>
      </c>
      <c r="H284" s="18">
        <f>(G284/(Ventas!AE162*1)/60)</f>
        <v>4.4052302928506943</v>
      </c>
      <c r="I284" s="8">
        <v>0</v>
      </c>
      <c r="J284" s="15">
        <f>IF(G284&gt;0,G284+I284,I284)</f>
        <v>257.02756666666664</v>
      </c>
      <c r="K284" s="3"/>
      <c r="L284" s="15">
        <v>52</v>
      </c>
      <c r="M284" s="17">
        <v>6.4899999999999995E-4</v>
      </c>
      <c r="N284" s="12">
        <v>46275</v>
      </c>
      <c r="O284" s="7">
        <v>37</v>
      </c>
      <c r="P284" s="15">
        <f>(IF(G284&gt;0,G284+I284,I284)-(O284*Ventas!AE162*1))</f>
        <v>221.04753333333332</v>
      </c>
      <c r="Q284" s="18">
        <f>(P284/(Ventas!AE162*1)/60)</f>
        <v>3.7885636261840281</v>
      </c>
      <c r="R284" s="8">
        <v>0</v>
      </c>
      <c r="S284" s="15">
        <f>IF(P284&gt;0,P284+R284,R284)</f>
        <v>221.04753333333332</v>
      </c>
      <c r="T284" s="3"/>
      <c r="U284" s="15">
        <v>52</v>
      </c>
      <c r="V284" s="17">
        <v>6.4899999999999995E-4</v>
      </c>
      <c r="W284" s="12">
        <v>46331</v>
      </c>
      <c r="X284" s="7">
        <v>56</v>
      </c>
      <c r="Y284" s="15">
        <f>(IF(P284&gt;0,P284+R284,R284)-(X284*Ventas!AE162*1))</f>
        <v>166.59126666666666</v>
      </c>
      <c r="Z284" s="18">
        <f>(Y284/(Ventas!AE162*1)/60)</f>
        <v>2.855230292850695</v>
      </c>
      <c r="AA284" s="15">
        <f>(120*(Ventas!AE162*1) - IF(Y284&gt;0,Y284,0))</f>
        <v>-49.899266666666648</v>
      </c>
      <c r="AB284" s="15">
        <v>0</v>
      </c>
      <c r="AC284" s="15">
        <f>IF(Y284&gt;0,Y284+IF(AB284&gt;0,AB284,0),AB284)</f>
        <v>166.59126666666666</v>
      </c>
      <c r="AD284" s="16">
        <v>1.05</v>
      </c>
      <c r="AE284" s="8">
        <v>3027</v>
      </c>
      <c r="AF284" s="15">
        <f>(AC284-(60*Ventas!AE162*1))</f>
        <v>108.24526666666665</v>
      </c>
      <c r="AG284" s="18">
        <f>(AF284/(Ventas!AE162*1)/60)</f>
        <v>1.855230292850695</v>
      </c>
      <c r="AH284" s="1" t="s">
        <v>32</v>
      </c>
      <c r="AI284">
        <f t="shared" si="4"/>
        <v>0</v>
      </c>
    </row>
    <row r="285" spans="1:35" x14ac:dyDescent="0.25">
      <c r="A285" s="1" t="s">
        <v>369</v>
      </c>
      <c r="B285" s="1" t="s">
        <v>370</v>
      </c>
      <c r="C285" s="14" t="s">
        <v>371</v>
      </c>
      <c r="D285" s="8">
        <v>327</v>
      </c>
      <c r="E285" s="12">
        <v>46238</v>
      </c>
      <c r="F285" s="7">
        <v>1</v>
      </c>
      <c r="G285" s="15">
        <f>(D285-(0)+0-(F285*Ventas!AE195*1))</f>
        <v>324.58999999999997</v>
      </c>
      <c r="H285" s="18">
        <f>(G285/(Ventas!AE195*1)/60)</f>
        <v>2.2447441217150756</v>
      </c>
      <c r="I285" s="8">
        <v>0</v>
      </c>
      <c r="J285" s="15">
        <f>IF(G285&gt;0,G285+I285,I285)</f>
        <v>324.58999999999997</v>
      </c>
      <c r="K285" s="3"/>
      <c r="L285" s="15">
        <v>52</v>
      </c>
      <c r="M285" s="17">
        <v>6.4899999999999995E-4</v>
      </c>
      <c r="N285" s="12">
        <v>46275</v>
      </c>
      <c r="O285" s="7">
        <v>37</v>
      </c>
      <c r="P285" s="15">
        <f>(IF(G285&gt;0,G285+I285,I285)-(O285*Ventas!AE195*1))</f>
        <v>235.41999999999996</v>
      </c>
      <c r="Q285" s="18">
        <f>(P285/(Ventas!AE195*1)/60)</f>
        <v>1.628077455048409</v>
      </c>
      <c r="R285" s="8">
        <v>52</v>
      </c>
      <c r="S285" s="15">
        <f>IF(P285&gt;0,P285+R285,R285)</f>
        <v>287.41999999999996</v>
      </c>
      <c r="T285" s="15">
        <v>1.52</v>
      </c>
      <c r="U285" s="15">
        <v>52</v>
      </c>
      <c r="V285" s="17">
        <v>6.4899999999999995E-4</v>
      </c>
      <c r="W285" s="12">
        <v>46331</v>
      </c>
      <c r="X285" s="7">
        <v>56</v>
      </c>
      <c r="Y285" s="15">
        <f>(IF(P285&gt;0,P285+R285,R285)-(X285*Ventas!AE195*1))</f>
        <v>152.45999999999995</v>
      </c>
      <c r="Z285" s="18">
        <f>(Y285/(Ventas!AE195*1)/60)</f>
        <v>1.0543568464730286</v>
      </c>
      <c r="AA285" s="15">
        <f>(120*(Ventas!AE195*1) - IF(Y285&gt;0,Y285,0))</f>
        <v>136.74000000000009</v>
      </c>
      <c r="AB285" s="15">
        <v>156</v>
      </c>
      <c r="AC285" s="15">
        <f>IF(Y285&gt;0,Y285+IF(AB285&gt;0,AB285,0),AB285)</f>
        <v>308.45999999999992</v>
      </c>
      <c r="AD285" s="16">
        <v>1.48</v>
      </c>
      <c r="AE285" s="8">
        <v>3027</v>
      </c>
      <c r="AF285" s="15">
        <f>(AC285-(60*Ventas!AE195*1))</f>
        <v>163.8599999999999</v>
      </c>
      <c r="AG285" s="18">
        <f>(AF285/(Ventas!AE195*1)/60)</f>
        <v>1.133195020746887</v>
      </c>
      <c r="AH285" s="1" t="s">
        <v>35</v>
      </c>
      <c r="AI285">
        <f t="shared" si="4"/>
        <v>230.88</v>
      </c>
    </row>
    <row r="286" spans="1:35" x14ac:dyDescent="0.25">
      <c r="A286" s="1"/>
      <c r="B286" s="64" t="s">
        <v>540</v>
      </c>
      <c r="C286" s="14" t="s">
        <v>541</v>
      </c>
      <c r="D286" s="8">
        <v>330</v>
      </c>
      <c r="E286" s="12">
        <v>46238</v>
      </c>
      <c r="F286" s="7">
        <v>1</v>
      </c>
      <c r="G286" s="15">
        <f>(D286-(0)+0-(F286*Ventas!AE44*1))</f>
        <v>328.09640000000002</v>
      </c>
      <c r="H286" s="18">
        <f>(G286/(Ventas!AE44*1)/60)</f>
        <v>2.872595783427891</v>
      </c>
      <c r="I286" s="8">
        <v>240</v>
      </c>
      <c r="J286" s="15">
        <f>IF(G286&gt;0,G286+I286,I286)</f>
        <v>568.09640000000002</v>
      </c>
      <c r="K286" s="15">
        <v>0.9</v>
      </c>
      <c r="L286" s="15">
        <v>96</v>
      </c>
      <c r="M286" s="17">
        <v>4.5300000000000001E-4</v>
      </c>
      <c r="N286" s="12">
        <v>46275</v>
      </c>
      <c r="O286" s="7">
        <v>37</v>
      </c>
      <c r="P286" s="15">
        <f>(IF(G286&gt;0,G286+I286,I286)-(O286*Ventas!AE44*0.9189))</f>
        <v>503.37533252000003</v>
      </c>
      <c r="Q286" s="18">
        <f>(P286/(Ventas!AE44*0.9189)/60)</f>
        <v>4.7961938897756475</v>
      </c>
      <c r="R286" s="8">
        <v>0</v>
      </c>
      <c r="S286" s="15">
        <f>IF(P286&gt;0,P286+R286,R286)</f>
        <v>503.37533252000003</v>
      </c>
      <c r="T286" s="3"/>
      <c r="U286" s="15">
        <v>96</v>
      </c>
      <c r="V286" s="17">
        <v>4.5300000000000001E-4</v>
      </c>
      <c r="W286" s="12">
        <v>46331</v>
      </c>
      <c r="X286" s="7">
        <v>56</v>
      </c>
      <c r="Y286" s="15">
        <f>(IF(P286&gt;0,P286+R286,R286)-(X286*Ventas!AE44*0.925))</f>
        <v>404.76885252000005</v>
      </c>
      <c r="Z286" s="18">
        <f>(Y286/(Ventas!AE44*0.925)/60)</f>
        <v>3.831231602142172</v>
      </c>
      <c r="AA286" s="15">
        <f>(120*(Ventas!AE44*1.485) - IF(Y286&gt;0,Y286,0))</f>
        <v>-65.547332520000055</v>
      </c>
      <c r="AB286" s="15">
        <v>0</v>
      </c>
      <c r="AC286" s="15">
        <f>IF(Y286&gt;0,Y286+IF(AB286&gt;0,AB286,0),AB286)</f>
        <v>404.76885252000005</v>
      </c>
      <c r="AD286" s="16">
        <v>0.9</v>
      </c>
      <c r="AE286" s="8">
        <v>3025</v>
      </c>
      <c r="AF286" s="15">
        <f>(AC286-(60*Ventas!AE44*1.485))</f>
        <v>235.15809252000005</v>
      </c>
      <c r="AG286" s="18">
        <f>(AF286/(Ventas!AE44*1.485)/60)</f>
        <v>1.3864573952737436</v>
      </c>
      <c r="AH286" s="1" t="s">
        <v>35</v>
      </c>
      <c r="AI286">
        <f t="shared" si="4"/>
        <v>0</v>
      </c>
    </row>
    <row r="287" spans="1:35" x14ac:dyDescent="0.25">
      <c r="A287" s="1" t="s">
        <v>344</v>
      </c>
      <c r="B287" s="80" t="s">
        <v>345</v>
      </c>
      <c r="C287" s="14" t="s">
        <v>346</v>
      </c>
      <c r="D287" s="8">
        <v>406</v>
      </c>
      <c r="E287" s="12">
        <v>46238</v>
      </c>
      <c r="F287" s="7">
        <v>1</v>
      </c>
      <c r="G287" s="15">
        <f>(D287-(0)+0-(F287*Ventas!AE186*1))</f>
        <v>396.48394999999999</v>
      </c>
      <c r="H287" s="18">
        <f>(G287/(Ventas!AE186*1)/60)</f>
        <v>0.69441268523529565</v>
      </c>
      <c r="I287" s="8">
        <v>0</v>
      </c>
      <c r="J287" s="15">
        <f>IF(G287&gt;0,G287+I287,I287)</f>
        <v>396.48394999999999</v>
      </c>
      <c r="K287" s="3"/>
      <c r="L287" s="15">
        <v>52</v>
      </c>
      <c r="M287" s="17">
        <v>6.4899999999999995E-4</v>
      </c>
      <c r="N287" s="12">
        <v>46275</v>
      </c>
      <c r="O287" s="7">
        <v>37</v>
      </c>
      <c r="P287" s="15">
        <f>(IF(G287&gt;0,G287+I287,I287)-(O287*Ventas!AE186*1))</f>
        <v>44.390100000000075</v>
      </c>
      <c r="Q287" s="18">
        <f>(P287/(Ventas!AE186*1)/60)</f>
        <v>7.7746018568628936E-2</v>
      </c>
      <c r="R287" s="8">
        <v>0</v>
      </c>
      <c r="S287" s="15">
        <f>IF(P287&gt;0,P287+R287,R287)</f>
        <v>44.390100000000075</v>
      </c>
      <c r="T287" s="3"/>
      <c r="U287" s="15">
        <v>52</v>
      </c>
      <c r="V287" s="17">
        <v>6.4899999999999995E-4</v>
      </c>
      <c r="W287" s="12">
        <v>46331</v>
      </c>
      <c r="X287" s="7">
        <v>56</v>
      </c>
      <c r="Y287" s="15">
        <f>(IF(P287&gt;0,P287+R287,R287)-(X287*Ventas!AE186*1))</f>
        <v>-488.50869999999986</v>
      </c>
      <c r="Z287" s="18">
        <f>(Y287/(Ventas!AE186*1)/60)</f>
        <v>-0.85558731476470451</v>
      </c>
      <c r="AA287" s="15">
        <f>(120*(Ventas!AE186*1) - IF(Y287&gt;0,Y287,0))</f>
        <v>1141.9259999999997</v>
      </c>
      <c r="AB287" s="15">
        <v>0</v>
      </c>
      <c r="AC287" s="15">
        <f>IF(Y287&gt;0,Y287+IF(AB287&gt;0,AB287,0),AB287)</f>
        <v>0</v>
      </c>
      <c r="AD287" s="16">
        <v>0.86</v>
      </c>
      <c r="AE287" s="8">
        <v>3027</v>
      </c>
      <c r="AF287" s="15">
        <f>(AC287-(60*Ventas!AE186*1))</f>
        <v>-570.96299999999985</v>
      </c>
      <c r="AG287" s="18">
        <f>(AF287/(Ventas!AE186*1)/60)</f>
        <v>-0.99999999999999989</v>
      </c>
      <c r="AH287" s="1" t="s">
        <v>35</v>
      </c>
      <c r="AI287">
        <f t="shared" si="4"/>
        <v>0</v>
      </c>
    </row>
    <row r="288" spans="1:35" x14ac:dyDescent="0.25">
      <c r="A288" s="1" t="s">
        <v>330</v>
      </c>
      <c r="B288" s="1" t="s">
        <v>374</v>
      </c>
      <c r="C288" s="14" t="s">
        <v>375</v>
      </c>
      <c r="D288" s="8">
        <v>569</v>
      </c>
      <c r="E288" s="12">
        <v>46238</v>
      </c>
      <c r="F288" s="7">
        <v>1</v>
      </c>
      <c r="G288" s="15">
        <f>(D288-(0)+0-(F288*Ventas!AE197*1))</f>
        <v>563.9</v>
      </c>
      <c r="H288" s="18">
        <f>(G288/(Ventas!AE197*1)/60)</f>
        <v>1.84281045751634</v>
      </c>
      <c r="I288" s="8">
        <v>0</v>
      </c>
      <c r="J288" s="15">
        <f>IF(G288&gt;0,G288+I288,I288)</f>
        <v>563.9</v>
      </c>
      <c r="K288" s="3"/>
      <c r="L288" s="15">
        <v>52</v>
      </c>
      <c r="M288" s="17">
        <v>6.4899999999999995E-4</v>
      </c>
      <c r="N288" s="12">
        <v>46275</v>
      </c>
      <c r="O288" s="7">
        <v>37</v>
      </c>
      <c r="P288" s="15">
        <f>(IF(G288&gt;0,G288+I288,I288)-(O288*Ventas!AE197*1))</f>
        <v>375.2</v>
      </c>
      <c r="Q288" s="18">
        <f>(P288/(Ventas!AE197*1)/60)</f>
        <v>1.2261437908496733</v>
      </c>
      <c r="R288" s="8">
        <v>0</v>
      </c>
      <c r="S288" s="15">
        <f>IF(P288&gt;0,P288+R288,R288)</f>
        <v>375.2</v>
      </c>
      <c r="T288" s="3"/>
      <c r="U288" s="15">
        <v>52</v>
      </c>
      <c r="V288" s="17">
        <v>6.4899999999999995E-4</v>
      </c>
      <c r="W288" s="12">
        <v>46331</v>
      </c>
      <c r="X288" s="7">
        <v>56</v>
      </c>
      <c r="Y288" s="15">
        <f>(IF(P288&gt;0,P288+R288,R288)-(X288*Ventas!AE197*1))</f>
        <v>89.600000000000023</v>
      </c>
      <c r="Z288" s="18">
        <f>(Y288/(Ventas!AE197*1)/60)</f>
        <v>0.29281045751633994</v>
      </c>
      <c r="AA288" s="15">
        <f>(120*(Ventas!AE197*1) - IF(Y288&gt;0,Y288,0))</f>
        <v>522.4</v>
      </c>
      <c r="AB288" s="15">
        <v>572</v>
      </c>
      <c r="AC288" s="15">
        <f>IF(Y288&gt;0,Y288+IF(AB288&gt;0,AB288,0),AB288)</f>
        <v>661.6</v>
      </c>
      <c r="AD288" s="16">
        <v>1.2417</v>
      </c>
      <c r="AE288" s="8">
        <v>3010</v>
      </c>
      <c r="AF288" s="15">
        <f>(AC288-(60*Ventas!AE197*1))</f>
        <v>355.6</v>
      </c>
      <c r="AG288" s="18">
        <f>(AF288/(Ventas!AE197*1)/60)</f>
        <v>1.1620915032679739</v>
      </c>
      <c r="AH288" s="1" t="s">
        <v>35</v>
      </c>
      <c r="AI288">
        <f t="shared" si="4"/>
        <v>710.25239999999997</v>
      </c>
    </row>
    <row r="289" spans="1:35" x14ac:dyDescent="0.25">
      <c r="A289" s="1" t="s">
        <v>276</v>
      </c>
      <c r="B289" s="30" t="s">
        <v>437</v>
      </c>
      <c r="C289" s="14" t="s">
        <v>438</v>
      </c>
      <c r="D289" s="8">
        <v>594</v>
      </c>
      <c r="E289" s="12">
        <v>46238</v>
      </c>
      <c r="F289" s="7">
        <v>1</v>
      </c>
      <c r="G289" s="15">
        <f>(D289-(0)+0-(F289*Ventas!AE222*1))</f>
        <v>593.60568333333333</v>
      </c>
      <c r="H289" s="18">
        <f>(G289/(Ventas!AE222*1)/60)</f>
        <v>25.090058046972963</v>
      </c>
      <c r="I289" s="8">
        <v>0</v>
      </c>
      <c r="J289" s="15">
        <f>IF(G289&gt;0,G289+I289,I289)</f>
        <v>593.60568333333333</v>
      </c>
      <c r="K289" s="3"/>
      <c r="L289" s="15">
        <v>52</v>
      </c>
      <c r="M289" s="17">
        <v>5.7700000000000004E-4</v>
      </c>
      <c r="N289" s="12">
        <v>46275</v>
      </c>
      <c r="O289" s="7">
        <v>37</v>
      </c>
      <c r="P289" s="15">
        <f>(IF(G289&gt;0,G289+I289,I289)-(O289*Ventas!AE222*1))</f>
        <v>579.01596666666671</v>
      </c>
      <c r="Q289" s="18">
        <f>(P289/(Ventas!AE222*1)/60)</f>
        <v>24.4733913803063</v>
      </c>
      <c r="R289" s="8">
        <v>0</v>
      </c>
      <c r="S289" s="15">
        <f>IF(P289&gt;0,P289+R289,R289)</f>
        <v>579.01596666666671</v>
      </c>
      <c r="T289" s="3"/>
      <c r="U289" s="15">
        <v>52</v>
      </c>
      <c r="V289" s="17">
        <v>5.7700000000000004E-4</v>
      </c>
      <c r="W289" s="12">
        <v>46331</v>
      </c>
      <c r="X289" s="7">
        <v>56</v>
      </c>
      <c r="Y289" s="15">
        <f>(IF(P289&gt;0,P289+R289,R289)-(X289*Ventas!AE222*1))</f>
        <v>556.9342333333334</v>
      </c>
      <c r="Z289" s="18">
        <f>(Y289/(Ventas!AE222*1)/60)</f>
        <v>23.540058046972966</v>
      </c>
      <c r="AA289" s="15">
        <f>(120*(Ventas!AE222*1) - IF(Y289&gt;0,Y289,0))</f>
        <v>-509.61623333333341</v>
      </c>
      <c r="AB289" s="15">
        <v>0</v>
      </c>
      <c r="AC289" s="15">
        <f>IF(Y289&gt;0,Y289+IF(AB289&gt;0,AB289,0),AB289)</f>
        <v>556.9342333333334</v>
      </c>
      <c r="AD289" s="16">
        <v>1.18</v>
      </c>
      <c r="AE289" s="8">
        <v>3027</v>
      </c>
      <c r="AF289" s="15">
        <f>(AC289-(60*Ventas!AE222*1))</f>
        <v>533.2752333333334</v>
      </c>
      <c r="AG289" s="18">
        <f>(AF289/(Ventas!AE222*1)/60)</f>
        <v>22.540058046972966</v>
      </c>
      <c r="AH289" s="1" t="s">
        <v>35</v>
      </c>
      <c r="AI289">
        <f t="shared" si="4"/>
        <v>0</v>
      </c>
    </row>
    <row r="290" spans="1:35" x14ac:dyDescent="0.25">
      <c r="A290" s="1"/>
      <c r="B290" s="1" t="s">
        <v>560</v>
      </c>
      <c r="C290" s="14" t="s">
        <v>561</v>
      </c>
      <c r="D290" s="8">
        <v>758</v>
      </c>
      <c r="E290" s="12">
        <v>46238</v>
      </c>
      <c r="F290" s="7">
        <v>1</v>
      </c>
      <c r="G290" s="15">
        <f>(D290-(0)+0-(F290*Ventas!AE54*1))</f>
        <v>754.47868333333338</v>
      </c>
      <c r="H290" s="18">
        <f>(G290/(Ventas!AE54*1)/60)</f>
        <v>3.5710065048269519</v>
      </c>
      <c r="I290" s="8">
        <v>0</v>
      </c>
      <c r="J290" s="15">
        <f>IF(G290&gt;0,G290+I290,I290)</f>
        <v>754.47868333333338</v>
      </c>
      <c r="K290" s="3"/>
      <c r="L290" s="3">
        <v>120</v>
      </c>
      <c r="M290" s="3"/>
      <c r="N290" s="12">
        <v>46275</v>
      </c>
      <c r="O290" s="7">
        <v>37</v>
      </c>
      <c r="P290" s="15">
        <f>(IF(G290&gt;0,G290+I290,I290)-(O290*Ventas!AE54*0.9189))</f>
        <v>634.7563815883334</v>
      </c>
      <c r="Q290" s="18">
        <f>(P290/(Ventas!AE54*0.9189)/60)</f>
        <v>3.2695086569016776</v>
      </c>
      <c r="R290" s="8">
        <v>0</v>
      </c>
      <c r="S290" s="15">
        <f>IF(P290&gt;0,P290+R290,R290)</f>
        <v>634.7563815883334</v>
      </c>
      <c r="T290" s="3"/>
      <c r="U290" s="3">
        <v>120</v>
      </c>
      <c r="V290" s="3"/>
      <c r="W290" s="12">
        <v>46331</v>
      </c>
      <c r="X290" s="7">
        <v>56</v>
      </c>
      <c r="Y290" s="15">
        <f>(IF(P290&gt;0,P290+R290,R290)-(X290*Ventas!AE54*0.925))</f>
        <v>452.35217825500013</v>
      </c>
      <c r="Z290" s="18">
        <f>(Y290/(Ventas!AE54*0.925)/60)</f>
        <v>2.3146142394525602</v>
      </c>
      <c r="AA290" s="15">
        <f>(120*(Ventas!AE54*1.485) - IF(Y290&gt;0,Y290,0))</f>
        <v>175.14645174499969</v>
      </c>
      <c r="AB290" s="15">
        <v>240</v>
      </c>
      <c r="AC290" s="15">
        <f>IF(Y290&gt;0,Y290+IF(AB290&gt;0,AB290,0),AB290)</f>
        <v>692.35217825500013</v>
      </c>
      <c r="AD290" s="16">
        <v>0.54200000000000004</v>
      </c>
      <c r="AE290" s="8">
        <v>3010</v>
      </c>
      <c r="AF290" s="15">
        <f>(AC290-(60*Ventas!AE54*1.485))</f>
        <v>378.60286325500016</v>
      </c>
      <c r="AG290" s="18">
        <f>(AF290/(Ventas!AE54*1.485)/60)</f>
        <v>1.2067049875630813</v>
      </c>
      <c r="AH290" s="1" t="s">
        <v>35</v>
      </c>
      <c r="AI290">
        <f t="shared" si="4"/>
        <v>130.08000000000001</v>
      </c>
    </row>
    <row r="291" spans="1:35" x14ac:dyDescent="0.25">
      <c r="A291" s="1" t="s">
        <v>273</v>
      </c>
      <c r="B291" s="26" t="s">
        <v>435</v>
      </c>
      <c r="C291" s="14" t="s">
        <v>436</v>
      </c>
      <c r="D291" s="8">
        <v>984</v>
      </c>
      <c r="E291" s="12">
        <v>46238</v>
      </c>
      <c r="F291" s="7">
        <v>1</v>
      </c>
      <c r="G291" s="15">
        <f>(D291-(0)+0-(F291*Ventas!AE221*1))</f>
        <v>982.95235000000002</v>
      </c>
      <c r="H291" s="18">
        <f>(G291/(Ventas!AE221*1)/60)</f>
        <v>15.637416280882611</v>
      </c>
      <c r="I291" s="8">
        <v>0</v>
      </c>
      <c r="J291" s="15">
        <f>IF(G291&gt;0,G291+I291,I291)</f>
        <v>982.95235000000002</v>
      </c>
      <c r="K291" s="3"/>
      <c r="L291" s="15">
        <v>52</v>
      </c>
      <c r="M291" s="17">
        <v>5.7700000000000004E-4</v>
      </c>
      <c r="N291" s="12">
        <v>46275</v>
      </c>
      <c r="O291" s="7">
        <v>37</v>
      </c>
      <c r="P291" s="15">
        <f>(IF(G291&gt;0,G291+I291,I291)-(O291*Ventas!AE221*1))</f>
        <v>944.1893</v>
      </c>
      <c r="Q291" s="18">
        <f>(P291/(Ventas!AE221*1)/60)</f>
        <v>15.020749614215942</v>
      </c>
      <c r="R291" s="8">
        <v>0</v>
      </c>
      <c r="S291" s="15">
        <f>IF(P291&gt;0,P291+R291,R291)</f>
        <v>944.1893</v>
      </c>
      <c r="T291" s="3"/>
      <c r="U291" s="15">
        <v>52</v>
      </c>
      <c r="V291" s="17">
        <v>5.7700000000000004E-4</v>
      </c>
      <c r="W291" s="12">
        <v>46331</v>
      </c>
      <c r="X291" s="7">
        <v>56</v>
      </c>
      <c r="Y291" s="15">
        <f>(IF(P291&gt;0,P291+R291,R291)-(X291*Ventas!AE221*1))</f>
        <v>885.52089999999998</v>
      </c>
      <c r="Z291" s="18">
        <f>(Y291/(Ventas!AE221*1)/60)</f>
        <v>14.087416280882611</v>
      </c>
      <c r="AA291" s="15">
        <f>(120*(Ventas!AE221*1) - IF(Y291&gt;0,Y291,0))</f>
        <v>-759.80290000000002</v>
      </c>
      <c r="AB291" s="15">
        <v>0</v>
      </c>
      <c r="AC291" s="15">
        <f>IF(Y291&gt;0,Y291+IF(AB291&gt;0,AB291,0),AB291)</f>
        <v>885.52089999999998</v>
      </c>
      <c r="AD291" s="16">
        <v>1.18</v>
      </c>
      <c r="AE291" s="8">
        <v>3027</v>
      </c>
      <c r="AF291" s="15">
        <f>(AC291-(60*Ventas!AE221*1))</f>
        <v>822.66189999999995</v>
      </c>
      <c r="AG291" s="18">
        <f>(AF291/(Ventas!AE221*1)/60)</f>
        <v>13.087416280882611</v>
      </c>
      <c r="AH291" s="1" t="s">
        <v>35</v>
      </c>
      <c r="AI291">
        <f t="shared" si="4"/>
        <v>0</v>
      </c>
    </row>
    <row r="292" spans="1:35" x14ac:dyDescent="0.25">
      <c r="A292" s="1"/>
      <c r="B292" s="1" t="s">
        <v>58</v>
      </c>
      <c r="C292" s="14" t="s">
        <v>59</v>
      </c>
      <c r="D292" s="8">
        <v>995</v>
      </c>
      <c r="E292" s="12">
        <v>46238</v>
      </c>
      <c r="F292" s="7">
        <v>1</v>
      </c>
      <c r="G292" s="15">
        <f>(D292-(0)+0-(F292*Ventas!AE56*1))</f>
        <v>984.6</v>
      </c>
      <c r="H292" s="18">
        <f>(G292/(Ventas!AE56*1)/60)</f>
        <v>1.5778846153846153</v>
      </c>
      <c r="I292" s="8">
        <v>0</v>
      </c>
      <c r="J292" s="15">
        <f>IF(G292&gt;0,G292+I292,I292)</f>
        <v>984.6</v>
      </c>
      <c r="K292" s="3"/>
      <c r="L292" s="15">
        <v>120</v>
      </c>
      <c r="M292" s="17">
        <v>3.3100000000000002E-4</v>
      </c>
      <c r="N292" s="12">
        <v>46275</v>
      </c>
      <c r="O292" s="7">
        <v>37</v>
      </c>
      <c r="P292" s="15">
        <f>(IF(G292&gt;0,G292+I292,I292)-(O292*Ventas!AE56*1))</f>
        <v>599.79999999999995</v>
      </c>
      <c r="Q292" s="18">
        <f>(P292/(Ventas!AE56*1)/60)</f>
        <v>0.96121794871794863</v>
      </c>
      <c r="R292" s="8">
        <v>600</v>
      </c>
      <c r="S292" s="15">
        <f>IF(P292&gt;0,P292+R292,R292)</f>
        <v>1199.8</v>
      </c>
      <c r="T292" s="15">
        <v>0.38</v>
      </c>
      <c r="U292" s="15">
        <v>120</v>
      </c>
      <c r="V292" s="17">
        <v>3.3100000000000002E-4</v>
      </c>
      <c r="W292" s="12">
        <v>46331</v>
      </c>
      <c r="X292" s="7">
        <v>56</v>
      </c>
      <c r="Y292" s="15">
        <f>(IF(P292&gt;0,P292+R292,R292)-(X292*Ventas!AE56*1))</f>
        <v>617.4</v>
      </c>
      <c r="Z292" s="18">
        <f>(Y292/(Ventas!AE56*1)/60)</f>
        <v>0.98942307692307685</v>
      </c>
      <c r="AA292" s="15">
        <f>(120*(Ventas!AE56*1) - IF(Y292&gt;0,Y292,0))</f>
        <v>630.6</v>
      </c>
      <c r="AB292" s="15">
        <v>720</v>
      </c>
      <c r="AC292" s="15">
        <f>IF(Y292&gt;0,Y292+IF(AB292&gt;0,AB292,0),AB292)</f>
        <v>1337.4</v>
      </c>
      <c r="AD292" s="16">
        <v>0.2833</v>
      </c>
      <c r="AE292" s="8">
        <v>3010</v>
      </c>
      <c r="AF292" s="15">
        <f>(AC292-(60*Ventas!AE56*1))</f>
        <v>713.40000000000009</v>
      </c>
      <c r="AG292" s="18">
        <f>(AF292/(Ventas!AE56*1)/60)</f>
        <v>1.1432692307692309</v>
      </c>
      <c r="AH292" s="1" t="s">
        <v>35</v>
      </c>
      <c r="AI292">
        <f t="shared" si="4"/>
        <v>203.976</v>
      </c>
    </row>
    <row r="293" spans="1:35" x14ac:dyDescent="0.25">
      <c r="A293" s="1"/>
      <c r="B293" s="57" t="s">
        <v>190</v>
      </c>
      <c r="C293" s="14" t="s">
        <v>191</v>
      </c>
      <c r="D293" s="8">
        <v>1052</v>
      </c>
      <c r="E293" s="12">
        <v>46238</v>
      </c>
      <c r="F293" s="7">
        <v>1</v>
      </c>
      <c r="G293" s="15">
        <f>(D293-(0)+0-(F293*Ventas!AE119*1))</f>
        <v>1046.67</v>
      </c>
      <c r="H293" s="18">
        <f>(G293/(Ventas!AE119*1)/60)</f>
        <v>3.2728893058161352</v>
      </c>
      <c r="I293" s="8">
        <v>0</v>
      </c>
      <c r="J293" s="15">
        <f>IF(G293&gt;0,G293+I293,I293)</f>
        <v>1046.67</v>
      </c>
      <c r="K293" s="3"/>
      <c r="L293" s="15">
        <v>84</v>
      </c>
      <c r="M293" s="17">
        <v>3.57E-4</v>
      </c>
      <c r="N293" s="12">
        <v>46275</v>
      </c>
      <c r="O293" s="7">
        <v>37</v>
      </c>
      <c r="P293" s="15">
        <f>(IF(G293&gt;0,G293+I293,I293)-(O293*Ventas!AE119*1))</f>
        <v>849.46</v>
      </c>
      <c r="Q293" s="18">
        <f>(P293/(Ventas!AE119*1)/60)</f>
        <v>2.6562226391494685</v>
      </c>
      <c r="R293" s="8">
        <v>0</v>
      </c>
      <c r="S293" s="15">
        <f>IF(P293&gt;0,P293+R293,R293)</f>
        <v>849.46</v>
      </c>
      <c r="T293" s="3"/>
      <c r="U293" s="15">
        <v>84</v>
      </c>
      <c r="V293" s="17">
        <v>3.57E-4</v>
      </c>
      <c r="W293" s="12">
        <v>46331</v>
      </c>
      <c r="X293" s="7">
        <v>56</v>
      </c>
      <c r="Y293" s="15">
        <f>(IF(P293&gt;0,P293+R293,R293)-(X293*Ventas!AE119*1))</f>
        <v>550.98</v>
      </c>
      <c r="Z293" s="18">
        <f>(Y293/(Ventas!AE119*1)/60)</f>
        <v>1.7228893058161352</v>
      </c>
      <c r="AA293" s="15">
        <f>(120*(Ventas!AE119*1) - IF(Y293&gt;0,Y293,0))</f>
        <v>88.62</v>
      </c>
      <c r="AB293" s="15">
        <v>0</v>
      </c>
      <c r="AC293" s="15">
        <f>IF(Y293&gt;0,Y293+IF(AB293&gt;0,AB293,0),AB293)</f>
        <v>550.98</v>
      </c>
      <c r="AD293" s="16">
        <v>0.40010000000000001</v>
      </c>
      <c r="AE293" s="8">
        <v>3010</v>
      </c>
      <c r="AF293" s="15">
        <f>(AC293-(60*Ventas!AE119*1))</f>
        <v>231.18</v>
      </c>
      <c r="AG293" s="18">
        <f>(AF293/(Ventas!AE119*1)/60)</f>
        <v>0.72288930581613509</v>
      </c>
      <c r="AH293" s="1" t="s">
        <v>35</v>
      </c>
      <c r="AI293">
        <f t="shared" si="4"/>
        <v>0</v>
      </c>
    </row>
    <row r="294" spans="1:35" x14ac:dyDescent="0.25">
      <c r="A294" s="1" t="s">
        <v>285</v>
      </c>
      <c r="B294" s="77" t="s">
        <v>433</v>
      </c>
      <c r="C294" s="14" t="s">
        <v>434</v>
      </c>
      <c r="D294" s="8">
        <v>1187</v>
      </c>
      <c r="E294" s="12">
        <v>46238</v>
      </c>
      <c r="F294" s="7">
        <v>1</v>
      </c>
      <c r="G294" s="15">
        <f>(D294-(0)+0-(F294*Ventas!AE220*1))</f>
        <v>1186.66445</v>
      </c>
      <c r="H294" s="18">
        <f>(G294/(Ventas!AE220*1)/60)</f>
        <v>58.941263100382457</v>
      </c>
      <c r="I294" s="8">
        <v>0</v>
      </c>
      <c r="J294" s="15">
        <f>IF(G294&gt;0,G294+I294,I294)</f>
        <v>1186.66445</v>
      </c>
      <c r="K294" s="3"/>
      <c r="L294" s="15">
        <v>52</v>
      </c>
      <c r="M294" s="17">
        <v>5.7700000000000004E-4</v>
      </c>
      <c r="N294" s="12">
        <v>46275</v>
      </c>
      <c r="O294" s="7">
        <v>37</v>
      </c>
      <c r="P294" s="15">
        <f>(IF(G294&gt;0,G294+I294,I294)-(O294*Ventas!AE220*1))</f>
        <v>1174.2491</v>
      </c>
      <c r="Q294" s="18">
        <f>(P294/(Ventas!AE220*1)/60)</f>
        <v>58.32459643371579</v>
      </c>
      <c r="R294" s="8">
        <v>0</v>
      </c>
      <c r="S294" s="15">
        <f>IF(P294&gt;0,P294+R294,R294)</f>
        <v>1174.2491</v>
      </c>
      <c r="T294" s="3"/>
      <c r="U294" s="15">
        <v>52</v>
      </c>
      <c r="V294" s="17">
        <v>5.7700000000000004E-4</v>
      </c>
      <c r="W294" s="12">
        <v>46331</v>
      </c>
      <c r="X294" s="7">
        <v>56</v>
      </c>
      <c r="Y294" s="15">
        <f>(IF(P294&gt;0,P294+R294,R294)-(X294*Ventas!AE220*1))</f>
        <v>1155.4583</v>
      </c>
      <c r="Z294" s="18">
        <f>(Y294/(Ventas!AE220*1)/60)</f>
        <v>57.39126310038246</v>
      </c>
      <c r="AA294" s="15">
        <f>(120*(Ventas!AE220*1) - IF(Y294&gt;0,Y294,0))</f>
        <v>-1115.1922999999999</v>
      </c>
      <c r="AB294" s="15">
        <v>0</v>
      </c>
      <c r="AC294" s="15">
        <f>IF(Y294&gt;0,Y294+IF(AB294&gt;0,AB294,0),AB294)</f>
        <v>1155.4583</v>
      </c>
      <c r="AD294" s="16">
        <v>1.0832999999999999</v>
      </c>
      <c r="AE294" s="8">
        <v>3010</v>
      </c>
      <c r="AF294" s="15">
        <f>(AC294-(60*Ventas!AE220*1))</f>
        <v>1135.3253</v>
      </c>
      <c r="AG294" s="18">
        <f>(AF294/(Ventas!AE220*1)/60)</f>
        <v>56.391263100382453</v>
      </c>
      <c r="AH294" s="1" t="s">
        <v>35</v>
      </c>
      <c r="AI294">
        <f t="shared" si="4"/>
        <v>0</v>
      </c>
    </row>
    <row r="295" spans="1:35" x14ac:dyDescent="0.25">
      <c r="A295" s="1"/>
      <c r="B295" s="1" t="s">
        <v>88</v>
      </c>
      <c r="C295" s="14" t="s">
        <v>89</v>
      </c>
      <c r="D295" s="8">
        <v>1300</v>
      </c>
      <c r="E295" s="12">
        <v>46238</v>
      </c>
      <c r="F295" s="7">
        <v>1</v>
      </c>
      <c r="G295" s="15">
        <f>(D295-(0)+0-(F295*Ventas!AE71*1))</f>
        <v>1296.5942500000001</v>
      </c>
      <c r="H295" s="18">
        <f>(G295/(Ventas!AE71*1)/60)</f>
        <v>6.345123443196556</v>
      </c>
      <c r="I295" s="8">
        <v>0</v>
      </c>
      <c r="J295" s="15">
        <f>IF(G295&gt;0,G295+I295,I295)</f>
        <v>1296.5942500000001</v>
      </c>
      <c r="K295" s="3"/>
      <c r="L295" s="15">
        <v>120</v>
      </c>
      <c r="M295" s="17">
        <v>3.3100000000000002E-4</v>
      </c>
      <c r="N295" s="12">
        <v>46275</v>
      </c>
      <c r="O295" s="7">
        <v>37</v>
      </c>
      <c r="P295" s="15">
        <f>(IF(G295&gt;0,G295+I295,I295)-(O295*Ventas!AE71*1))</f>
        <v>1170.5815</v>
      </c>
      <c r="Q295" s="18">
        <f>(P295/(Ventas!AE71*1)/60)</f>
        <v>5.7284567765298879</v>
      </c>
      <c r="R295" s="8">
        <v>0</v>
      </c>
      <c r="S295" s="15">
        <f>IF(P295&gt;0,P295+R295,R295)</f>
        <v>1170.5815</v>
      </c>
      <c r="T295" s="3"/>
      <c r="U295" s="15">
        <v>120</v>
      </c>
      <c r="V295" s="17">
        <v>3.3100000000000002E-4</v>
      </c>
      <c r="W295" s="12">
        <v>46331</v>
      </c>
      <c r="X295" s="7">
        <v>56</v>
      </c>
      <c r="Y295" s="15">
        <f>(IF(P295&gt;0,P295+R295,R295)-(X295*Ventas!AE71*1))</f>
        <v>979.85950000000003</v>
      </c>
      <c r="Z295" s="18">
        <f>(Y295/(Ventas!AE71*1)/60)</f>
        <v>4.7951234431965553</v>
      </c>
      <c r="AA295" s="15">
        <f>(120*(Ventas!AE71*1) - IF(Y295&gt;0,Y295,0))</f>
        <v>-571.16949999999997</v>
      </c>
      <c r="AB295" s="15">
        <v>0</v>
      </c>
      <c r="AC295" s="15">
        <f>IF(Y295&gt;0,Y295+IF(AB295&gt;0,AB295,0),AB295)</f>
        <v>979.85950000000003</v>
      </c>
      <c r="AD295" s="16">
        <v>0.2167</v>
      </c>
      <c r="AE295" s="8">
        <v>3010</v>
      </c>
      <c r="AF295" s="15">
        <f>(AC295-(60*Ventas!AE71*1))</f>
        <v>775.5145</v>
      </c>
      <c r="AG295" s="18">
        <f>(AF295/(Ventas!AE71*1)/60)</f>
        <v>3.7951234431965548</v>
      </c>
      <c r="AH295" s="1" t="s">
        <v>35</v>
      </c>
      <c r="AI295">
        <f t="shared" si="4"/>
        <v>0</v>
      </c>
    </row>
    <row r="296" spans="1:35" x14ac:dyDescent="0.25">
      <c r="A296" s="1" t="s">
        <v>318</v>
      </c>
      <c r="B296" s="82" t="s">
        <v>447</v>
      </c>
      <c r="C296" s="14" t="s">
        <v>448</v>
      </c>
      <c r="D296" s="8">
        <v>2077</v>
      </c>
      <c r="E296" s="12">
        <v>46238</v>
      </c>
      <c r="F296" s="7">
        <v>1</v>
      </c>
      <c r="G296" s="15">
        <f>(D296-(0)+0-(F296*Ventas!AE226*1))</f>
        <v>2074.8402166666665</v>
      </c>
      <c r="H296" s="18">
        <f>(G296/(Ventas!AE226*1)/60)</f>
        <v>16.011175632329373</v>
      </c>
      <c r="I296" s="8">
        <v>0</v>
      </c>
      <c r="J296" s="15">
        <f>IF(G296&gt;0,G296+I296,I296)</f>
        <v>2074.8402166666665</v>
      </c>
      <c r="K296" s="3"/>
      <c r="L296" s="15">
        <v>52</v>
      </c>
      <c r="M296" s="17">
        <v>5.7700000000000004E-4</v>
      </c>
      <c r="N296" s="12">
        <v>46275</v>
      </c>
      <c r="O296" s="7">
        <v>37</v>
      </c>
      <c r="P296" s="15">
        <f>(IF(G296&gt;0,G296+I296,I296)-(O296*Ventas!AE226*1))</f>
        <v>1994.9282333333331</v>
      </c>
      <c r="Q296" s="18">
        <f>(P296/(Ventas!AE226*1)/60)</f>
        <v>15.394508965662705</v>
      </c>
      <c r="R296" s="8">
        <v>0</v>
      </c>
      <c r="S296" s="15">
        <f>IF(P296&gt;0,P296+R296,R296)</f>
        <v>1994.9282333333331</v>
      </c>
      <c r="T296" s="3"/>
      <c r="U296" s="15">
        <v>52</v>
      </c>
      <c r="V296" s="17">
        <v>5.7700000000000004E-4</v>
      </c>
      <c r="W296" s="12">
        <v>46331</v>
      </c>
      <c r="X296" s="7">
        <v>56</v>
      </c>
      <c r="Y296" s="15">
        <f>(IF(P296&gt;0,P296+R296,R296)-(X296*Ventas!AE226*1))</f>
        <v>1873.9803666666664</v>
      </c>
      <c r="Z296" s="18">
        <f>(Y296/(Ventas!AE226*1)/60)</f>
        <v>14.461175632329372</v>
      </c>
      <c r="AA296" s="15">
        <f>(120*(Ventas!AE226*1) - IF(Y296&gt;0,Y296,0))</f>
        <v>-1614.8063666666665</v>
      </c>
      <c r="AB296" s="15">
        <v>0</v>
      </c>
      <c r="AC296" s="15">
        <f>IF(Y296&gt;0,Y296+IF(AB296&gt;0,AB296,0),AB296)</f>
        <v>1873.9803666666664</v>
      </c>
      <c r="AD296" s="16">
        <v>0.8</v>
      </c>
      <c r="AE296" s="8">
        <v>3010</v>
      </c>
      <c r="AF296" s="15">
        <f>(AC296-(60*Ventas!AE226*1))</f>
        <v>1744.3933666666665</v>
      </c>
      <c r="AG296" s="18">
        <f>(AF296/(Ventas!AE226*1)/60)</f>
        <v>13.461175632329372</v>
      </c>
      <c r="AH296" s="1" t="s">
        <v>35</v>
      </c>
      <c r="AI296">
        <f t="shared" si="4"/>
        <v>0</v>
      </c>
    </row>
    <row r="297" spans="1:35" x14ac:dyDescent="0.25">
      <c r="A297" s="1"/>
      <c r="B297" s="1" t="s">
        <v>90</v>
      </c>
      <c r="C297" s="14" t="s">
        <v>91</v>
      </c>
      <c r="D297" s="8">
        <v>2117</v>
      </c>
      <c r="E297" s="12">
        <v>46238</v>
      </c>
      <c r="F297" s="7">
        <v>1</v>
      </c>
      <c r="G297" s="15">
        <f>(D297-(0)+0-(F297*Ventas!AE72*1))</f>
        <v>2109.1799999999998</v>
      </c>
      <c r="H297" s="18">
        <f>(G297/(Ventas!AE72*1)/60)</f>
        <v>4.4952685421994873</v>
      </c>
      <c r="I297" s="8">
        <v>0</v>
      </c>
      <c r="J297" s="15">
        <f>IF(G297&gt;0,G297+I297,I297)</f>
        <v>2109.1799999999998</v>
      </c>
      <c r="K297" s="3"/>
      <c r="L297" s="15">
        <v>120</v>
      </c>
      <c r="M297" s="17">
        <v>3.3100000000000002E-4</v>
      </c>
      <c r="N297" s="12">
        <v>46275</v>
      </c>
      <c r="O297" s="7">
        <v>37</v>
      </c>
      <c r="P297" s="15">
        <f>(IF(G297&gt;0,G297+I297,I297)-(O297*Ventas!AE72*1))</f>
        <v>1819.8399999999997</v>
      </c>
      <c r="Q297" s="18">
        <f>(P297/(Ventas!AE72*1)/60)</f>
        <v>3.8786018755328211</v>
      </c>
      <c r="R297" s="8">
        <v>0</v>
      </c>
      <c r="S297" s="15">
        <f>IF(P297&gt;0,P297+R297,R297)</f>
        <v>1819.8399999999997</v>
      </c>
      <c r="T297" s="3"/>
      <c r="U297" s="15">
        <v>120</v>
      </c>
      <c r="V297" s="17">
        <v>3.3100000000000002E-4</v>
      </c>
      <c r="W297" s="12">
        <v>46331</v>
      </c>
      <c r="X297" s="7">
        <v>56</v>
      </c>
      <c r="Y297" s="15">
        <f>(IF(P297&gt;0,P297+R297,R297)-(X297*Ventas!AE72*1))</f>
        <v>1381.9199999999996</v>
      </c>
      <c r="Z297" s="18">
        <f>(Y297/(Ventas!AE72*1)/60)</f>
        <v>2.9452685421994875</v>
      </c>
      <c r="AA297" s="15">
        <f>(120*(Ventas!AE72*1) - IF(Y297&gt;0,Y297,0))</f>
        <v>-443.51999999999953</v>
      </c>
      <c r="AB297" s="15">
        <v>0</v>
      </c>
      <c r="AC297" s="15">
        <f>IF(Y297&gt;0,Y297+IF(AB297&gt;0,AB297,0),AB297)</f>
        <v>1381.9199999999996</v>
      </c>
      <c r="AD297" s="16">
        <v>0.2833</v>
      </c>
      <c r="AE297" s="8">
        <v>3010</v>
      </c>
      <c r="AF297" s="15">
        <f>(AC297-(60*Ventas!AE72*1))</f>
        <v>912.71999999999957</v>
      </c>
      <c r="AG297" s="18">
        <f>(AF297/(Ventas!AE72*1)/60)</f>
        <v>1.9452685421994873</v>
      </c>
      <c r="AH297" s="1" t="s">
        <v>35</v>
      </c>
      <c r="AI297">
        <f t="shared" si="4"/>
        <v>0</v>
      </c>
    </row>
    <row r="298" spans="1:35" x14ac:dyDescent="0.25">
      <c r="A298" s="1" t="s">
        <v>282</v>
      </c>
      <c r="B298" s="28" t="s">
        <v>431</v>
      </c>
      <c r="C298" s="14" t="s">
        <v>432</v>
      </c>
      <c r="D298" s="8">
        <v>2254</v>
      </c>
      <c r="E298" s="12">
        <v>46238</v>
      </c>
      <c r="F298" s="7">
        <v>1</v>
      </c>
      <c r="G298" s="15">
        <f>(D298-(0)+0-(F298*Ventas!AE219*1))</f>
        <v>2252.6782166666667</v>
      </c>
      <c r="H298" s="18">
        <f>(G298/(Ventas!AE219*1)/60)</f>
        <v>28.404531966493082</v>
      </c>
      <c r="I298" s="8">
        <v>0</v>
      </c>
      <c r="J298" s="15">
        <f>IF(G298&gt;0,G298+I298,I298)</f>
        <v>2252.6782166666667</v>
      </c>
      <c r="K298" s="3"/>
      <c r="L298" s="15">
        <v>52</v>
      </c>
      <c r="M298" s="17">
        <v>5.7700000000000004E-4</v>
      </c>
      <c r="N298" s="12">
        <v>46275</v>
      </c>
      <c r="O298" s="7">
        <v>37</v>
      </c>
      <c r="P298" s="15">
        <f>(IF(G298&gt;0,G298+I298,I298)-(O298*Ventas!AE219*1))</f>
        <v>2203.7722333333331</v>
      </c>
      <c r="Q298" s="18">
        <f>(P298/(Ventas!AE219*1)/60)</f>
        <v>27.787865299826411</v>
      </c>
      <c r="R298" s="8">
        <v>0</v>
      </c>
      <c r="S298" s="15">
        <f>IF(P298&gt;0,P298+R298,R298)</f>
        <v>2203.7722333333331</v>
      </c>
      <c r="T298" s="3"/>
      <c r="U298" s="15">
        <v>52</v>
      </c>
      <c r="V298" s="17">
        <v>5.7700000000000004E-4</v>
      </c>
      <c r="W298" s="12">
        <v>46331</v>
      </c>
      <c r="X298" s="7">
        <v>56</v>
      </c>
      <c r="Y298" s="15">
        <f>(IF(P298&gt;0,P298+R298,R298)-(X298*Ventas!AE219*1))</f>
        <v>2129.7523666666666</v>
      </c>
      <c r="Z298" s="18">
        <f>(Y298/(Ventas!AE219*1)/60)</f>
        <v>26.854531966493081</v>
      </c>
      <c r="AA298" s="15">
        <f>(120*(Ventas!AE219*1) - IF(Y298&gt;0,Y298,0))</f>
        <v>-1971.1383666666666</v>
      </c>
      <c r="AB298" s="15">
        <v>0</v>
      </c>
      <c r="AC298" s="15">
        <f>IF(Y298&gt;0,Y298+IF(AB298&gt;0,AB298,0),AB298)</f>
        <v>2129.7523666666666</v>
      </c>
      <c r="AD298" s="16">
        <v>1.0832999999999999</v>
      </c>
      <c r="AE298" s="8">
        <v>3010</v>
      </c>
      <c r="AF298" s="15">
        <f>(AC298-(60*Ventas!AE219*1))</f>
        <v>2050.4453666666668</v>
      </c>
      <c r="AG298" s="18">
        <f>(AF298/(Ventas!AE219*1)/60)</f>
        <v>25.854531966493081</v>
      </c>
      <c r="AH298" s="1" t="s">
        <v>35</v>
      </c>
      <c r="AI298">
        <f t="shared" si="4"/>
        <v>0</v>
      </c>
    </row>
    <row r="299" spans="1:35" x14ac:dyDescent="0.25">
      <c r="B299" t="s">
        <v>713</v>
      </c>
      <c r="C299" s="14" t="s">
        <v>714</v>
      </c>
      <c r="U299" s="15">
        <v>84</v>
      </c>
      <c r="AB299" s="91">
        <v>252</v>
      </c>
      <c r="AD299" s="16">
        <v>0.83</v>
      </c>
      <c r="AI299">
        <f t="shared" si="4"/>
        <v>209.16</v>
      </c>
    </row>
    <row r="300" spans="1:35" x14ac:dyDescent="0.25">
      <c r="B300" s="90" t="s">
        <v>715</v>
      </c>
      <c r="C300" s="14" t="s">
        <v>716</v>
      </c>
      <c r="U300" s="15">
        <v>84</v>
      </c>
      <c r="AB300" s="91">
        <v>168</v>
      </c>
      <c r="AD300" s="16">
        <v>0.83</v>
      </c>
      <c r="AI300">
        <f t="shared" si="4"/>
        <v>139.44</v>
      </c>
    </row>
    <row r="301" spans="1:35" x14ac:dyDescent="0.25">
      <c r="B301" t="s">
        <v>719</v>
      </c>
      <c r="C301" s="14" t="s">
        <v>718</v>
      </c>
      <c r="U301" s="15">
        <v>120</v>
      </c>
      <c r="AB301" s="91">
        <v>120</v>
      </c>
      <c r="AD301" s="16">
        <v>0.3</v>
      </c>
      <c r="AI301">
        <f t="shared" si="4"/>
        <v>36</v>
      </c>
    </row>
    <row r="302" spans="1:35" x14ac:dyDescent="0.25">
      <c r="B302" s="90" t="s">
        <v>721</v>
      </c>
      <c r="C302" s="93" t="s">
        <v>720</v>
      </c>
      <c r="U302" s="15">
        <v>120</v>
      </c>
      <c r="AB302" s="94">
        <v>360</v>
      </c>
      <c r="AD302" s="16">
        <v>0.38</v>
      </c>
      <c r="AI302">
        <f t="shared" si="4"/>
        <v>136.80000000000001</v>
      </c>
    </row>
    <row r="303" spans="1:35" x14ac:dyDescent="0.25">
      <c r="B303" s="90" t="s">
        <v>723</v>
      </c>
      <c r="C303" s="93" t="s">
        <v>722</v>
      </c>
      <c r="U303" s="15">
        <v>120</v>
      </c>
      <c r="AB303" s="91">
        <v>120</v>
      </c>
      <c r="AD303" s="16">
        <v>0.83</v>
      </c>
      <c r="AI303">
        <f t="shared" si="4"/>
        <v>99.6</v>
      </c>
    </row>
    <row r="304" spans="1:35" x14ac:dyDescent="0.25">
      <c r="B304" s="92" t="s">
        <v>725</v>
      </c>
      <c r="C304" s="93" t="s">
        <v>724</v>
      </c>
      <c r="U304" s="15">
        <v>120</v>
      </c>
      <c r="AB304" s="95">
        <v>240</v>
      </c>
      <c r="AD304" s="16">
        <v>0.83</v>
      </c>
      <c r="AI304">
        <f t="shared" si="4"/>
        <v>199.2</v>
      </c>
    </row>
    <row r="305" spans="2:35" x14ac:dyDescent="0.25">
      <c r="B305" t="s">
        <v>727</v>
      </c>
      <c r="C305" s="93" t="s">
        <v>726</v>
      </c>
      <c r="U305" s="15">
        <v>52</v>
      </c>
      <c r="AB305" s="97">
        <v>156</v>
      </c>
      <c r="AD305">
        <v>3.26</v>
      </c>
      <c r="AI305">
        <f t="shared" si="4"/>
        <v>508.55999999999995</v>
      </c>
    </row>
    <row r="306" spans="2:35" x14ac:dyDescent="0.25">
      <c r="B306" t="s">
        <v>730</v>
      </c>
      <c r="C306" s="93" t="s">
        <v>728</v>
      </c>
      <c r="U306" s="15">
        <v>40</v>
      </c>
      <c r="AB306" s="97">
        <v>160</v>
      </c>
      <c r="AD306">
        <v>5.3</v>
      </c>
      <c r="AI306">
        <f t="shared" si="4"/>
        <v>848</v>
      </c>
    </row>
    <row r="307" spans="2:35" x14ac:dyDescent="0.25">
      <c r="B307" t="s">
        <v>731</v>
      </c>
      <c r="C307" s="93" t="s">
        <v>729</v>
      </c>
      <c r="U307" s="15">
        <v>40</v>
      </c>
      <c r="AB307" s="97">
        <v>160</v>
      </c>
      <c r="AD307">
        <v>5.3</v>
      </c>
      <c r="AI307">
        <f t="shared" si="4"/>
        <v>848</v>
      </c>
    </row>
    <row r="308" spans="2:35" x14ac:dyDescent="0.25">
      <c r="B308" t="s">
        <v>735</v>
      </c>
      <c r="C308" s="93" t="s">
        <v>732</v>
      </c>
      <c r="U308" s="15">
        <v>36</v>
      </c>
      <c r="AB308" s="97">
        <v>180</v>
      </c>
      <c r="AD308">
        <v>3.03</v>
      </c>
      <c r="AI308">
        <f t="shared" si="4"/>
        <v>545.4</v>
      </c>
    </row>
    <row r="309" spans="2:35" x14ac:dyDescent="0.25">
      <c r="B309" t="s">
        <v>734</v>
      </c>
      <c r="C309" s="93" t="s">
        <v>733</v>
      </c>
      <c r="U309" s="15">
        <v>36</v>
      </c>
      <c r="AB309" s="97">
        <v>180</v>
      </c>
      <c r="AD309">
        <v>2.73</v>
      </c>
      <c r="AI309">
        <f t="shared" si="4"/>
        <v>491.4</v>
      </c>
    </row>
  </sheetData>
  <autoFilter ref="A4:AH307" xr:uid="{00000000-0009-0000-0000-000001000000}">
    <sortState xmlns:xlrd2="http://schemas.microsoft.com/office/spreadsheetml/2017/richdata2" ref="A5:AH298">
      <sortCondition ref="G4:G298"/>
    </sortState>
  </autoFilter>
  <mergeCells count="4">
    <mergeCell ref="W3:AC3"/>
    <mergeCell ref="AF3:AG3"/>
    <mergeCell ref="N3:V3"/>
    <mergeCell ref="E3:M3"/>
  </mergeCells>
  <phoneticPr fontId="9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7"/>
  <sheetViews>
    <sheetView workbookViewId="0">
      <selection activeCell="A9" sqref="A9"/>
    </sheetView>
  </sheetViews>
  <sheetFormatPr baseColWidth="10" defaultRowHeight="14.3" x14ac:dyDescent="0.25"/>
  <cols>
    <col min="1" max="1" width="16.25" bestFit="1" customWidth="1"/>
  </cols>
  <sheetData>
    <row r="1" spans="1:1" x14ac:dyDescent="0.25">
      <c r="A1" s="25" t="s">
        <v>697</v>
      </c>
    </row>
    <row r="2" spans="1:1" x14ac:dyDescent="0.25">
      <c r="A2" s="25" t="s">
        <v>698</v>
      </c>
    </row>
    <row r="3" spans="1:1" x14ac:dyDescent="0.25">
      <c r="A3" s="25" t="s">
        <v>699</v>
      </c>
    </row>
    <row r="4" spans="1:1" x14ac:dyDescent="0.25">
      <c r="A4" s="25" t="s">
        <v>700</v>
      </c>
    </row>
    <row r="5" spans="1:1" x14ac:dyDescent="0.25">
      <c r="A5" s="25" t="s">
        <v>701</v>
      </c>
    </row>
    <row r="6" spans="1:1" x14ac:dyDescent="0.25">
      <c r="A6" s="25" t="s">
        <v>702</v>
      </c>
    </row>
    <row r="7" spans="1:1" x14ac:dyDescent="0.25">
      <c r="A7" s="25" t="s">
        <v>703</v>
      </c>
    </row>
    <row r="8" spans="1:1" x14ac:dyDescent="0.25">
      <c r="A8" s="25" t="s">
        <v>704</v>
      </c>
    </row>
    <row r="9" spans="1:1" x14ac:dyDescent="0.25">
      <c r="A9" s="25" t="s">
        <v>705</v>
      </c>
    </row>
    <row r="10" spans="1:1" x14ac:dyDescent="0.25">
      <c r="A10" s="25" t="s">
        <v>706</v>
      </c>
    </row>
    <row r="11" spans="1:1" x14ac:dyDescent="0.25">
      <c r="A11" s="25" t="s">
        <v>707</v>
      </c>
    </row>
    <row r="12" spans="1:1" x14ac:dyDescent="0.25">
      <c r="A12" s="25" t="s">
        <v>708</v>
      </c>
    </row>
    <row r="13" spans="1:1" x14ac:dyDescent="0.25">
      <c r="A13" s="25" t="s">
        <v>709</v>
      </c>
    </row>
    <row r="14" spans="1:1" x14ac:dyDescent="0.25">
      <c r="A14" s="25" t="s">
        <v>710</v>
      </c>
    </row>
    <row r="15" spans="1:1" x14ac:dyDescent="0.25">
      <c r="A15" s="25" t="s">
        <v>711</v>
      </c>
    </row>
    <row r="16" spans="1:1" x14ac:dyDescent="0.25">
      <c r="A16" s="25" t="s">
        <v>712</v>
      </c>
    </row>
    <row r="17" spans="1:1" x14ac:dyDescent="0.25">
      <c r="A17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Ventas</vt:lpstr>
      <vt:lpstr>Compras</vt:lpstr>
      <vt:lpstr>Busqueda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Rodrigo Cabezas</cp:lastModifiedBy>
  <dcterms:created xsi:type="dcterms:W3CDTF">2026-08-03T13:57:49Z</dcterms:created>
  <dcterms:modified xsi:type="dcterms:W3CDTF">2026-08-07T19:34:39Z</dcterms:modified>
</cp:coreProperties>
</file>