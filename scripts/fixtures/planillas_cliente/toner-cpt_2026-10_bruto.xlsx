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.xml" ContentType="application/vnd.openxmlformats-officedocument.spreadsheetml.worksheet+xml"/>
  <Override PartName="/xl/comments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f894dd807273471e" />
  <Relationship Type="http://schemas.openxmlformats.org/package/2006/relationships/metadata/core-properties" Target="docProps/core.xml" Id="R9fa00649eb824db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Ventas" sheetId="1" r:id="R3961d1f5345e43c3"/>
    <x:sheet name="Compras" sheetId="2" r:id="Rc2ca03d171384989"/>
  </x:sheets>
</x:workbook>
</file>

<file path=xl/comments.xml><?xml version="1.0" encoding="utf-8"?>
<x:comments xmlns:x="http://schemas.openxmlformats.org/spreadsheetml/2006/main">
  <x:authors>
    <x:author>SpreadsheetLight</x:author>
  </x:authors>
  <x:commentList>
    <x:comment ref="D1" authorId="0">
      <x:text>
        <x:t>Unid. Vendidas del Mes 7 / Dias con Stk sobre el Quiebre / Estacionalidad del Mes</x:t>
      </x:text>
    </x:comment>
    <x:comment ref="E1" authorId="0">
      <x:text>
        <x:t>Unid. Vendidas del Mes 8 / Dias con Stk sobre el Quiebre / Estacionalidad del Mes</x:t>
      </x:text>
    </x:comment>
    <x:comment ref="F1" authorId="0">
      <x:text>
        <x:t>Unid. Vendidas del Mes 9 / Dias con Stk sobre el Quiebre / Estacionalidad del Mes</x:t>
      </x:text>
    </x:comment>
    <x:comment ref="G1" authorId="0">
      <x:text>
        <x:t>Unid. Vendidas del Mes 10 / Dias con Stk sobre el Quiebre / Estacionalidad del Mes</x:t>
      </x:text>
    </x:comment>
    <x:comment ref="H1" authorId="0">
      <x:text>
        <x:t>Unid. Vendidas del Mes 11 / Dias con Stk sobre el Quiebre / Estacionalidad del Mes</x:t>
      </x:text>
    </x:comment>
    <x:comment ref="I1" authorId="0">
      <x:text>
        <x:t>Unid. Vendidas del Mes 12 / Dias con Stk sobre el Quiebre / Estacionalidad del Mes</x:t>
      </x:text>
    </x:comment>
    <x:comment ref="J1" authorId="0">
      <x:text>
        <x:t>Unid. Vendidas del Mes 1 / Dias con Stk sobre el Quiebre / Estacionalidad del Mes</x:t>
      </x:text>
    </x:comment>
    <x:comment ref="K1" authorId="0">
      <x:text>
        <x:t>Unid. Vendidas del Mes 2 / Dias con Stk sobre el Quiebre / Estacionalidad del Mes</x:t>
      </x:text>
    </x:comment>
    <x:comment ref="L1" authorId="0">
      <x:text>
        <x:t>Unid. Vendidas del Mes 3 / Dias con Stk sobre el Quiebre / Estacionalidad del Mes</x:t>
      </x:text>
    </x:comment>
    <x:comment ref="M1" authorId="0">
      <x:text>
        <x:t>Unid. Vendidas del Mes 4 / Dias con Stk sobre el Quiebre / Estacionalidad del Mes</x:t>
      </x:text>
    </x:comment>
    <x:comment ref="N1" authorId="0">
      <x:text>
        <x:t>Unid. Vendidas del Mes 5 / Dias con Stk sobre el Quiebre / Estacionalidad del Mes</x:t>
      </x:text>
    </x:comment>
    <x:comment ref="O1" authorId="0">
      <x:text>
        <x:t>Unid. Vendidas del Mes 6 / Dias con Stk sobre el Quiebre / Estacionalidad del Mes</x:t>
      </x:text>
    </x:comment>
    <x:comment ref="P1" authorId="0">
      <x:text>
        <x:t>Unid. Vendidas del Mes 7 / Dias con Stk sobre el Quiebre / Estacionalidad del Mes</x:t>
      </x:text>
    </x:comment>
    <x:comment ref="Q1" authorId="0">
      <x:text>
        <x:t>Venta Estacionalizada Mes 7 / Dias con Stk sobre el Quiebre / Estacionalidad del Mes</x:t>
      </x:text>
    </x:comment>
    <x:comment ref="R1" authorId="0">
      <x:text>
        <x:t>Venta Estacionalizada Mes 8 / Dias con Stk sobre el Quiebre / Estacionalidad del Mes</x:t>
      </x:text>
    </x:comment>
    <x:comment ref="S1" authorId="0">
      <x:text>
        <x:t>Venta Estacionalizada Mes 9 / Dias con Stk sobre el Quiebre / Estacionalidad del Mes</x:t>
      </x:text>
    </x:comment>
    <x:comment ref="T1" authorId="0">
      <x:text>
        <x:t>Venta Estacionalizada Mes 10 / Dias con Stk sobre el Quiebre / Estacionalidad del Mes</x:t>
      </x:text>
    </x:comment>
    <x:comment ref="U1" authorId="0">
      <x:text>
        <x:t>Venta Estacionalizada Mes 11 / Dias con Stk sobre el Quiebre / Estacionalidad del Mes</x:t>
      </x:text>
    </x:comment>
    <x:comment ref="V1" authorId="0">
      <x:text>
        <x:t>Venta Estacionalizada Mes 12 / Dias con Stk sobre el Quiebre / Estacionalidad del Mes</x:t>
      </x:text>
    </x:comment>
    <x:comment ref="W1" authorId="0">
      <x:text>
        <x:t>Venta Estacionalizada Mes 1 / Dias con Stk sobre el Quiebre / Estacionalidad del Mes</x:t>
      </x:text>
    </x:comment>
    <x:comment ref="X1" authorId="0">
      <x:text>
        <x:t>Venta Estacionalizada Mes 2 / Dias con Stk sobre el Quiebre / Estacionalidad del Mes</x:t>
      </x:text>
    </x:comment>
    <x:comment ref="Y1" authorId="0">
      <x:text>
        <x:t>Venta Estacionalizada Mes 3 / Dias con Stk sobre el Quiebre / Estacionalidad del Mes</x:t>
      </x:text>
    </x:comment>
    <x:comment ref="Z1" authorId="0">
      <x:text>
        <x:t>Venta Estacionalizada Mes 4 / Dias con Stk sobre el Quiebre / Estacionalidad del Mes</x:t>
      </x:text>
    </x:comment>
    <x:comment ref="AA1" authorId="0">
      <x:text>
        <x:t>Venta Estacionalizada Mes 5 / Dias con Stk sobre el Quiebre / Estacionalidad del Mes</x:t>
      </x:text>
    </x:comment>
    <x:comment ref="AB1" authorId="0">
      <x:text>
        <x:t>Venta Estacionalizada Mes 6 / Dias con Stk sobre el Quiebre / Estacionalidad del Mes</x:t>
      </x:text>
    </x:comment>
    <x:comment ref="AC1" authorId="0">
      <x:text>
        <x:t>Venta Estacionalizada Mes 7 / Dias con Stk sobre el Quiebre / Estacionalidad del Mes</x:t>
      </x:text>
    </x:comment>
    <x:comment ref="AD1" authorId="0">
      <x:text>
        <x:t>Promedio de todos los Meses, menos el ultimo</x:t>
      </x:text>
    </x:comment>
    <x:comment ref="AE1" authorId="0">
      <x:text>
        <x:t>Valor Utilizado en la Hoja Compras (Rotacion DesEstacionalizada)</x:t>
      </x:text>
    </x:comment>
    <x:comment ref="R6" authorId="0">
      <x:text>
        <x:t>Dias de Quiebre 21</x:t>
      </x:text>
    </x:comment>
    <x:comment ref="T9" authorId="0">
      <x:text>
        <x:t>Dias de Quiebre 27</x:t>
      </x:text>
    </x:comment>
    <x:comment ref="AA9" authorId="0">
      <x:text>
        <x:t>Dias de Quiebre 18</x:t>
      </x:text>
    </x:comment>
    <x:comment ref="AB9" authorId="0">
      <x:text>
        <x:t>Dias de Quiebre 11</x:t>
      </x:text>
    </x:comment>
    <x:comment ref="AB22" authorId="0">
      <x:text>
        <x:t>Dias de Quiebre 28</x:t>
      </x:text>
    </x:comment>
    <x:comment ref="R33" authorId="0">
      <x:text>
        <x:t>Dias de Quiebre 14</x:t>
      </x:text>
    </x:comment>
    <x:comment ref="T33" authorId="0">
      <x:text>
        <x:t>Dias de Quiebre 15</x:t>
      </x:text>
    </x:comment>
    <x:comment ref="Q35" authorId="0">
      <x:text>
        <x:t>Dias de Quiebre 20</x:t>
      </x:text>
    </x:comment>
    <x:comment ref="T39" authorId="0">
      <x:text>
        <x:t>Dias de Quiebre 14</x:t>
      </x:text>
    </x:comment>
    <x:comment ref="Q41" authorId="0">
      <x:text>
        <x:t>Dias de Quiebre 4</x:t>
      </x:text>
    </x:comment>
    <x:comment ref="R41" authorId="0">
      <x:text>
        <x:t>Dias de Quiebre 3</x:t>
      </x:text>
    </x:comment>
    <x:comment ref="U43" authorId="0">
      <x:text>
        <x:t>Dias de Quiebre 21</x:t>
      </x:text>
    </x:comment>
    <x:comment ref="V43" authorId="0">
      <x:text>
        <x:t>Dias de Quiebre 29</x:t>
      </x:text>
    </x:comment>
    <x:comment ref="W43" authorId="0">
      <x:text>
        <x:t>Dias de Quiebre 11</x:t>
      </x:text>
    </x:comment>
    <x:comment ref="T46" authorId="0">
      <x:text>
        <x:t>Dias de Quiebre 15</x:t>
      </x:text>
    </x:comment>
    <x:comment ref="X46" authorId="0">
      <x:text>
        <x:t>Dias de Quiebre 3</x:t>
      </x:text>
    </x:comment>
    <x:comment ref="T49" authorId="0">
      <x:text>
        <x:t>Dias de Quiebre 13</x:t>
      </x:text>
    </x:comment>
    <x:comment ref="Y49" authorId="0">
      <x:text>
        <x:t>Dias de Quiebre 12</x:t>
      </x:text>
    </x:comment>
    <x:comment ref="AA49" authorId="0">
      <x:text>
        <x:t>Dias de Quiebre 1</x:t>
      </x:text>
    </x:comment>
    <x:comment ref="Z57" authorId="0">
      <x:text>
        <x:t>Dias de Quiebre 16</x:t>
      </x:text>
    </x:comment>
    <x:comment ref="Q83" authorId="0">
      <x:text>
        <x:t>Dias de Quiebre 20</x:t>
      </x:text>
    </x:comment>
    <x:comment ref="AA83" authorId="0">
      <x:text>
        <x:t>Dias de Quiebre 6</x:t>
      </x:text>
    </x:comment>
    <x:comment ref="S99" authorId="0">
      <x:text>
        <x:t>Dias de Quiebre 23</x:t>
      </x:text>
    </x:comment>
    <x:comment ref="Y101" authorId="0">
      <x:text>
        <x:t>Dias de Quiebre 21</x:t>
      </x:text>
    </x:comment>
    <x:comment ref="R102" authorId="0">
      <x:text>
        <x:t>Dias de Quiebre 17</x:t>
      </x:text>
    </x:comment>
    <x:comment ref="Q104" authorId="0">
      <x:text>
        <x:t>Dias de Quiebre 20</x:t>
      </x:text>
    </x:comment>
    <x:comment ref="AA112" authorId="0">
      <x:text>
        <x:t>Dias de Quiebre 21</x:t>
      </x:text>
    </x:comment>
    <x:comment ref="T118" authorId="0">
      <x:text>
        <x:t>Dias de Quiebre 5</x:t>
      </x:text>
    </x:comment>
    <x:comment ref="Z129" authorId="0">
      <x:text>
        <x:t>Dias de Quiebre 7</x:t>
      </x:text>
    </x:comment>
    <x:comment ref="AA129" authorId="0">
      <x:text>
        <x:t>Dias de Quiebre 1</x:t>
      </x:text>
    </x:comment>
    <x:comment ref="AB129" authorId="0">
      <x:text>
        <x:t>Dias de Quiebre 16</x:t>
      </x:text>
    </x:comment>
    <x:comment ref="Q139" authorId="0">
      <x:text>
        <x:t>Dias de Quiebre 20</x:t>
      </x:text>
    </x:comment>
    <x:comment ref="T141" authorId="0">
      <x:text>
        <x:t>Dias de Quiebre 15</x:t>
      </x:text>
    </x:comment>
    <x:comment ref="W147" authorId="0">
      <x:text>
        <x:t>Dias de Quiebre 22</x:t>
      </x:text>
    </x:comment>
    <x:comment ref="Y148" authorId="0">
      <x:text>
        <x:t>Dias de Quiebre 6</x:t>
      </x:text>
    </x:comment>
    <x:comment ref="Q150" authorId="0">
      <x:text>
        <x:t>Dias de Quiebre 4</x:t>
      </x:text>
    </x:comment>
    <x:comment ref="R165" authorId="0">
      <x:text>
        <x:t>Dias de Quiebre 14</x:t>
      </x:text>
    </x:comment>
    <x:comment ref="T165" authorId="0">
      <x:text>
        <x:t>Dias de Quiebre 15</x:t>
      </x:text>
    </x:comment>
    <x:comment ref="W165" authorId="0">
      <x:text>
        <x:t>Dias de Quiebre 17</x:t>
      </x:text>
    </x:comment>
    <x:comment ref="V166" authorId="0">
      <x:text>
        <x:t>Dias de Quiebre 23</x:t>
      </x:text>
    </x:comment>
    <x:comment ref="AA166" authorId="0">
      <x:text>
        <x:t>Dias de Quiebre 1</x:t>
      </x:text>
    </x:comment>
    <x:comment ref="T167" authorId="0">
      <x:text>
        <x:t>Dias de Quiebre 2</x:t>
      </x:text>
    </x:comment>
    <x:comment ref="W168" authorId="0">
      <x:text>
        <x:t>Dias de Quiebre 19</x:t>
      </x:text>
    </x:comment>
    <x:comment ref="AA168" authorId="0">
      <x:text>
        <x:t>Dias de Quiebre 1</x:t>
      </x:text>
    </x:comment>
    <x:comment ref="Q173" authorId="0">
      <x:text>
        <x:t>Dias de Quiebre 20</x:t>
      </x:text>
    </x:comment>
    <x:comment ref="Q187" authorId="0">
      <x:text>
        <x:t>Dias de Quiebre 18</x:t>
      </x:text>
    </x:comment>
    <x:comment ref="Q191" authorId="0">
      <x:text>
        <x:t>Dias de Quiebre 20</x:t>
      </x:text>
    </x:comment>
    <x:comment ref="AB191" authorId="0">
      <x:text>
        <x:t>Dias de Quiebre 8</x:t>
      </x:text>
    </x:comment>
    <x:comment ref="Q195" authorId="0">
      <x:text>
        <x:t>Dias de Quiebre 10</x:t>
      </x:text>
    </x:comment>
    <x:comment ref="X196" authorId="0">
      <x:text>
        <x:t>Dias de Quiebre 26</x:t>
      </x:text>
    </x:comment>
    <x:comment ref="Q198" authorId="0">
      <x:text>
        <x:t>Dias de Quiebre 20</x:t>
      </x:text>
    </x:comment>
    <x:comment ref="S201" authorId="0">
      <x:text>
        <x:t>Dias de Quiebre 16</x:t>
      </x:text>
    </x:comment>
    <x:comment ref="Q202" authorId="0">
      <x:text>
        <x:t>Dias de Quiebre 18</x:t>
      </x:text>
    </x:comment>
    <x:comment ref="T207" authorId="0">
      <x:text>
        <x:t>Dias de Quiebre 15</x:t>
      </x:text>
    </x:comment>
    <x:comment ref="T212" authorId="0">
      <x:text>
        <x:t>Dias de Quiebre 15</x:t>
      </x:text>
    </x:comment>
    <x:comment ref="T238" authorId="0">
      <x:text>
        <x:t>Dias de Quiebre 26</x:t>
      </x:text>
    </x:comment>
    <x:comment ref="W238" authorId="0">
      <x:text>
        <x:t>Dias de Quiebre 22</x:t>
      </x:text>
    </x:comment>
    <x:comment ref="Q239" authorId="0">
      <x:text>
        <x:t>Dias de Quiebre 10</x:t>
      </x:text>
    </x:comment>
    <x:comment ref="AA239" authorId="0">
      <x:text>
        <x:t>Dias de Quiebre 1</x:t>
      </x:text>
    </x:comment>
    <x:comment ref="AB244" authorId="0">
      <x:text>
        <x:t>Dias de Quiebre 1</x:t>
      </x:text>
    </x:comment>
    <x:comment ref="X267" authorId="0">
      <x:text>
        <x:t>Dias de Quiebre 11</x:t>
      </x:text>
    </x:comment>
    <x:comment ref="Z267" authorId="0">
      <x:text>
        <x:t>Dias de Quiebre 9</x:t>
      </x:text>
    </x:comment>
    <x:comment ref="Q272" authorId="0">
      <x:text>
        <x:t>Dias de Quiebre 20</x:t>
      </x:text>
    </x:comment>
    <x:comment ref="X272" authorId="0">
      <x:text>
        <x:t>Dias de Quiebre 11</x:t>
      </x:text>
    </x:comment>
    <x:comment ref="Y272" authorId="0">
      <x:text>
        <x:t>Dias de Quiebre 5</x:t>
      </x:text>
    </x:comment>
    <x:comment ref="Z272" authorId="0">
      <x:text>
        <x:t>Dias de Quiebre 24</x:t>
      </x:text>
    </x:comment>
    <x:comment ref="AA272" authorId="0">
      <x:text>
        <x:t>Dias de Quiebre 1</x:t>
      </x:text>
    </x:comment>
    <x:comment ref="V278" authorId="0">
      <x:text>
        <x:t>Dias de Quiebre 21</x:t>
      </x:text>
    </x:comment>
    <x:comment ref="W278" authorId="0">
      <x:text>
        <x:t>Dias de Quiebre 3</x:t>
      </x:text>
    </x:comment>
    <x:comment ref="S301" authorId="0">
      <x:text>
        <x:t>Dias de Quiebre 1</x:t>
      </x:text>
    </x:comment>
    <x:comment ref="T301" authorId="0">
      <x:text>
        <x:t>Dias de Quiebre 15</x:t>
      </x:text>
    </x:comment>
    <x:comment ref="S302" authorId="0">
      <x:text>
        <x:t>Dias de Quiebre 22</x:t>
      </x:text>
    </x:comment>
    <x:comment ref="V302" authorId="0">
      <x:text>
        <x:t>Dias de Quiebre 15</x:t>
      </x:text>
    </x:comment>
    <x:comment ref="AA302" authorId="0">
      <x:text>
        <x:t>Dias de Quiebre 1</x:t>
      </x:text>
    </x:comment>
    <x:comment ref="Q305" authorId="0">
      <x:text>
        <x:t>Dias de Quiebre 20</x:t>
      </x:text>
    </x:comment>
    <x:comment ref="R305" authorId="0">
      <x:text>
        <x:t>Dias de Quiebre 12</x:t>
      </x:text>
    </x:comment>
    <x:comment ref="T305" authorId="0">
      <x:text>
        <x:t>Dias de Quiebre 15</x:t>
      </x:text>
    </x:comment>
    <x:comment ref="V305" authorId="0">
      <x:text>
        <x:t>Dias de Quiebre 3</x:t>
      </x:text>
    </x:comment>
    <x:comment ref="W305" authorId="0">
      <x:text>
        <x:t>Dias de Quiebre 22</x:t>
      </x:text>
    </x:comment>
    <x:comment ref="Z305" authorId="0">
      <x:text>
        <x:t>Dias de Quiebre 4</x:t>
      </x:text>
    </x:comment>
    <x:comment ref="AA305" authorId="0">
      <x:text>
        <x:t>Dias de Quiebre 1</x:t>
      </x:text>
    </x:comment>
    <x:comment ref="Y306" authorId="0">
      <x:text>
        <x:t>Dias de Quiebre 29</x:t>
      </x:text>
    </x:comment>
    <x:comment ref="Q319" authorId="0">
      <x:text>
        <x:t>Dias de Quiebre 20</x:t>
      </x:text>
    </x:comment>
    <x:comment ref="Q321" authorId="0">
      <x:text>
        <x:t>Dias de Quiebre 23</x:t>
      </x:text>
    </x:comment>
    <x:comment ref="W321" authorId="0">
      <x:text>
        <x:t>Dias de Quiebre 22</x:t>
      </x:text>
    </x:comment>
    <x:comment ref="AB321" authorId="0">
      <x:text>
        <x:t>Dias de Quiebre 9</x:t>
      </x:text>
    </x:comment>
    <x:comment ref="Q330" authorId="0">
      <x:text>
        <x:t>Dias de Quiebre 20</x:t>
      </x:text>
    </x:comment>
    <x:comment ref="R330" authorId="0">
      <x:text>
        <x:t>Dias de Quiebre 5</x:t>
      </x:text>
    </x:comment>
    <x:comment ref="T330" authorId="0">
      <x:text>
        <x:t>Dias de Quiebre 15</x:t>
      </x:text>
    </x:comment>
    <x:comment ref="U330" authorId="0">
      <x:text>
        <x:t>Dias de Quiebre 16</x:t>
      </x:text>
    </x:comment>
    <x:comment ref="W330" authorId="0">
      <x:text>
        <x:t>Dias de Quiebre 22</x:t>
      </x:text>
    </x:comment>
    <x:comment ref="S332" authorId="0">
      <x:text>
        <x:t>Dias de Quiebre 29</x:t>
      </x:text>
    </x:comment>
    <x:comment ref="W332" authorId="0">
      <x:text>
        <x:t>Dias de Quiebre 22</x:t>
      </x:text>
    </x:comment>
    <x:comment ref="Z332" authorId="0">
      <x:text>
        <x:t>Dias de Quiebre 22</x:t>
      </x:text>
    </x:comment>
    <x:comment ref="AA332" authorId="0">
      <x:text>
        <x:t>Dias de Quiebre 5</x:t>
      </x:text>
    </x:comment>
    <x:comment ref="Y342" authorId="0">
      <x:text>
        <x:t>Dias de Quiebre 7</x:t>
      </x:text>
    </x:comment>
    <x:comment ref="Z342" authorId="0">
      <x:text>
        <x:t>Dias de Quiebre 29</x:t>
      </x:text>
    </x:comment>
    <x:comment ref="AA342" authorId="0">
      <x:text>
        <x:t>Dias de Quiebre 5</x:t>
      </x:text>
    </x:comment>
    <x:comment ref="AB342" authorId="0">
      <x:text>
        <x:t>Dias de Quiebre 20</x:t>
      </x:text>
    </x:comment>
    <x:comment ref="Q357" authorId="0">
      <x:text>
        <x:t>Dias de Quiebre 20</x:t>
      </x:text>
    </x:comment>
    <x:comment ref="AA357" authorId="0">
      <x:text>
        <x:t>Dias de Quiebre 26</x:t>
      </x:text>
    </x:comment>
    <x:comment ref="Y381" authorId="0">
      <x:text>
        <x:t>Dias de Quiebre 27</x:t>
      </x:text>
    </x:comment>
    <x:comment ref="S457" authorId="0">
      <x:text>
        <x:t>Dias de Quiebre 29</x:t>
      </x:text>
    </x:comment>
    <x:comment ref="Q462" authorId="0">
      <x:text>
        <x:t>Dias de Quiebre 8</x:t>
      </x:text>
    </x:comment>
    <x:comment ref="S462" authorId="0">
      <x:text>
        <x:t>Dias de Quiebre 15</x:t>
      </x:text>
    </x:comment>
    <x:comment ref="T462" authorId="0">
      <x:text>
        <x:t>Dias de Quiebre 30</x:t>
      </x:text>
    </x:comment>
    <x:comment ref="W462" authorId="0">
      <x:text>
        <x:t>Dias de Quiebre 22</x:t>
      </x:text>
    </x:comment>
    <x:comment ref="S473" authorId="0">
      <x:text>
        <x:t>Dias de Quiebre 29</x:t>
      </x:text>
    </x:comment>
    <x:comment ref="T473" authorId="0">
      <x:text>
        <x:t>Dias de Quiebre 26</x:t>
      </x:text>
    </x:comment>
    <x:comment ref="Q474" authorId="0">
      <x:text>
        <x:t>Dias de Quiebre 30</x:t>
      </x:text>
    </x:comment>
    <x:comment ref="R474" authorId="0">
      <x:text>
        <x:t>Dias de Quiebre 20</x:t>
      </x:text>
    </x:comment>
    <x:comment ref="S474" authorId="0">
      <x:text>
        <x:t>Dias de Quiebre 12</x:t>
      </x:text>
    </x:comment>
    <x:comment ref="U474" authorId="0">
      <x:text>
        <x:t>Dias de Quiebre 2</x:t>
      </x:text>
    </x:comment>
    <x:comment ref="V474" authorId="0">
      <x:text>
        <x:t>Dias de Quiebre 8</x:t>
      </x:text>
    </x:comment>
    <x:comment ref="W474" authorId="0">
      <x:text>
        <x:t>Dias de Quiebre 9</x:t>
      </x:text>
    </x:comment>
    <x:comment ref="R476" authorId="0">
      <x:text>
        <x:t>Dias de Quiebre 28</x:t>
      </x:text>
    </x:comment>
    <x:comment ref="T476" authorId="0">
      <x:text>
        <x:t>Dias de Quiebre 11</x:t>
      </x:text>
    </x:comment>
    <x:comment ref="U476" authorId="0">
      <x:text>
        <x:t>Dias de Quiebre 5</x:t>
      </x:text>
    </x:comment>
    <x:comment ref="W476" authorId="0">
      <x:text>
        <x:t>Dias de Quiebre 22</x:t>
      </x:text>
    </x:comment>
    <x:comment ref="AB476" authorId="0">
      <x:text>
        <x:t>Dias de Quiebre 5</x:t>
      </x:text>
    </x:comment>
    <x:comment ref="Q477" authorId="0">
      <x:text>
        <x:t>Dias de Quiebre 20</x:t>
      </x:text>
    </x:comment>
    <x:comment ref="Q478" authorId="0">
      <x:text>
        <x:t>Dias de Quiebre 20</x:t>
      </x:text>
    </x:comment>
    <x:comment ref="Q479" authorId="0">
      <x:text>
        <x:t>Dias de Quiebre 20</x:t>
      </x:text>
    </x:comment>
    <x:comment ref="Q480" authorId="0">
      <x:text>
        <x:t>Dias de Quiebre 20</x:t>
      </x:text>
    </x:comment>
    <x:comment ref="Z480" authorId="0">
      <x:text>
        <x:t>Dias de Quiebre 21</x:t>
      </x:text>
    </x:comment>
    <x:comment ref="Y481" authorId="0">
      <x:text>
        <x:t>Dias de Quiebre 29</x:t>
      </x:text>
    </x:comment>
    <x:comment ref="T482" authorId="0">
      <x:text>
        <x:t>Dias de Quiebre 15</x:t>
      </x:text>
    </x:comment>
    <x:comment ref="Q483" authorId="0">
      <x:text>
        <x:t>Dias de Quiebre 27</x:t>
      </x:text>
    </x:comment>
    <x:comment ref="R483" authorId="0">
      <x:text>
        <x:t>Dias de Quiebre 5</x:t>
      </x:text>
    </x:comment>
    <x:comment ref="S483" authorId="0">
      <x:text>
        <x:t>Dias de Quiebre 9</x:t>
      </x:text>
    </x:comment>
    <x:comment ref="T483" authorId="0">
      <x:text>
        <x:t>Dias de Quiebre 15</x:t>
      </x:text>
    </x:comment>
    <x:comment ref="W483" authorId="0">
      <x:text>
        <x:t>Dias de Quiebre 22</x:t>
      </x:text>
    </x:comment>
    <x:comment ref="T484" authorId="0">
      <x:text>
        <x:t>Dias de Quiebre 15</x:t>
      </x:text>
    </x:comment>
    <x:comment ref="T485" authorId="0">
      <x:text>
        <x:t>Dias de Quiebre 15</x:t>
      </x:text>
    </x:comment>
    <x:comment ref="T486" authorId="0">
      <x:text>
        <x:t>Dias de Quiebre 15</x:t>
      </x:text>
    </x:comment>
    <x:comment ref="AA487" authorId="0">
      <x:text>
        <x:t>Dias de Quiebre 27</x:t>
      </x:text>
    </x:comment>
    <x:comment ref="U488" authorId="0">
      <x:text>
        <x:t>Dias de Quiebre 23</x:t>
      </x:text>
    </x:comment>
    <x:comment ref="X488" authorId="0">
      <x:text>
        <x:t>Dias de Quiebre 27</x:t>
      </x:text>
    </x:comment>
    <x:comment ref="AA488" authorId="0">
      <x:text>
        <x:t>Dias de Quiebre 1</x:t>
      </x:text>
    </x:comment>
    <x:comment ref="T489" authorId="0">
      <x:text>
        <x:t>Dias de Quiebre 5</x:t>
      </x:text>
    </x:comment>
    <x:comment ref="U489" authorId="0">
      <x:text>
        <x:t>Dias de Quiebre 4</x:t>
      </x:text>
    </x:comment>
    <x:comment ref="W489" authorId="0">
      <x:text>
        <x:t>Dias de Quiebre 22</x:t>
      </x:text>
    </x:comment>
    <x:comment ref="V490" authorId="0">
      <x:text>
        <x:t>Dias de Quiebre 4</x:t>
      </x:text>
    </x:comment>
    <x:comment ref="Z490" authorId="0">
      <x:text>
        <x:t>Dias de Quiebre 1</x:t>
      </x:text>
    </x:comment>
    <x:comment ref="AA490" authorId="0">
      <x:text>
        <x:t>Dias de Quiebre 11</x:t>
      </x:text>
    </x:comment>
    <x:comment ref="AB490" authorId="0">
      <x:text>
        <x:t>Dias de Quiebre 3</x:t>
      </x:text>
    </x:comment>
    <x:comment ref="Z492" authorId="0">
      <x:text>
        <x:t>Dias de Quiebre 28</x:t>
      </x:text>
    </x:comment>
    <x:comment ref="AA492" authorId="0">
      <x:text>
        <x:t>Dias de Quiebre 1</x:t>
      </x:text>
    </x:comment>
    <x:comment ref="AB492" authorId="0">
      <x:text>
        <x:t>Dias de Quiebre 21</x:t>
      </x:text>
    </x:comment>
    <x:comment ref="AB494" authorId="0">
      <x:text>
        <x:t>Dias de Quiebre 22</x:t>
      </x:text>
    </x:comment>
    <x:comment ref="AB497" authorId="0">
      <x:text>
        <x:t>Dias de Quiebre 2</x:t>
      </x:text>
    </x:comment>
    <x:comment ref="Q504" authorId="0">
      <x:text>
        <x:t>Dias de Quiebre 20</x:t>
      </x:text>
    </x:comment>
    <x:comment ref="T504" authorId="0">
      <x:text>
        <x:t>Dias de Quiebre 15</x:t>
      </x:text>
    </x:comment>
    <x:comment ref="W504" authorId="0">
      <x:text>
        <x:t>Dias de Quiebre 9</x:t>
      </x:text>
    </x:comment>
    <x:comment ref="X504" authorId="0">
      <x:text>
        <x:t>Dias de Quiebre 4</x:t>
      </x:text>
    </x:comment>
    <x:comment ref="AA504" authorId="0">
      <x:text>
        <x:t>Dias de Quiebre 6</x:t>
      </x:text>
    </x:comment>
    <x:comment ref="AA512" authorId="0">
      <x:text>
        <x:t>Dias de Quiebre 3</x:t>
      </x:text>
    </x:comment>
    <x:comment ref="AB512" authorId="0">
      <x:text>
        <x:t>Dias de Quiebre 16</x:t>
      </x:text>
    </x:comment>
    <x:comment ref="R516" authorId="0">
      <x:text>
        <x:t>Dias de Quiebre 25</x:t>
      </x:text>
    </x:comment>
    <x:comment ref="T516" authorId="0">
      <x:text>
        <x:t>Dias de Quiebre 15</x:t>
      </x:text>
    </x:comment>
    <x:comment ref="W516" authorId="0">
      <x:text>
        <x:t>Dias de Quiebre 21</x:t>
      </x:text>
    </x:comment>
    <x:comment ref="Y516" authorId="0">
      <x:text>
        <x:t>Dias de Quiebre 19</x:t>
      </x:text>
    </x:comment>
    <x:comment ref="AA516" authorId="0">
      <x:text>
        <x:t>Dias de Quiebre 1</x:t>
      </x:text>
    </x:comment>
    <x:comment ref="Z530" authorId="0">
      <x:text>
        <x:t>Dias de Quiebre 16</x:t>
      </x:text>
    </x:comment>
    <x:comment ref="AA530" authorId="0">
      <x:text>
        <x:t>Dias de Quiebre 1</x:t>
      </x:text>
    </x:comment>
  </x:commentList>
</x:comments>
</file>

<file path=xl/comments2.xml><?xml version="1.0" encoding="utf-8"?>
<x:comments xmlns:x="http://schemas.openxmlformats.org/spreadsheetml/2006/main">
  <x:authors>
    <x:author>SpreadsheetLight</x:author>
  </x:authors>
  <x:commentList>
    <x:comment ref="K4" authorId="0">
      <x:text>
        <x:t>Stk.Act-Sum(Dias Ant*Rot.DesE*Estac.Ant)+Cant.Ant.Impo-(Dias Impo Act.*Rot.DesE*Estac.Periodo)</x:t>
      </x:text>
    </x:comment>
    <x:comment ref="L4" authorId="0">
      <x:text>
        <x:t>Quiebre/(Rotacion DesEstac.*Estac.Periodo)/Dias Protecc. Secc</x:t>
      </x:text>
    </x:comment>
    <x:comment ref="Q4" authorId="0">
      <x:text>
        <x:t>Sumatoria Quiebre de Stk de los 3 Art.</x:t>
      </x:text>
    </x:comment>
    <x:comment ref="R4" authorId="0">
      <x:text>
        <x:t>% Proteccion Ponderado de los 3 Art.</x:t>
      </x:text>
    </x:comment>
    <x:comment ref="S4" authorId="0">
      <x:text>
        <x:t>Dias a Reponer*(Rotacion DesEstac.*Estac. Periodo Futuro)-Stk.Arribo Ult</x:t>
      </x:text>
    </x:comment>
    <x:comment ref="T4" authorId="0">
      <x:text>
        <x:t>Valor Manual</x:t>
      </x:text>
    </x:comment>
    <x:comment ref="Y4" authorId="0">
      <x:text>
        <x:t>Si Quiebre&gt;0, Quiebre+(Si Confirmado &gt; 0, Confirmado,0),Confirmado</x:t>
      </x:text>
    </x:comment>
    <x:comment ref="AH4" authorId="0">
      <x:text>
        <x:t>Stk.Acumulado-(Dias Duracion*Rot.DesEstac.*Estac.Periodo Futuro)</x:t>
      </x:text>
    </x:comment>
    <x:comment ref="AI4" authorId="0">
      <x:text>
        <x:t>Stk Final/(Rotacion DesEstac.*Estac.Periodo Futuro)/Dias Protecc. Secc</x:t>
      </x:text>
    </x:comment>
    <x:comment ref="AN4" authorId="0">
      <x:text>
        <x:t>Sumatoria Stk. Final de los 3 Art.</x:t>
      </x:text>
    </x:comment>
    <x:comment ref="AO4" authorId="0">
      <x:text>
        <x:t>% Proteccion Final Ponderado de los 3 Art.</x:t>
      </x:text>
    </x:comment>
  </x:commentList>
</x:comments>
</file>

<file path=xl/sharedStrings.xml><?xml version="1.0" encoding="utf-8"?>
<x:sst xmlns:x="http://schemas.openxmlformats.org/spreadsheetml/2006/main" count="1628" uniqueCount="1628">
  <x:si>
    <x:t>Articulo</x:t>
  </x:si>
  <x:si>
    <x:t>Descripcion</x:t>
  </x:si>
  <x:si>
    <x:t>Codigos Barras</x:t>
  </x:si>
  <x:si>
    <x:t>Vta.Jul/25</x:t>
  </x:si>
  <x:si>
    <x:t>Vta.Ago/25</x:t>
  </x:si>
  <x:si>
    <x:t>Vta.Sep/25</x:t>
  </x:si>
  <x:si>
    <x:t>Vta.Oct/25</x:t>
  </x:si>
  <x:si>
    <x:t>Vta.Nov/25</x:t>
  </x:si>
  <x:si>
    <x:t>Vta.Dic/25</x:t>
  </x:si>
  <x:si>
    <x:t>Vta.Ene/26</x:t>
  </x:si>
  <x:si>
    <x:t>Vta.Feb/26</x:t>
  </x:si>
  <x:si>
    <x:t>Vta.Mar/26</x:t>
  </x:si>
  <x:si>
    <x:t>Vta.Abr/26</x:t>
  </x:si>
  <x:si>
    <x:t>Vta.May/26</x:t>
  </x:si>
  <x:si>
    <x:t>Vta.Jun/26</x:t>
  </x:si>
  <x:si>
    <x:t>Vta.Jul/26</x:t>
  </x:si>
  <x:si>
    <x:t>Jul/25</x:t>
  </x:si>
  <x:si>
    <x:t>Ago/25</x:t>
  </x:si>
  <x:si>
    <x:t>Sep/25</x:t>
  </x:si>
  <x:si>
    <x:t>Oct/25</x:t>
  </x:si>
  <x:si>
    <x:t>Nov/25</x:t>
  </x:si>
  <x:si>
    <x:t>Dic/25</x:t>
  </x:si>
  <x:si>
    <x:t>Ene/26</x:t>
  </x:si>
  <x:si>
    <x:t>Feb/26</x:t>
  </x:si>
  <x:si>
    <x:t>Mar/26</x:t>
  </x:si>
  <x:si>
    <x:t>Abr/26</x:t>
  </x:si>
  <x:si>
    <x:t>May/26</x:t>
  </x:si>
  <x:si>
    <x:t>Jun/26</x:t>
  </x:si>
  <x:si>
    <x:t>Jul/26</x:t>
  </x:si>
  <x:si>
    <x:t>Rotacion DesEstac.</x:t>
  </x:si>
  <x:si>
    <x:t>Rot. Manual</x:t>
  </x:si>
  <x:si>
    <x:t>Estado Art.</x:t>
  </x:si>
  <x:si>
    <x:t>C00159</x:t>
  </x:si>
  <x:si>
    <x:t>TONER SAMSUNG CPT ML1610/2010/4521/X3117 3K Univ.</x:t>
  </x:si>
  <x:si>
    <x:t>5358125120017</x:t>
  </x:si>
  <x:si>
    <x:t>A</x:t>
  </x:si>
  <x:si>
    <x:t>C00160</x:t>
  </x:si>
  <x:si>
    <x:t>TONER HP Q2612A / CANON FX9 / FX10 2K CPT</x:t>
  </x:si>
  <x:si>
    <x:t>5350125120257</x:t>
  </x:si>
  <x:si>
    <x:t>C00163</x:t>
  </x:si>
  <x:si>
    <x:t>TONER LEXMARK E120 - 12018SL CPT 2K</x:t>
  </x:si>
  <x:si>
    <x:t>5357125120133</x:t>
  </x:si>
  <x:si>
    <x:t>C00164</x:t>
  </x:si>
  <x:si>
    <x:t>TONER HP Q5949A / Q7553A 3K CPT</x:t>
  </x:si>
  <x:si>
    <x:t>5350125120127</x:t>
  </x:si>
  <x:si>
    <x:t>C00165</x:t>
  </x:si>
  <x:si>
    <x:t>TONER HP C4092A/CANON EP-22 CPT 2.5K</x:t>
  </x:si>
  <x:si>
    <x:t>5350125120059</x:t>
  </x:si>
  <x:si>
    <x:t>C00166</x:t>
  </x:si>
  <x:si>
    <x:t>TONER HP Q7553A 3K CPT</x:t>
  </x:si>
  <x:si>
    <x:t>5350125120400</x:t>
  </x:si>
  <x:si>
    <x:t>D</x:t>
  </x:si>
  <x:si>
    <x:t>C00174</x:t>
  </x:si>
  <x:si>
    <x:t>TONER XEROX 106R01271 BK 6110 CPT 2.0k</x:t>
  </x:si>
  <x:si>
    <x:t>5352125120022</x:t>
  </x:si>
  <x:si>
    <x:t>C00175</x:t>
  </x:si>
  <x:si>
    <x:t>TONER XEROX 106R01272 CY 6110 CPT 1.0k</x:t>
  </x:si>
  <x:si>
    <x:t>5352125120039</x:t>
  </x:si>
  <x:si>
    <x:t>C00176</x:t>
  </x:si>
  <x:si>
    <x:t>TONER XEROX 106R01273 MG 6110 CPT 1.0K</x:t>
  </x:si>
  <x:si>
    <x:t>5352125120046</x:t>
  </x:si>
  <x:si>
    <x:t>C00177</x:t>
  </x:si>
  <x:si>
    <x:t>TONER XEROX 106R01274 YE 6110 CPT 1.0K</x:t>
  </x:si>
  <x:si>
    <x:t>5352125120053</x:t>
  </x:si>
  <x:si>
    <x:t>C00178</x:t>
  </x:si>
  <x:si>
    <x:t>TONER BROTHER TN-360/TN-2115/2125 CPT 2.6K</x:t>
  </x:si>
  <x:si>
    <x:t>5353137120017</x:t>
  </x:si>
  <x:si>
    <x:t>C00179</x:t>
  </x:si>
  <x:si>
    <x:t>TONER BROTHER TN-580/TN-650 CPT 8K</x:t>
  </x:si>
  <x:si>
    <x:t>5353125120029</x:t>
  </x:si>
  <x:si>
    <x:t>C00181</x:t>
  </x:si>
  <x:si>
    <x:t>TONER OKIDATA 2500/ 2520 - CPT 2.2K</x:t>
  </x:si>
  <x:si>
    <x:t>C00182</x:t>
  </x:si>
  <x:si>
    <x:t>TONER OKIDATA 6300 - CPT 10K</x:t>
  </x:si>
  <x:si>
    <x:t>5352125120060</x:t>
  </x:si>
  <x:si>
    <x:t>C00183</x:t>
  </x:si>
  <x:si>
    <x:t>TONER XEROX 3140 / 3160 108R00909 2.5k CPT</x:t>
  </x:si>
  <x:si>
    <x:t>5352137120065</x:t>
  </x:si>
  <x:si>
    <x:t>C00184</x:t>
  </x:si>
  <x:si>
    <x:t>TONER SAMSUNG MLT-104S - CPT 1665/3200/3205 1.5K</x:t>
  </x:si>
  <x:si>
    <x:t>5358125120055</x:t>
  </x:si>
  <x:si>
    <x:t>C00185</x:t>
  </x:si>
  <x:si>
    <x:t>TONER KYOCERA TK-112/TK-110 CPT 6K</x:t>
  </x:si>
  <x:si>
    <x:t>5361125120017</x:t>
  </x:si>
  <x:si>
    <x:t>C00186</x:t>
  </x:si>
  <x:si>
    <x:t>TONER CANON FX9 CPT 2K</x:t>
  </x:si>
  <x:si>
    <x:t>5358125120062</x:t>
  </x:si>
  <x:si>
    <x:t>C00187</x:t>
  </x:si>
  <x:si>
    <x:t>TONER SAMSUNG 105L 2,5K CPT</x:t>
  </x:si>
  <x:si>
    <x:t>5359137120019</x:t>
  </x:si>
  <x:si>
    <x:t>C00188</x:t>
  </x:si>
  <x:si>
    <x:t>TONER HP CE278A 2.1K CPT</x:t>
  </x:si>
  <x:si>
    <x:t>5350137120535</x:t>
  </x:si>
  <x:si>
    <x:t>C00189</x:t>
  </x:si>
  <x:si>
    <x:t>TONER HP CE255X CPT 12.5K</x:t>
  </x:si>
  <x:si>
    <x:t>5350137120528</x:t>
  </x:si>
  <x:si>
    <x:t>C00190</x:t>
  </x:si>
  <x:si>
    <x:t>TONER BROTHER TN-450/2250 CPT 2.5K</x:t>
  </x:si>
  <x:si>
    <x:t>5353125120036</x:t>
  </x:si>
  <x:si>
    <x:t>C00191</x:t>
  </x:si>
  <x:si>
    <x:t>TONER BROTHER TN-650 CPT 8K</x:t>
  </x:si>
  <x:si>
    <x:t>C00192</x:t>
  </x:si>
  <x:si>
    <x:t>TONER SAMSUNG CLP-409 BK CPT 1.5K</x:t>
  </x:si>
  <x:si>
    <x:t>5358137120104</x:t>
  </x:si>
  <x:si>
    <x:t>C00193</x:t>
  </x:si>
  <x:si>
    <x:t>TONER SAMSUNG CLP-409 CY CPT 1.0K</x:t>
  </x:si>
  <x:si>
    <x:t>5358137120111</x:t>
  </x:si>
  <x:si>
    <x:t>C00194</x:t>
  </x:si>
  <x:si>
    <x:t>TONER SAMSUNG CLP-409 MG CPT 1.0K</x:t>
  </x:si>
  <x:si>
    <x:t>5358137120128</x:t>
  </x:si>
  <x:si>
    <x:t>C00195</x:t>
  </x:si>
  <x:si>
    <x:t>TONER SAMSUNG CLP-409 YE CPT 1.0K</x:t>
  </x:si>
  <x:si>
    <x:t>5358137120135</x:t>
  </x:si>
  <x:si>
    <x:t>C00196</x:t>
  </x:si>
  <x:si>
    <x:t>TONER SAMSUNG CLT-407/409S BK CPT 1.5K</x:t>
  </x:si>
  <x:si>
    <x:t>5358137120142</x:t>
  </x:si>
  <x:si>
    <x:t>C00197</x:t>
  </x:si>
  <x:si>
    <x:t>TONER SAMSUNG CLT-407/409S CY CPT 1.0K</x:t>
  </x:si>
  <x:si>
    <x:t>5358137120159</x:t>
  </x:si>
  <x:si>
    <x:t>C00198</x:t>
  </x:si>
  <x:si>
    <x:t>TONER SAMSUNG CLT-407/409S MG CPT 1.0K</x:t>
  </x:si>
  <x:si>
    <x:t>5358137120166</x:t>
  </x:si>
  <x:si>
    <x:t>C00199</x:t>
  </x:si>
  <x:si>
    <x:t>TONER SAMSUNG CLT-407/409S YE CPT 1.0K</x:t>
  </x:si>
  <x:si>
    <x:t>5358137120173</x:t>
  </x:si>
  <x:si>
    <x:t>C00200</x:t>
  </x:si>
  <x:si>
    <x:t>TONER HP CB540A (128A) /CE320A/CF210X BK 2.2K CPT</x:t>
  </x:si>
  <x:si>
    <x:t>5350137120566</x:t>
  </x:si>
  <x:si>
    <x:t>C00201</x:t>
  </x:si>
  <x:si>
    <x:t>TONER HP CB541A (128A) /CE321A/CF211A CY 1.4K CPT</x:t>
  </x:si>
  <x:si>
    <x:t>5350137120573</x:t>
  </x:si>
  <x:si>
    <x:t>C00202</x:t>
  </x:si>
  <x:si>
    <x:t>TONER HP CB542A (128A) /CE322A/CF212A YE 1.4K CPT</x:t>
  </x:si>
  <x:si>
    <x:t>5350137120580</x:t>
  </x:si>
  <x:si>
    <x:t>C00203</x:t>
  </x:si>
  <x:si>
    <x:t>TONER HP CB543A (128A) /CE323A/CF213A MG 1.4K CPT</x:t>
  </x:si>
  <x:si>
    <x:t>5350137120597</x:t>
  </x:si>
  <x:si>
    <x:t>C00204</x:t>
  </x:si>
  <x:si>
    <x:t>TONER SAMSUNG D101/ML-2165 1.5K</x:t>
  </x:si>
  <x:si>
    <x:t>5358137120180</x:t>
  </x:si>
  <x:si>
    <x:t>C00205</x:t>
  </x:si>
  <x:si>
    <x:t>TONER XEROX 3010/3040 CPT 2.2K 106R02182</x:t>
  </x:si>
  <x:si>
    <x:t>5352137120089</x:t>
  </x:si>
  <x:si>
    <x:t>C00206</x:t>
  </x:si>
  <x:si>
    <x:t>TONER BROTHER TN-750/3385/3380/3340 CPT 8K</x:t>
  </x:si>
  <x:si>
    <x:t>5353137120055</x:t>
  </x:si>
  <x:si>
    <x:t>C00207</x:t>
  </x:si>
  <x:si>
    <x:t>TONER SAMSUNG ML2850 5.0K</x:t>
  </x:si>
  <x:si>
    <x:t>5358137120197</x:t>
  </x:si>
  <x:si>
    <x:t>C00263</x:t>
  </x:si>
  <x:si>
    <x:t>TAMBOR BROTHER DR-360 CPT 12K</x:t>
  </x:si>
  <x:si>
    <x:t>5350137120610</x:t>
  </x:si>
  <x:si>
    <x:t>C00264</x:t>
  </x:si>
  <x:si>
    <x:t>TAMBOR BROTHER DR-450/420 CPT 12K</x:t>
  </x:si>
  <x:si>
    <x:t>5350137120627</x:t>
  </x:si>
  <x:si>
    <x:t>C00265</x:t>
  </x:si>
  <x:si>
    <x:t>TAMBOR BROTHER DR-620/520  CPT 25K</x:t>
  </x:si>
  <x:si>
    <x:t>5350137120634</x:t>
  </x:si>
  <x:si>
    <x:t>C00266</x:t>
  </x:si>
  <x:si>
    <x:t>TONER BROTHER TN-350 CPT 2.5K</x:t>
  </x:si>
  <x:si>
    <x:t>5350137120603</x:t>
  </x:si>
  <x:si>
    <x:t>C00267</x:t>
  </x:si>
  <x:si>
    <x:t>TONER HP C3906A CPT 2.5K</x:t>
  </x:si>
  <x:si>
    <x:t>5350137120641</x:t>
  </x:si>
  <x:si>
    <x:t>C00268</x:t>
  </x:si>
  <x:si>
    <x:t>TONER HP C7115A / Q2613A / Q2624A Univ CPT 2.5K</x:t>
  </x:si>
  <x:si>
    <x:t>5350137120658</x:t>
  </x:si>
  <x:si>
    <x:t>C00269</x:t>
  </x:si>
  <x:si>
    <x:t>TONER HP C7115X / Q2613X CPT 3.5K</x:t>
  </x:si>
  <x:si>
    <x:t>5350137120665</x:t>
  </x:si>
  <x:si>
    <x:t>C00270</x:t>
  </x:si>
  <x:si>
    <x:t>TONER HP CC364A / 390A CPT 10K</x:t>
  </x:si>
  <x:si>
    <x:t>5350137120672</x:t>
  </x:si>
  <x:si>
    <x:t>C00271</x:t>
  </x:si>
  <x:si>
    <x:t>TONER HP CC364X / 390X CPT 24K</x:t>
  </x:si>
  <x:si>
    <x:t>5350137120689</x:t>
  </x:si>
  <x:si>
    <x:t>C00272</x:t>
  </x:si>
  <x:si>
    <x:t>TONER HP Q2612X 3K CPT</x:t>
  </x:si>
  <x:si>
    <x:t>5350137120788</x:t>
  </x:si>
  <x:si>
    <x:t>C00273</x:t>
  </x:si>
  <x:si>
    <x:t>TONER HP Q5949X 6K CPT</x:t>
  </x:si>
  <x:si>
    <x:t>5350137120795</x:t>
  </x:si>
  <x:si>
    <x:t>C00274</x:t>
  </x:si>
  <x:si>
    <x:t>TONER HP C530 BK CPT 3.5K</x:t>
  </x:si>
  <x:si>
    <x:t>C00275</x:t>
  </x:si>
  <x:si>
    <x:t>TONER HP C531 CY CPT 2.8K</x:t>
  </x:si>
  <x:si>
    <x:t>C00276</x:t>
  </x:si>
  <x:si>
    <x:t>TONER HP C532 YE CPT 2.8K</x:t>
  </x:si>
  <x:si>
    <x:t>C00277</x:t>
  </x:si>
  <x:si>
    <x:t>TONER HP C533 MG CPT 2.8K</x:t>
  </x:si>
  <x:si>
    <x:t>C00278</x:t>
  </x:si>
  <x:si>
    <x:t>TONER HP CE310/CF350A BK CPT 1.3K</x:t>
  </x:si>
  <x:si>
    <x:t>5350137120740</x:t>
  </x:si>
  <x:si>
    <x:t>C00279</x:t>
  </x:si>
  <x:si>
    <x:t>TONER HP CE311/CF351 CY CPT 1.0K</x:t>
  </x:si>
  <x:si>
    <x:t>5350137120757</x:t>
  </x:si>
  <x:si>
    <x:t>C00280</x:t>
  </x:si>
  <x:si>
    <x:t>TONER HP CE312/CF352 YE CPT 1.0K</x:t>
  </x:si>
  <x:si>
    <x:t>5350137120764</x:t>
  </x:si>
  <x:si>
    <x:t>C00281</x:t>
  </x:si>
  <x:si>
    <x:t>TONER HP CE313/CF353 MG CPT 1.0K</x:t>
  </x:si>
  <x:si>
    <x:t>5350137120771</x:t>
  </x:si>
  <x:si>
    <x:t>C00283</x:t>
  </x:si>
  <x:si>
    <x:t>TONER LEXMARK E210 CPT 2.5K</x:t>
  </x:si>
  <x:si>
    <x:t>5350137120818</x:t>
  </x:si>
  <x:si>
    <x:t>C00284</x:t>
  </x:si>
  <x:si>
    <x:t>TONER LEXMARK 2.5K E230/E232/E234/240/E330/E33 CPT</x:t>
  </x:si>
  <x:si>
    <x:t>5350137120825</x:t>
  </x:si>
  <x:si>
    <x:t>C00285</x:t>
  </x:si>
  <x:si>
    <x:t>TONER LEXMARK E250 CPT 3.5K</x:t>
  </x:si>
  <x:si>
    <x:t>5350137120832</x:t>
  </x:si>
  <x:si>
    <x:t>C00286</x:t>
  </x:si>
  <x:si>
    <x:t>TONER OKIDATA 2500X CPT 4K</x:t>
  </x:si>
  <x:si>
    <x:t>5360125120027</x:t>
  </x:si>
  <x:si>
    <x:t>C00287</x:t>
  </x:si>
  <x:si>
    <x:t>TONER SAMSUNG CLP-300 BK CPT 2K</x:t>
  </x:si>
  <x:si>
    <x:t>5358137120265</x:t>
  </x:si>
  <x:si>
    <x:t>C00288</x:t>
  </x:si>
  <x:si>
    <x:t>TONER SAMSUNG CLP-300 CY CPT 1K</x:t>
  </x:si>
  <x:si>
    <x:t>5358137120203</x:t>
  </x:si>
  <x:si>
    <x:t>C00289</x:t>
  </x:si>
  <x:si>
    <x:t>TONER SAMSUNG CLP-300 MG CPT 1K</x:t>
  </x:si>
  <x:si>
    <x:t>5358137120210</x:t>
  </x:si>
  <x:si>
    <x:t>C00290</x:t>
  </x:si>
  <x:si>
    <x:t>TONER SAMSUNG CLP-300 YE CPT 1K</x:t>
  </x:si>
  <x:si>
    <x:t>5358137120227</x:t>
  </x:si>
  <x:si>
    <x:t>C00295</x:t>
  </x:si>
  <x:si>
    <x:t>TONER XEROX 6125 BK CPT 2K</x:t>
  </x:si>
  <x:si>
    <x:t>5350137121259</x:t>
  </x:si>
  <x:si>
    <x:t>C00296</x:t>
  </x:si>
  <x:si>
    <x:t>TONER XEROX 6125 CY CPT 1K</x:t>
  </x:si>
  <x:si>
    <x:t>5350137121266</x:t>
  </x:si>
  <x:si>
    <x:t>C00297</x:t>
  </x:si>
  <x:si>
    <x:t>TONER XEROX 6125 MG CPT 1K</x:t>
  </x:si>
  <x:si>
    <x:t>5350137121273</x:t>
  </x:si>
  <x:si>
    <x:t>C00298</x:t>
  </x:si>
  <x:si>
    <x:t>TONER XEROX 6125 YE CPT 1K</x:t>
  </x:si>
  <x:si>
    <x:t>5350137121280</x:t>
  </x:si>
  <x:si>
    <x:t>C00299</x:t>
  </x:si>
  <x:si>
    <x:t>TONER XEROX 6130 BK CPT 2.5K</x:t>
  </x:si>
  <x:si>
    <x:t>5350137121297</x:t>
  </x:si>
  <x:si>
    <x:t>C00300</x:t>
  </x:si>
  <x:si>
    <x:t>TONER XEROX 6130 CY CPT 1.9K</x:t>
  </x:si>
  <x:si>
    <x:t>5350137121303</x:t>
  </x:si>
  <x:si>
    <x:t>C00301</x:t>
  </x:si>
  <x:si>
    <x:t>TONER XEROX 6130 MG CPT 1.9K</x:t>
  </x:si>
  <x:si>
    <x:t>5350137121310</x:t>
  </x:si>
  <x:si>
    <x:t>C00302</x:t>
  </x:si>
  <x:si>
    <x:t>TONER XEROX 6130 YE CPT 1.9K</x:t>
  </x:si>
  <x:si>
    <x:t>5350137121327</x:t>
  </x:si>
  <x:si>
    <x:t>C00303</x:t>
  </x:si>
  <x:si>
    <x:t>TONER SAMSUNG MLT-D103L 2.5k CPT</x:t>
  </x:si>
  <x:si>
    <x:t>5350137121013</x:t>
  </x:si>
  <x:si>
    <x:t>C00305</x:t>
  </x:si>
  <x:si>
    <x:t>TONER SAMSUNG MLT-109L/SCX4300 CPT 2K</x:t>
  </x:si>
  <x:si>
    <x:t>5358137120234</x:t>
  </x:si>
  <x:si>
    <x:t>C00307</x:t>
  </x:si>
  <x:si>
    <x:t>TAMBOR BROTHER HL-2030/2035/2040 CPT</x:t>
  </x:si>
  <x:si>
    <x:t>C00313</x:t>
  </x:si>
  <x:si>
    <x:t>TONER LEXMARK E350 CPT 9K</x:t>
  </x:si>
  <x:si>
    <x:t>5350137120849</x:t>
  </x:si>
  <x:si>
    <x:t>C00316</x:t>
  </x:si>
  <x:si>
    <x:t>TAMBOR LEXMARK E120 17K</x:t>
  </x:si>
  <x:si>
    <x:t>5350137120801</x:t>
  </x:si>
  <x:si>
    <x:t>C00317</x:t>
  </x:si>
  <x:si>
    <x:t>TONER SAMSUNG MLT-1640/108 CPT 1.5K</x:t>
  </x:si>
  <x:si>
    <x:t>5350137120856</x:t>
  </x:si>
  <x:si>
    <x:t>C00318</x:t>
  </x:si>
  <x:si>
    <x:t>TONER SAMSUNG MLT-1670 CPT 1.5K</x:t>
  </x:si>
  <x:si>
    <x:t>5350137120863</x:t>
  </x:si>
  <x:si>
    <x:t>C00319</x:t>
  </x:si>
  <x:si>
    <x:t>TONER HP CE255A CPT 6K</x:t>
  </x:si>
  <x:si>
    <x:t>5350137120733</x:t>
  </x:si>
  <x:si>
    <x:t>C00324</x:t>
  </x:si>
  <x:si>
    <x:t>TONER BROTHER TN-210 BK CPT 2.2K</x:t>
  </x:si>
  <x:si>
    <x:t>5350137121204</x:t>
  </x:si>
  <x:si>
    <x:t>C00325</x:t>
  </x:si>
  <x:si>
    <x:t>TONER BROTHER TN-210 CY CPT 1.4K</x:t>
  </x:si>
  <x:si>
    <x:t>5350137121211</x:t>
  </x:si>
  <x:si>
    <x:t>C00326</x:t>
  </x:si>
  <x:si>
    <x:t>TONER BROTHER TN-210 MG CPT 1.4K</x:t>
  </x:si>
  <x:si>
    <x:t>5350137121228</x:t>
  </x:si>
  <x:si>
    <x:t>C00327</x:t>
  </x:si>
  <x:si>
    <x:t>TONER BROTHER TN-210 YE CPT 1.4K</x:t>
  </x:si>
  <x:si>
    <x:t>5350137121235</x:t>
  </x:si>
  <x:si>
    <x:t>C00328</x:t>
  </x:si>
  <x:si>
    <x:t>TONER HP CF280A/CE505A/CRG120 CPT 2.3K</x:t>
  </x:si>
  <x:si>
    <x:t>5350137121358</x:t>
  </x:si>
  <x:si>
    <x:t>C00329</x:t>
  </x:si>
  <x:si>
    <x:t>TONER OKIDATA B4400/4500/4600 CPT 7K</x:t>
  </x:si>
  <x:si>
    <x:t>5358137120241</x:t>
  </x:si>
  <x:si>
    <x:t>C00339</x:t>
  </x:si>
  <x:si>
    <x:t>TONER SAMSUNG SCX-4725 CPT 3K</x:t>
  </x:si>
  <x:si>
    <x:t>5358137120876</x:t>
  </x:si>
  <x:si>
    <x:t>C00353</x:t>
  </x:si>
  <x:si>
    <x:t>TONER XEROX  PE120 BK CPT 5K</x:t>
  </x:si>
  <x:si>
    <x:t>5350137121334</x:t>
  </x:si>
  <x:si>
    <x:t>C00357</x:t>
  </x:si>
  <x:si>
    <x:t>TONER XEROX CCL 3119 CPT 3K</x:t>
  </x:si>
  <x:si>
    <x:t>5358137120678</x:t>
  </x:si>
  <x:si>
    <x:t>C00375</x:t>
  </x:si>
  <x:si>
    <x:t>TONER BROTHER TN-1060/1030 BK CPT 1K</x:t>
  </x:si>
  <x:si>
    <x:t>5350137121150</x:t>
  </x:si>
  <x:si>
    <x:t>C00376</x:t>
  </x:si>
  <x:si>
    <x:t>TONER LEXMARK E260A11L E260/E360/E460 CPT 3.5K</x:t>
  </x:si>
  <x:si>
    <x:t>5350137121020</x:t>
  </x:si>
  <x:si>
    <x:t>C00377</x:t>
  </x:si>
  <x:si>
    <x:t>TONER BROTHER TN-115 BK CPT 5K</x:t>
  </x:si>
  <x:si>
    <x:t>5350137121037</x:t>
  </x:si>
  <x:si>
    <x:t>C00378</x:t>
  </x:si>
  <x:si>
    <x:t>TONER BROTHER TN-115 CY CPT 4K</x:t>
  </x:si>
  <x:si>
    <x:t>5350137121044</x:t>
  </x:si>
  <x:si>
    <x:t>C00379</x:t>
  </x:si>
  <x:si>
    <x:t>TONER BROTHER TN-115 MG CPT 4K</x:t>
  </x:si>
  <x:si>
    <x:t>5350137121051</x:t>
  </x:si>
  <x:si>
    <x:t>C00380</x:t>
  </x:si>
  <x:si>
    <x:t>TONER BROTHER TN-115 YE CPT 4K</x:t>
  </x:si>
  <x:si>
    <x:t>5350137121068</x:t>
  </x:si>
  <x:si>
    <x:t>C00381</x:t>
  </x:si>
  <x:si>
    <x:t>TONER BROTHER TN-315/319 BK CPT 6K</x:t>
  </x:si>
  <x:si>
    <x:t>5350137121075</x:t>
  </x:si>
  <x:si>
    <x:t>C00382</x:t>
  </x:si>
  <x:si>
    <x:t>TONER BROTHER TN-315/319 CY CPT 3.5K</x:t>
  </x:si>
  <x:si>
    <x:t>5350137121082</x:t>
  </x:si>
  <x:si>
    <x:t>C00383</x:t>
  </x:si>
  <x:si>
    <x:t>TONER BROTHER TN-315/319 MG CPT 3.5K</x:t>
  </x:si>
  <x:si>
    <x:t>5350137121099</x:t>
  </x:si>
  <x:si>
    <x:t>C00384</x:t>
  </x:si>
  <x:si>
    <x:t>TONER BROTHER TN-315/319 YE CPT 3.5K</x:t>
  </x:si>
  <x:si>
    <x:t>5350137121105</x:t>
  </x:si>
  <x:si>
    <x:t>C00385</x:t>
  </x:si>
  <x:si>
    <x:t>TONER SAMSUNG CLT-406 BK  CPT 1K</x:t>
  </x:si>
  <x:si>
    <x:t>5350137121112</x:t>
  </x:si>
  <x:si>
    <x:t>C00386</x:t>
  </x:si>
  <x:si>
    <x:t>TONER SAMSUNG CLT-406 CY  CPT 1K</x:t>
  </x:si>
  <x:si>
    <x:t>5350137121129</x:t>
  </x:si>
  <x:si>
    <x:t>C00387</x:t>
  </x:si>
  <x:si>
    <x:t>TONER SAMSUNG CLT-406 MG  CPT 1K</x:t>
  </x:si>
  <x:si>
    <x:t>5350137121136</x:t>
  </x:si>
  <x:si>
    <x:t>C00388</x:t>
  </x:si>
  <x:si>
    <x:t>TONER SAMSUNG CLT-406 YE  CPT 1K</x:t>
  </x:si>
  <x:si>
    <x:t>5350137121143</x:t>
  </x:si>
  <x:si>
    <x:t>C00389</x:t>
  </x:si>
  <x:si>
    <x:t>TONER SAMSUNG MLT-D111L BK 2.0K CPT</x:t>
  </x:si>
  <x:si>
    <x:t>5350137121181</x:t>
  </x:si>
  <x:si>
    <x:t>C00390</x:t>
  </x:si>
  <x:si>
    <x:t>TONER SAMSUNG MLT-115L 3.0k CPT</x:t>
  </x:si>
  <x:si>
    <x:t>5350137121198</x:t>
  </x:si>
  <x:si>
    <x:t>C00391</x:t>
  </x:si>
  <x:si>
    <x:t>TONER HP 435/436/285A/278A 2K CPT</x:t>
  </x:si>
  <x:si>
    <x:t>5350137121167</x:t>
  </x:si>
  <x:si>
    <x:t>C00398</x:t>
  </x:si>
  <x:si>
    <x:t>TONER HP CE505X/CF280X/CRG120 CPT 6.5K</x:t>
  </x:si>
  <x:si>
    <x:t>5350137120511</x:t>
  </x:si>
  <x:si>
    <x:t>C00399</x:t>
  </x:si>
  <x:si>
    <x:t>TAMBOR BROTHER DR-1060 CPT 10K</x:t>
  </x:si>
  <x:si>
    <x:t>5358137120326</x:t>
  </x:si>
  <x:si>
    <x:t>C00400</x:t>
  </x:si>
  <x:si>
    <x:t>TONER XEROX 3250 CPT 5K 106R01374</x:t>
  </x:si>
  <x:si>
    <x:t>5358137120333</x:t>
  </x:si>
  <x:si>
    <x:t>C00402</x:t>
  </x:si>
  <x:si>
    <x:t>TONER CANON EP-26/27/X25/cartridge U CPT 2.5K</x:t>
  </x:si>
  <x:si>
    <x:t>5358137120364</x:t>
  </x:si>
  <x:si>
    <x:t>C00405</x:t>
  </x:si>
  <x:si>
    <x:t>TONER SAMSUNG MLT-1710/4100 Univ. CPT 3K</x:t>
  </x:si>
  <x:si>
    <x:t>C00407</x:t>
  </x:si>
  <x:si>
    <x:t>TONER KYOCERA TK-160/162/163/164  2.5 K CPT</x:t>
  </x:si>
  <x:si>
    <x:t>5358137120388</x:t>
  </x:si>
  <x:si>
    <x:t>C00409</x:t>
  </x:si>
  <x:si>
    <x:t>TONER XEROX 6000/6010/6015 BK CPT 2k 106R01634</x:t>
  </x:si>
  <x:si>
    <x:t>5358137120289</x:t>
  </x:si>
  <x:si>
    <x:t>C00410</x:t>
  </x:si>
  <x:si>
    <x:t>TONER XEROX 6000/6010/6015 CY CPT 1k 106R01631</x:t>
  </x:si>
  <x:si>
    <x:t>5358137120296</x:t>
  </x:si>
  <x:si>
    <x:t>C00411</x:t>
  </x:si>
  <x:si>
    <x:t>TONER XEROX 6000/6010/6015 MG CPT 1k 106R01632</x:t>
  </x:si>
  <x:si>
    <x:t>5358137120302</x:t>
  </x:si>
  <x:si>
    <x:t>C00412</x:t>
  </x:si>
  <x:si>
    <x:t>TONER XEROX 6000/6010/6015 YE CPT 1k 106R01633</x:t>
  </x:si>
  <x:si>
    <x:t>5358137120319</x:t>
  </x:si>
  <x:si>
    <x:t>C00413</x:t>
  </x:si>
  <x:si>
    <x:t>TONER SAMSUNG MLT-203E 10K CPT</x:t>
  </x:si>
  <x:si>
    <x:t>5358137120531</x:t>
  </x:si>
  <x:si>
    <x:t>C00414</x:t>
  </x:si>
  <x:si>
    <x:t>TONER HP Q5949X/Q7553X 7K CPT</x:t>
  </x:si>
  <x:si>
    <x:t>5350125120455</x:t>
  </x:si>
  <x:si>
    <x:t>C00420</x:t>
  </x:si>
  <x:si>
    <x:t>TONER SAMSUNG ML-4050/4550 10K CPT</x:t>
  </x:si>
  <x:si>
    <x:t>5358137120654</x:t>
  </x:si>
  <x:si>
    <x:t>C00421</x:t>
  </x:si>
  <x:si>
    <x:t>TONER HP Q2613X usar 7115X UNIVERSAL 4K</x:t>
  </x:si>
  <x:si>
    <x:t>5358137120661</x:t>
  </x:si>
  <x:si>
    <x:t>C00427</x:t>
  </x:si>
  <x:si>
    <x:t>TONER SAMSUNG MLT-203U 15K CPT</x:t>
  </x:si>
  <x:si>
    <x:t>5358137120555</x:t>
  </x:si>
  <x:si>
    <x:t>C00428</x:t>
  </x:si>
  <x:si>
    <x:t>TONER BROTHER TN-660/2370 CPT 2.6K</x:t>
  </x:si>
  <x:si>
    <x:t>5358137120340</x:t>
  </x:si>
  <x:si>
    <x:t>C00429</x:t>
  </x:si>
  <x:si>
    <x:t>TONER HP CF283A CPT 1.5K</x:t>
  </x:si>
  <x:si>
    <x:t>5358137120456</x:t>
  </x:si>
  <x:si>
    <x:t>C00430</x:t>
  </x:si>
  <x:si>
    <x:t>TONER DELCOP 2600 5,5K CPT</x:t>
  </x:si>
  <x:si>
    <x:t>C00431</x:t>
  </x:si>
  <x:si>
    <x:t>TONER SAMSUNG MLT-203L 5K CPT</x:t>
  </x:si>
  <x:si>
    <x:t>5358137120357</x:t>
  </x:si>
  <x:si>
    <x:t>C00432</x:t>
  </x:si>
  <x:si>
    <x:t>TONER SAMSUNG MLT-D205L  M3710 5K CPT</x:t>
  </x:si>
  <x:si>
    <x:t>5358137120371</x:t>
  </x:si>
  <x:si>
    <x:t>C00433</x:t>
  </x:si>
  <x:si>
    <x:t>TONER LEXMARK 6K E230/E232/E234/240/E330/E332/E340</x:t>
  </x:si>
  <x:si>
    <x:t>5358137120395</x:t>
  </x:si>
  <x:si>
    <x:t>C00434</x:t>
  </x:si>
  <x:si>
    <x:t>TAMBOR BROTHER DR-720/750/780 CPT 25K</x:t>
  </x:si>
  <x:si>
    <x:t>5358137120401</x:t>
  </x:si>
  <x:si>
    <x:t>C00435</x:t>
  </x:si>
  <x:si>
    <x:t>TONER SAMSUNG MLT-D209L/2855 CPT 5K</x:t>
  </x:si>
  <x:si>
    <x:t>5358137120418</x:t>
  </x:si>
  <x:si>
    <x:t>C00436</x:t>
  </x:si>
  <x:si>
    <x:t>TAMBOR BROTHER DR-630/660 CPT 12K</x:t>
  </x:si>
  <x:si>
    <x:t>5358137120425</x:t>
  </x:si>
  <x:si>
    <x:t>C00437</x:t>
  </x:si>
  <x:si>
    <x:t>TAMBOR BROTHER DR-350 CPT 12K</x:t>
  </x:si>
  <x:si>
    <x:t>5358137120432</x:t>
  </x:si>
  <x:si>
    <x:t>C00438</x:t>
  </x:si>
  <x:si>
    <x:t>TONER HP CC530X/CE410X/CF380X 4K BK CPT</x:t>
  </x:si>
  <x:si>
    <x:t>5358137120449</x:t>
  </x:si>
  <x:si>
    <x:t>C00439</x:t>
  </x:si>
  <x:si>
    <x:t>TONER HP CC531/CE411/CF381A CY CPT 2.8K</x:t>
  </x:si>
  <x:si>
    <x:t>5350137120702</x:t>
  </x:si>
  <x:si>
    <x:t>C00440</x:t>
  </x:si>
  <x:si>
    <x:t>TONER HP CC532/CE412/CF382A YE CPT 2.8K</x:t>
  </x:si>
  <x:si>
    <x:t>5350137120719</x:t>
  </x:si>
  <x:si>
    <x:t>C00441</x:t>
  </x:si>
  <x:si>
    <x:t>TONER HP CC533/CE413/CF383A MG CPT 2.8K</x:t>
  </x:si>
  <x:si>
    <x:t>5350137120726</x:t>
  </x:si>
  <x:si>
    <x:t>C00442</x:t>
  </x:si>
  <x:si>
    <x:t>TONER HP CF283X CPT 2.2K</x:t>
  </x:si>
  <x:si>
    <x:t>5358137120463</x:t>
  </x:si>
  <x:si>
    <x:t>C00443</x:t>
  </x:si>
  <x:si>
    <x:t>TONER HP CF281A CPT 10.5K</x:t>
  </x:si>
  <x:si>
    <x:t>5358137120470</x:t>
  </x:si>
  <x:si>
    <x:t>C00444</x:t>
  </x:si>
  <x:si>
    <x:t>TONER HP CF281X CPT 25K</x:t>
  </x:si>
  <x:si>
    <x:t>5358137120487</x:t>
  </x:si>
  <x:si>
    <x:t>C00446</x:t>
  </x:si>
  <x:si>
    <x:t>TONER LEXMARK 50F4H00 5K CPT MS310/410/510/610</x:t>
  </x:si>
  <x:si>
    <x:t>5358137120548</x:t>
  </x:si>
  <x:si>
    <x:t>C00447</x:t>
  </x:si>
  <x:si>
    <x:t>TONER SAMSUNG CLT-504 BK CPT 2.5K</x:t>
  </x:si>
  <x:si>
    <x:t>5358137120562</x:t>
  </x:si>
  <x:si>
    <x:t>C00448</x:t>
  </x:si>
  <x:si>
    <x:t>TONER SAMSUNG CLT-504 CY CPT 1.8K</x:t>
  </x:si>
  <x:si>
    <x:t>5358137120579</x:t>
  </x:si>
  <x:si>
    <x:t>C00449</x:t>
  </x:si>
  <x:si>
    <x:t>TONER SAMSUNG CLT-504 MG CPT 1.8K</x:t>
  </x:si>
  <x:si>
    <x:t>5358137120586</x:t>
  </x:si>
  <x:si>
    <x:t>C00450</x:t>
  </x:si>
  <x:si>
    <x:t>TONER SAMSUNG CLT-504 YE CPT 1.8K</x:t>
  </x:si>
  <x:si>
    <x:t>5358137120593</x:t>
  </x:si>
  <x:si>
    <x:t>C00451</x:t>
  </x:si>
  <x:si>
    <x:t>TONER SAMSUNG CLT-506 BK CPT 6K</x:t>
  </x:si>
  <x:si>
    <x:t>5358137120609</x:t>
  </x:si>
  <x:si>
    <x:t>C00452</x:t>
  </x:si>
  <x:si>
    <x:t>TONER SAMSUNG CLT-506 CY CPT 3.5K</x:t>
  </x:si>
  <x:si>
    <x:t>5358137120616</x:t>
  </x:si>
  <x:si>
    <x:t>C00453</x:t>
  </x:si>
  <x:si>
    <x:t>TONER SAMSUNG CLT-506 MG CPT 3.5K</x:t>
  </x:si>
  <x:si>
    <x:t>5358137120623</x:t>
  </x:si>
  <x:si>
    <x:t>C00454</x:t>
  </x:si>
  <x:si>
    <x:t>TONER SAMSUNG CLT-506 YE CPT 3.5K</x:t>
  </x:si>
  <x:si>
    <x:t>5358137120630</x:t>
  </x:si>
  <x:si>
    <x:t>C00455</x:t>
  </x:si>
  <x:si>
    <x:t>TONER LEXMARK E360/260/460/462 9K CPT</x:t>
  </x:si>
  <x:si>
    <x:t>5358137120647</x:t>
  </x:si>
  <x:si>
    <x:t>C00456</x:t>
  </x:si>
  <x:si>
    <x:t>TONER KYOCERA TK-170/172 CPT 7.2K</x:t>
  </x:si>
  <x:si>
    <x:t>5358137120708</x:t>
  </x:si>
  <x:si>
    <x:t>C00457</x:t>
  </x:si>
  <x:si>
    <x:t>TONER SAMSUNG MLT-D205E  10K CPT P</x:t>
  </x:si>
  <x:si>
    <x:t>5358137120715</x:t>
  </x:si>
  <x:si>
    <x:t>C00459</x:t>
  </x:si>
  <x:si>
    <x:t>TONER CANON LC303 CPT - LBP2900/LBP3000 2K</x:t>
  </x:si>
  <x:si>
    <x:t>5358137120760</x:t>
  </x:si>
  <x:si>
    <x:t>C00461</x:t>
  </x:si>
  <x:si>
    <x:t>TONER OKIDATA MB480 BK CPT 12K</x:t>
  </x:si>
  <x:si>
    <x:t>5358137120777</x:t>
  </x:si>
  <x:si>
    <x:t>C00462</x:t>
  </x:si>
  <x:si>
    <x:t>TAMBOR OKIDATA MB430/B460/B470/MB480 CPT 25K</x:t>
  </x:si>
  <x:si>
    <x:t>5358137120784</x:t>
  </x:si>
  <x:si>
    <x:t>C00464</x:t>
  </x:si>
  <x:si>
    <x:t>TONER SAMSUNG SCX4200/4100/1710/XEROX 3119 CPT 3K</x:t>
  </x:si>
  <x:si>
    <x:t>5358137120791</x:t>
  </x:si>
  <x:si>
    <x:t>C00476</x:t>
  </x:si>
  <x:si>
    <x:t>TONER HP CE390X 24000 COPIAS CPT - NO USAR</x:t>
  </x:si>
  <x:si>
    <x:t>C00478</x:t>
  </x:si>
  <x:si>
    <x:t>TONER XEROX 6020BK  C 106R02763 - 2K CPT</x:t>
  </x:si>
  <x:si>
    <x:t>5358137120722</x:t>
  </x:si>
  <x:si>
    <x:t>C00479</x:t>
  </x:si>
  <x:si>
    <x:t>TONER XEROX 6020C  C 106R02760 - 1K CPT</x:t>
  </x:si>
  <x:si>
    <x:t>5358137120739</x:t>
  </x:si>
  <x:si>
    <x:t>C00480</x:t>
  </x:si>
  <x:si>
    <x:t>TONER XEROX 6020M  C 106R02761 - 1K CPT</x:t>
  </x:si>
  <x:si>
    <x:t>5358137120746</x:t>
  </x:si>
  <x:si>
    <x:t>C00481</x:t>
  </x:si>
  <x:si>
    <x:t>TONER XEROX 6020Y  C 106R02762 - 1K CPT</x:t>
  </x:si>
  <x:si>
    <x:t>5358137120753</x:t>
  </x:si>
  <x:si>
    <x:t>C00486</x:t>
  </x:si>
  <x:si>
    <x:t>TONER XEROX PHASER 3100 BK CPT 106R01379  4K</x:t>
  </x:si>
  <x:si>
    <x:t>5358137120807</x:t>
  </x:si>
  <x:si>
    <x:t>C00487</x:t>
  </x:si>
  <x:si>
    <x:t>TONER HP Q2613A usar 7115A UNIVERSAL 2.5K</x:t>
  </x:si>
  <x:si>
    <x:t>C00488</x:t>
  </x:si>
  <x:si>
    <x:t>TONER BROTHER TN-221/225 BK HL3150/9020 2.5K</x:t>
  </x:si>
  <x:si>
    <x:t>5358137120814</x:t>
  </x:si>
  <x:si>
    <x:t>C00489</x:t>
  </x:si>
  <x:si>
    <x:t>TONER BROTHER TN-225 CY HL3150/9020 2.2K</x:t>
  </x:si>
  <x:si>
    <x:t>5358137120821</x:t>
  </x:si>
  <x:si>
    <x:t>C00490</x:t>
  </x:si>
  <x:si>
    <x:t>TONER BROTHER TN-225 MG HL3150/9020 2.2K</x:t>
  </x:si>
  <x:si>
    <x:t>5358137120838</x:t>
  </x:si>
  <x:si>
    <x:t>C00491</x:t>
  </x:si>
  <x:si>
    <x:t>TONER BROTHER TN-225 YE HL3150/9020 2.2K</x:t>
  </x:si>
  <x:si>
    <x:t>5358137120845</x:t>
  </x:si>
  <x:si>
    <x:t>C00492</x:t>
  </x:si>
  <x:si>
    <x:t>TONER KYOCERA TK-137 KM 2810 / KM 2820 CPT 7.2K</x:t>
  </x:si>
  <x:si>
    <x:t>5358137120852</x:t>
  </x:si>
  <x:si>
    <x:t>C00493</x:t>
  </x:si>
  <x:si>
    <x:t>TONER HP C4127X CPT 10K</x:t>
  </x:si>
  <x:si>
    <x:t>5358137120869</x:t>
  </x:si>
  <x:si>
    <x:t>C00494</x:t>
  </x:si>
  <x:si>
    <x:t>TAMBOR LEXMARK DR E230 CPT 30K</x:t>
  </x:si>
  <x:si>
    <x:t>5358137120890</x:t>
  </x:si>
  <x:si>
    <x:t>C00495</x:t>
  </x:si>
  <x:si>
    <x:t>TONER HP Q7551A CPT 6.5K</x:t>
  </x:si>
  <x:si>
    <x:t>5358137120906</x:t>
  </x:si>
  <x:si>
    <x:t>C00496</x:t>
  </x:si>
  <x:si>
    <x:t>TONER XEROX 3325 11K CPT</x:t>
  </x:si>
  <x:si>
    <x:t>5358137120913</x:t>
  </x:si>
  <x:si>
    <x:t>C00497</x:t>
  </x:si>
  <x:si>
    <x:t>TONER HP 6511A CPT 6K</x:t>
  </x:si>
  <x:si>
    <x:t>5358137120920</x:t>
  </x:si>
  <x:si>
    <x:t>C00498</x:t>
  </x:si>
  <x:si>
    <x:t>TONER HP CE400X BK (507) 11K CPT</x:t>
  </x:si>
  <x:si>
    <x:t>5358137120937</x:t>
  </x:si>
  <x:si>
    <x:t>C00499</x:t>
  </x:si>
  <x:si>
    <x:t>TONER HP CE402A YE (507) 6K CPT</x:t>
  </x:si>
  <x:si>
    <x:t>5358137120944</x:t>
  </x:si>
  <x:si>
    <x:t>C00500</x:t>
  </x:si>
  <x:si>
    <x:t>TONER HP CE403A MG (507) 6K CPT</x:t>
  </x:si>
  <x:si>
    <x:t>5358137120951</x:t>
  </x:si>
  <x:si>
    <x:t>C00501</x:t>
  </x:si>
  <x:si>
    <x:t>TONER SAMSUNG ML-2250 CPT 5K</x:t>
  </x:si>
  <x:si>
    <x:t>5358137120968</x:t>
  </x:si>
  <x:si>
    <x:t>C00502</x:t>
  </x:si>
  <x:si>
    <x:t>TONER HP C4096A CPT 5K</x:t>
  </x:si>
  <x:si>
    <x:t>5358137120975</x:t>
  </x:si>
  <x:si>
    <x:t>C00503</x:t>
  </x:si>
  <x:si>
    <x:t>TAMBOR LEXMARK E260X22G CPT 30K</x:t>
  </x:si>
  <x:si>
    <x:t>5358137120982</x:t>
  </x:si>
  <x:si>
    <x:t>C00505</x:t>
  </x:si>
  <x:si>
    <x:t>TONER HP-Q6000 BK CPT 2K</x:t>
  </x:si>
  <x:si>
    <x:t>5358137120999</x:t>
  </x:si>
  <x:si>
    <x:t>C00506</x:t>
  </x:si>
  <x:si>
    <x:t>TONER HP-Q6001 CY CPT 1.0K</x:t>
  </x:si>
  <x:si>
    <x:t>5358137121002</x:t>
  </x:si>
  <x:si>
    <x:t>C00507</x:t>
  </x:si>
  <x:si>
    <x:t>TONER HP-Q6002 YE CPT 1.0K</x:t>
  </x:si>
  <x:si>
    <x:t>5358137121019</x:t>
  </x:si>
  <x:si>
    <x:t>C00508</x:t>
  </x:si>
  <x:si>
    <x:t>TONER HP-Q6003 MG CPT 1.0K</x:t>
  </x:si>
  <x:si>
    <x:t>5358137121026</x:t>
  </x:si>
  <x:si>
    <x:t>C00509</x:t>
  </x:si>
  <x:si>
    <x:t>TONER HP Q1338A CPT 1338/39 - 5942/45A 20K</x:t>
  </x:si>
  <x:si>
    <x:t>5358137121033</x:t>
  </x:si>
  <x:si>
    <x:t>C00510</x:t>
  </x:si>
  <x:si>
    <x:t>TONER BROTHER TN-570 CPT 6.7K</x:t>
  </x:si>
  <x:si>
    <x:t>5358137121040</x:t>
  </x:si>
  <x:si>
    <x:t>C00511</x:t>
  </x:si>
  <x:si>
    <x:t>TONER OKIDATA B431/411/401/491/471/451/441 12K</x:t>
  </x:si>
  <x:si>
    <x:t>5358137121057</x:t>
  </x:si>
  <x:si>
    <x:t>C00512</x:t>
  </x:si>
  <x:si>
    <x:t>TAMBOR LEXMARK E250 CPT 30K</x:t>
  </x:si>
  <x:si>
    <x:t>5358137121064</x:t>
  </x:si>
  <x:si>
    <x:t>C00513</x:t>
  </x:si>
  <x:si>
    <x:t>TONER XEROX  PE220 BK CPT 3K</x:t>
  </x:si>
  <x:si>
    <x:t>5358137121071</x:t>
  </x:si>
  <x:si>
    <x:t>C00523</x:t>
  </x:si>
  <x:si>
    <x:t>TONER HP CF226X M402 CPT 9K</x:t>
  </x:si>
  <x:si>
    <x:t>5358137121095</x:t>
  </x:si>
  <x:si>
    <x:t>C00524</x:t>
  </x:si>
  <x:si>
    <x:t>TONER XEROX 3320 106R02306 11K CPT</x:t>
  </x:si>
  <x:si>
    <x:t>5358137121101</x:t>
  </x:si>
  <x:si>
    <x:t>C00525</x:t>
  </x:si>
  <x:si>
    <x:t>TONER HP CF226A M402 CPT 3.1K</x:t>
  </x:si>
  <x:si>
    <x:t>5358137121118</x:t>
  </x:si>
  <x:si>
    <x:t>C00526</x:t>
  </x:si>
  <x:si>
    <x:t>TONER XEROX 3210 / 3220 4.1K CPT</x:t>
  </x:si>
  <x:si>
    <x:t>5358137121125</x:t>
  </x:si>
  <x:si>
    <x:t>C00528</x:t>
  </x:si>
  <x:si>
    <x:t>TONER HP Q5942X 4250/4350 CPT 20K</x:t>
  </x:si>
  <x:si>
    <x:t>5358137121132</x:t>
  </x:si>
  <x:si>
    <x:t>C00533</x:t>
  </x:si>
  <x:si>
    <x:t>TONER BROTHER TN-780/TN-750 12K CPT</x:t>
  </x:si>
  <x:si>
    <x:t>5358137121149</x:t>
  </x:si>
  <x:si>
    <x:t>C00534</x:t>
  </x:si>
  <x:si>
    <x:t>TONER OKIDATA B410/B430 3.5K CPT</x:t>
  </x:si>
  <x:si>
    <x:t>5358137121156</x:t>
  </x:si>
  <x:si>
    <x:t>C00535</x:t>
  </x:si>
  <x:si>
    <x:t>TONER LEXMARK T640/T642/T644/X642 21K CPT</x:t>
  </x:si>
  <x:si>
    <x:t>5358137121163</x:t>
  </x:si>
  <x:si>
    <x:t>C00536</x:t>
  </x:si>
  <x:si>
    <x:t>TONER HP Q7551X - P3005 13K</x:t>
  </x:si>
  <x:si>
    <x:t>5358137121170</x:t>
  </x:si>
  <x:si>
    <x:t>C00537</x:t>
  </x:si>
  <x:si>
    <x:t>TONER KYOCERA TK-1122 3K CPT FS-1060/FS-1025</x:t>
  </x:si>
  <x:si>
    <x:t>5358137121187</x:t>
  </x:si>
  <x:si>
    <x:t>C00538</x:t>
  </x:si>
  <x:si>
    <x:t>TONER KYOCERA TK-130/131/132/133/134 7.2K CPT</x:t>
  </x:si>
  <x:si>
    <x:t>5358137121194</x:t>
  </x:si>
  <x:si>
    <x:t>C00539</x:t>
  </x:si>
  <x:si>
    <x:t>TONER XEROX 3610/3615 25.3K</x:t>
  </x:si>
  <x:si>
    <x:t>5358137121200</x:t>
  </x:si>
  <x:si>
    <x:t>C00540</x:t>
  </x:si>
  <x:si>
    <x:t>TONER XEROX 3260/3225 CPT 3K 106R02778 LAT</x:t>
  </x:si>
  <x:si>
    <x:t>5358137121217</x:t>
  </x:si>
  <x:si>
    <x:t>C00555</x:t>
  </x:si>
  <x:si>
    <x:t>TONER XEROX 3330/3335/3345 CPT 106R03623 15K</x:t>
  </x:si>
  <x:si>
    <x:t>5358137121576</x:t>
  </x:si>
  <x:si>
    <x:t>C00561</x:t>
  </x:si>
  <x:si>
    <x:t>TONER HP 6511X CPT 12K</x:t>
  </x:si>
  <x:si>
    <x:t>5358137121224</x:t>
  </x:si>
  <x:si>
    <x:t>C00562</x:t>
  </x:si>
  <x:si>
    <x:t>TONER KYOCERA TK-18 FS1018/1118/1020 7.2K</x:t>
  </x:si>
  <x:si>
    <x:t>5358137121231</x:t>
  </x:si>
  <x:si>
    <x:t>C00564</x:t>
  </x:si>
  <x:si>
    <x:t>TONER SAMSUNG CLT-407 BK CPT 1.5K</x:t>
  </x:si>
  <x:si>
    <x:t>5358137121248</x:t>
  </x:si>
  <x:si>
    <x:t>C00565</x:t>
  </x:si>
  <x:si>
    <x:t>TONER SAMSUNG CLT-407 CY CPT 1K</x:t>
  </x:si>
  <x:si>
    <x:t>5358137121255</x:t>
  </x:si>
  <x:si>
    <x:t>C00566</x:t>
  </x:si>
  <x:si>
    <x:t>TONER SAMSUNG CLT-407 MG CPT 1K</x:t>
  </x:si>
  <x:si>
    <x:t>5358137121262</x:t>
  </x:si>
  <x:si>
    <x:t>C00567</x:t>
  </x:si>
  <x:si>
    <x:t>TONER SAMSUNG CLT-407 YE CPT 1K</x:t>
  </x:si>
  <x:si>
    <x:t>5358137121279</x:t>
  </x:si>
  <x:si>
    <x:t>C00569</x:t>
  </x:si>
  <x:si>
    <x:t>TONER SAMSUNG D116 BK 3K M2625/2626/2825/2875 CPT</x:t>
  </x:si>
  <x:si>
    <x:t>5358137121286</x:t>
  </x:si>
  <x:si>
    <x:t>C00574</x:t>
  </x:si>
  <x:si>
    <x:t>TONER BROTHER TN-850/TN-3449 CPT 8K</x:t>
  </x:si>
  <x:si>
    <x:t>5358137121293</x:t>
  </x:si>
  <x:si>
    <x:t>C00575</x:t>
  </x:si>
  <x:si>
    <x:t>TONER SAMSUNG SCX-6320/6322DN CPT 8K</x:t>
  </x:si>
  <x:si>
    <x:t>5358137121309</x:t>
  </x:si>
  <x:si>
    <x:t>C00576</x:t>
  </x:si>
  <x:si>
    <x:t>TONER HP CC530/CE410/380A BK  3.5K CPT</x:t>
  </x:si>
  <x:si>
    <x:t>5358137121316</x:t>
  </x:si>
  <x:si>
    <x:t>C00577</x:t>
  </x:si>
  <x:si>
    <x:t>TONER CANON 128 / 328 / 728  2,1K  CPT</x:t>
  </x:si>
  <x:si>
    <x:t>5358137121323</x:t>
  </x:si>
  <x:si>
    <x:t>C00578</x:t>
  </x:si>
  <x:si>
    <x:t>TONER BROTHER TN-221 CY HL3150 MFC9020 1.4K</x:t>
  </x:si>
  <x:si>
    <x:t>5358137121330</x:t>
  </x:si>
  <x:si>
    <x:t>C00579</x:t>
  </x:si>
  <x:si>
    <x:t>TONER BROTHER TN-221 MG HL3150 MFC9020 1.4K</x:t>
  </x:si>
  <x:si>
    <x:t>5358137121347</x:t>
  </x:si>
  <x:si>
    <x:t>C00580</x:t>
  </x:si>
  <x:si>
    <x:t>TONER BROTHER TN-221 YE HL3150 MFC9020 1.4K</x:t>
  </x:si>
  <x:si>
    <x:t>5358137121354</x:t>
  </x:si>
  <x:si>
    <x:t>C00581</x:t>
  </x:si>
  <x:si>
    <x:t>TONER OKIDATA B430 7K CPT</x:t>
  </x:si>
  <x:si>
    <x:t>5358137121361</x:t>
  </x:si>
  <x:si>
    <x:t>C00582</x:t>
  </x:si>
  <x:si>
    <x:t>TONER KYOCERA TK-1112 CPT FS1040/1020/ 1120  2.5K</x:t>
  </x:si>
  <x:si>
    <x:t>5358137121378</x:t>
  </x:si>
  <x:si>
    <x:t>C00583</x:t>
  </x:si>
  <x:si>
    <x:t>TONER LEXMARK 60F4H00 604H MX310/MX410 10K BK CPT</x:t>
  </x:si>
  <x:si>
    <x:t>5358137121385</x:t>
  </x:si>
  <x:si>
    <x:t>C00584</x:t>
  </x:si>
  <x:si>
    <x:t>TONER HP CE401A CY (507) 6K CPT</x:t>
  </x:si>
  <x:si>
    <x:t>5358137121392</x:t>
  </x:si>
  <x:si>
    <x:t>C00585</x:t>
  </x:si>
  <x:si>
    <x:t>TONER OKIDATA B4100 2.6K CPT</x:t>
  </x:si>
  <x:si>
    <x:t>5358137121408</x:t>
  </x:si>
  <x:si>
    <x:t>C00586</x:t>
  </x:si>
  <x:si>
    <x:t>TONER CANON EP-22 CPT LBP-800/810/1120 2.5K</x:t>
  </x:si>
  <x:si>
    <x:t>5358137121415</x:t>
  </x:si>
  <x:si>
    <x:t>C00587</x:t>
  </x:si>
  <x:si>
    <x:t>TONER HP C8061X CPT 10K</x:t>
  </x:si>
  <x:si>
    <x:t>5358137121422</x:t>
  </x:si>
  <x:si>
    <x:t>C00589</x:t>
  </x:si>
  <x:si>
    <x:t>TONER SAMSUNG ML-4050/4550 20K CPT</x:t>
  </x:si>
  <x:si>
    <x:t>5358137121446</x:t>
  </x:si>
  <x:si>
    <x:t>C00591</x:t>
  </x:si>
  <x:si>
    <x:t>TONER SAMSUNG CLT-404 BK 1.5K CPT</x:t>
  </x:si>
  <x:si>
    <x:t>5358137121453</x:t>
  </x:si>
  <x:si>
    <x:t>C00592</x:t>
  </x:si>
  <x:si>
    <x:t>TONER SAMSUNG CLT-404 CY 1K CPT</x:t>
  </x:si>
  <x:si>
    <x:t>5358137121460</x:t>
  </x:si>
  <x:si>
    <x:t>C00593</x:t>
  </x:si>
  <x:si>
    <x:t>TONER SAMSUNG CLT-404 MG 1K CPT</x:t>
  </x:si>
  <x:si>
    <x:t>5358137121477</x:t>
  </x:si>
  <x:si>
    <x:t>C00594</x:t>
  </x:si>
  <x:si>
    <x:t>TONER SAMSUNG CLT-404 YE 1K CPT</x:t>
  </x:si>
  <x:si>
    <x:t>5358137121484</x:t>
  </x:si>
  <x:si>
    <x:t>C00603</x:t>
  </x:si>
  <x:si>
    <x:t>TONER SAMSUNG 3050/3051 CPT 8K</x:t>
  </x:si>
  <x:si>
    <x:t>5358137121491</x:t>
  </x:si>
  <x:si>
    <x:t>C00604</x:t>
  </x:si>
  <x:si>
    <x:t>TONER HP CF410A BK 2.3K</x:t>
  </x:si>
  <x:si>
    <x:t>5358137121507</x:t>
  </x:si>
  <x:si>
    <x:t>C00605</x:t>
  </x:si>
  <x:si>
    <x:t>TONER HP CF411A CY 2.3K</x:t>
  </x:si>
  <x:si>
    <x:t>5358137121514</x:t>
  </x:si>
  <x:si>
    <x:t>C00606</x:t>
  </x:si>
  <x:si>
    <x:t>TONER HP CF413A MG 2.3K</x:t>
  </x:si>
  <x:si>
    <x:t>5358137121521</x:t>
  </x:si>
  <x:si>
    <x:t>C00607</x:t>
  </x:si>
  <x:si>
    <x:t>TONER HP CF412A YE 2.3K</x:t>
  </x:si>
  <x:si>
    <x:t>5358137121538</x:t>
  </x:si>
  <x:si>
    <x:t>C00608</x:t>
  </x:si>
  <x:si>
    <x:t>TONER LEXMARK 50F4X00 10K CPT MS410/415/510/610</x:t>
  </x:si>
  <x:si>
    <x:t>5358137121545</x:t>
  </x:si>
  <x:si>
    <x:t>C00609</x:t>
  </x:si>
  <x:si>
    <x:t>TONER DELCOP MCL 2650 CPT 4K</x:t>
  </x:si>
  <x:si>
    <x:t>5358137121552</x:t>
  </x:si>
  <x:si>
    <x:t>C00610</x:t>
  </x:si>
  <x:si>
    <x:t>TAMBOR BROTHER DR-3460 CPT ( para TN-850 ) 30K</x:t>
  </x:si>
  <x:si>
    <x:t>5358137121569</x:t>
  </x:si>
  <x:si>
    <x:t>C00611</x:t>
  </x:si>
  <x:si>
    <x:t>TONER XEROX 3550 CPT 106R01531 11K</x:t>
  </x:si>
  <x:si>
    <x:t>5358137121583</x:t>
  </x:si>
  <x:si>
    <x:t>C00612</x:t>
  </x:si>
  <x:si>
    <x:t>TONER KYOCERA TK-160/TK-162/163/164  6K CPT</x:t>
  </x:si>
  <x:si>
    <x:t>5358137121590</x:t>
  </x:si>
  <x:si>
    <x:t>C00613</x:t>
  </x:si>
  <x:si>
    <x:t>TONER HP CC364A CPT 10K</x:t>
  </x:si>
  <x:si>
    <x:t>5358137121606</x:t>
  </x:si>
  <x:si>
    <x:t>C00618</x:t>
  </x:si>
  <x:si>
    <x:t>TONER CANON 106 MF-6550 / 6530 CPT 5K</x:t>
  </x:si>
  <x:si>
    <x:t>5358137121613</x:t>
  </x:si>
  <x:si>
    <x:t>C00621</x:t>
  </x:si>
  <x:si>
    <x:t>TONER HP C 390A CPT 10K</x:t>
  </x:si>
  <x:si>
    <x:t>5358137121620</x:t>
  </x:si>
  <x:si>
    <x:t>C00623</x:t>
  </x:si>
  <x:si>
    <x:t>TAMBOR HP DR-CE314 P/CP1025 / M175NW</x:t>
  </x:si>
  <x:si>
    <x:t>5358137121637</x:t>
  </x:si>
  <x:si>
    <x:t>C00624</x:t>
  </x:si>
  <x:si>
    <x:t>TONER BROTHER TN-880/3479 CPT 12K</x:t>
  </x:si>
  <x:si>
    <x:t>5358137121644</x:t>
  </x:si>
  <x:si>
    <x:t>C00625</x:t>
  </x:si>
  <x:si>
    <x:t>TONER HP CF217A 1.6K M102/130/134</x:t>
  </x:si>
  <x:si>
    <x:t>5358137121651</x:t>
  </x:si>
  <x:si>
    <x:t>C00626</x:t>
  </x:si>
  <x:si>
    <x:t>TONER KYOCERA TK-122/120  FS 1030D CPT</x:t>
  </x:si>
  <x:si>
    <x:t>5358137121668</x:t>
  </x:si>
  <x:si>
    <x:t>C00627</x:t>
  </x:si>
  <x:si>
    <x:t>TONER HP CF230A M203/M227 1.6K</x:t>
  </x:si>
  <x:si>
    <x:t>5358137121675</x:t>
  </x:si>
  <x:si>
    <x:t>C00628</x:t>
  </x:si>
  <x:si>
    <x:t>TONER HP CF230X M203/M227 3.5K</x:t>
  </x:si>
  <x:si>
    <x:t>5358137121682</x:t>
  </x:si>
  <x:si>
    <x:t>C00630</x:t>
  </x:si>
  <x:si>
    <x:t>TONER LEXMARK T630/632/634 21K</x:t>
  </x:si>
  <x:si>
    <x:t>5358137121699</x:t>
  </x:si>
  <x:si>
    <x:t>C00631</x:t>
  </x:si>
  <x:si>
    <x:t>TONER XEROX 3550 CPT 5K</x:t>
  </x:si>
  <x:si>
    <x:t>5358137121705</x:t>
  </x:si>
  <x:si>
    <x:t>C00632</x:t>
  </x:si>
  <x:si>
    <x:t>TONER XEROX 3600 CPT 14K</x:t>
  </x:si>
  <x:si>
    <x:t>5358137121712</x:t>
  </x:si>
  <x:si>
    <x:t>C00633</x:t>
  </x:si>
  <x:si>
    <x:t>TONER SAMSUNG SCX-6320/6322DN 20K CPT</x:t>
  </x:si>
  <x:si>
    <x:t>5358137121729</x:t>
  </x:si>
  <x:si>
    <x:t>C00638</x:t>
  </x:si>
  <x:si>
    <x:t>TONER KYOCERA TK-1170 - M2040 / 2540 / 2640 7.2K</x:t>
  </x:si>
  <x:si>
    <x:t>5358137121736</x:t>
  </x:si>
  <x:si>
    <x:t>C00641</x:t>
  </x:si>
  <x:si>
    <x:t>TONER CANON GPR-22 IR1020 CPT 8.4K</x:t>
  </x:si>
  <x:si>
    <x:t>5358137121743</x:t>
  </x:si>
  <x:si>
    <x:t>C00642</x:t>
  </x:si>
  <x:si>
    <x:t>TONER SAMSUNG MLT-D112S BK 2.0K CPT</x:t>
  </x:si>
  <x:si>
    <x:t>5358137121750</x:t>
  </x:si>
  <x:si>
    <x:t>C00643</x:t>
  </x:si>
  <x:si>
    <x:t>TONER KYOCERA TK-140/141/142/144 - FS1100</x:t>
  </x:si>
  <x:si>
    <x:t>5358137121767</x:t>
  </x:si>
  <x:si>
    <x:t>C00648</x:t>
  </x:si>
  <x:si>
    <x:t>TONER KYOCERA TK-1142 7.2K CPT</x:t>
  </x:si>
  <x:si>
    <x:t>5358137121774</x:t>
  </x:si>
  <x:si>
    <x:t>C00658</x:t>
  </x:si>
  <x:si>
    <x:t>TAMBOR SAMSUNG SCX-6320/6322DN 20K CPT</x:t>
  </x:si>
  <x:si>
    <x:t>C00659</x:t>
  </x:si>
  <x:si>
    <x:t>DRUM ORIENTE SAMSUNG M3320/3370/4070</x:t>
  </x:si>
  <x:si>
    <x:t>5358137121781</x:t>
  </x:si>
  <x:si>
    <x:t>C00660</x:t>
  </x:si>
  <x:si>
    <x:t>TONER SAMSUNG CLT-508 BK  CPT</x:t>
  </x:si>
  <x:si>
    <x:t>5358137121798</x:t>
  </x:si>
  <x:si>
    <x:t>C00661</x:t>
  </x:si>
  <x:si>
    <x:t>TONER SAMSUNG CLT-508 CY  CPT</x:t>
  </x:si>
  <x:si>
    <x:t>5358137121804</x:t>
  </x:si>
  <x:si>
    <x:t>C00662</x:t>
  </x:si>
  <x:si>
    <x:t>TONER SAMSUNG CLT-508 MG  CPT</x:t>
  </x:si>
  <x:si>
    <x:t>5358137121811</x:t>
  </x:si>
  <x:si>
    <x:t>C00663</x:t>
  </x:si>
  <x:si>
    <x:t>TONER SAMSUNG CLT-508 YE  CPT</x:t>
  </x:si>
  <x:si>
    <x:t>5358137121828</x:t>
  </x:si>
  <x:si>
    <x:t>C00664</x:t>
  </x:si>
  <x:si>
    <x:t>TONER XEROX 3020-106R02773  CPT 1.5K</x:t>
  </x:si>
  <x:si>
    <x:t>5358137121835</x:t>
  </x:si>
  <x:si>
    <x:t>C00671</x:t>
  </x:si>
  <x:si>
    <x:t>TONER KYOCERA TK-360/361/362/364 FS-4020DN</x:t>
  </x:si>
  <x:si>
    <x:t>5358137121842</x:t>
  </x:si>
  <x:si>
    <x:t>C00673</x:t>
  </x:si>
  <x:si>
    <x:t>TONER SAMSUNG MLT-D111L BK 2.0K CPT SIN CHIP</x:t>
  </x:si>
  <x:si>
    <x:t>C00675</x:t>
  </x:si>
  <x:si>
    <x:t>TONER HP CF287X M501/M506/M527 18K</x:t>
  </x:si>
  <x:si>
    <x:t>5358137121859</x:t>
  </x:si>
  <x:si>
    <x:t>C00678</x:t>
  </x:si>
  <x:si>
    <x:t>TONER SAMSUNG MLT-D111L BK 2.0K CPT NEW CHIP</x:t>
  </x:si>
  <x:si>
    <x:t>C00679</x:t>
  </x:si>
  <x:si>
    <x:t>TONER SAMSUNG MLT-203U 15K CPT NEW CHIP</x:t>
  </x:si>
  <x:si>
    <x:t>C00680</x:t>
  </x:si>
  <x:si>
    <x:t>TONER SAMSUNG MLT-115L 3K CPT NEW CHIP</x:t>
  </x:si>
  <x:si>
    <x:t>C00681</x:t>
  </x:si>
  <x:si>
    <x:t>TONER SAMSUNG MLT-203E 10K CPT NEW CHIP</x:t>
  </x:si>
  <x:si>
    <x:t>C00682</x:t>
  </x:si>
  <x:si>
    <x:t>TONER HP CF248A M15/M28 1K</x:t>
  </x:si>
  <x:si>
    <x:t>5358137121873</x:t>
  </x:si>
  <x:si>
    <x:t>C00683</x:t>
  </x:si>
  <x:si>
    <x:t>TONER HP CF287A M506/M527 8.5K</x:t>
  </x:si>
  <x:si>
    <x:t>5358137122023</x:t>
  </x:si>
  <x:si>
    <x:t>C00684</x:t>
  </x:si>
  <x:si>
    <x:t>TAMBOR HP CF219A 12K (acompaña al CF-217A)</x:t>
  </x:si>
  <x:si>
    <x:t>5358137121866</x:t>
  </x:si>
  <x:si>
    <x:t>C00686</x:t>
  </x:si>
  <x:si>
    <x:t>TONER XEROX 3260/3225 CPT 3K 106R02777</x:t>
  </x:si>
  <x:si>
    <x:t>5358137121897</x:t>
  </x:si>
  <x:si>
    <x:t>C00687</x:t>
  </x:si>
  <x:si>
    <x:t>TONER HP 105X BK (W1105X) 3K 107W/107A/M135</x:t>
  </x:si>
  <x:si>
    <x:t>5358137121880</x:t>
  </x:si>
  <x:si>
    <x:t>C00688</x:t>
  </x:si>
  <x:si>
    <x:t>TONER OKIDATA B4300/4350 6K</x:t>
  </x:si>
  <x:si>
    <x:t>5358137122030</x:t>
  </x:si>
  <x:si>
    <x:t>C00696</x:t>
  </x:si>
  <x:si>
    <x:t>TAMBOR XEROX 3260/3225 CPT</x:t>
  </x:si>
  <x:si>
    <x:t>5358137121903</x:t>
  </x:si>
  <x:si>
    <x:t>C00702</x:t>
  </x:si>
  <x:si>
    <x:t>TONER HP CF279A 1K CPT</x:t>
  </x:si>
  <x:si>
    <x:t>5358137121910</x:t>
  </x:si>
  <x:si>
    <x:t>C00703</x:t>
  </x:si>
  <x:si>
    <x:t>TONER LEXMARK MS/MX 317 2.5K CPT</x:t>
  </x:si>
  <x:si>
    <x:t>5358137121927</x:t>
  </x:si>
  <x:si>
    <x:t>C00706</x:t>
  </x:si>
  <x:si>
    <x:t>TONER OKI 2520 CPT</x:t>
  </x:si>
  <x:si>
    <x:t>5358137122047</x:t>
  </x:si>
  <x:si>
    <x:t>C00707</x:t>
  </x:si>
  <x:si>
    <x:t>TONER HP CF400A BK 201A  M252/M277 1.5K</x:t>
  </x:si>
  <x:si>
    <x:t>5358137122054</x:t>
  </x:si>
  <x:si>
    <x:t>C00708</x:t>
  </x:si>
  <x:si>
    <x:t>TONER HP CF401A CY 201A  M252/M277 1.4K</x:t>
  </x:si>
  <x:si>
    <x:t>5358137122061</x:t>
  </x:si>
  <x:si>
    <x:t>C00709</x:t>
  </x:si>
  <x:si>
    <x:t>TONER HP CF402A YE 201A  M252/M277 1.4K</x:t>
  </x:si>
  <x:si>
    <x:t>5358137122078</x:t>
  </x:si>
  <x:si>
    <x:t>C00710</x:t>
  </x:si>
  <x:si>
    <x:t>TONER HP CF403A MG 201A  M252/M277 1.4K</x:t>
  </x:si>
  <x:si>
    <x:t>5358137122085</x:t>
  </x:si>
  <x:si>
    <x:t>C00711</x:t>
  </x:si>
  <x:si>
    <x:t>TONER KYOCERA TK-1160/TK-1162 CPT 7.2K</x:t>
  </x:si>
  <x:si>
    <x:t>5358137122092</x:t>
  </x:si>
  <x:si>
    <x:t>C00712</x:t>
  </x:si>
  <x:si>
    <x:t>TONER HP 105X BK (W1105X) 107W  3K SIN CHIP</x:t>
  </x:si>
  <x:si>
    <x:t>5358137121934</x:t>
  </x:si>
  <x:si>
    <x:t>C00713</x:t>
  </x:si>
  <x:si>
    <x:t>(NO USAR) TONER HP CF258A 3K SIN CHIP</x:t>
  </x:si>
  <x:si>
    <x:t>C00714</x:t>
  </x:si>
  <x:si>
    <x:t>TAMBOR OKIDATA B431 25K</x:t>
  </x:si>
  <x:si>
    <x:t>5358137122108</x:t>
  </x:si>
  <x:si>
    <x:t>C00723</x:t>
  </x:si>
  <x:si>
    <x:t>TONER XEROX 3315 5K CPT</x:t>
  </x:si>
  <x:si>
    <x:t>5358137121958</x:t>
  </x:si>
  <x:si>
    <x:t>C00732</x:t>
  </x:si>
  <x:si>
    <x:t>TONER KYOCERA TK-3122 CPT 21K</x:t>
  </x:si>
  <x:si>
    <x:t>5358137121965</x:t>
  </x:si>
  <x:si>
    <x:t>C00733</x:t>
  </x:si>
  <x:si>
    <x:t>TAMBOR XEROX 3330/3335/3345 CPT 30K</x:t>
  </x:si>
  <x:si>
    <x:t>5358137122146</x:t>
  </x:si>
  <x:si>
    <x:t>C00734</x:t>
  </x:si>
  <x:si>
    <x:t>(NO USAR)-TONER PANTUM PB-210R P2500/M6550/6600</x:t>
  </x:si>
  <x:si>
    <x:t>5358137121972</x:t>
  </x:si>
  <x:si>
    <x:t>C00735</x:t>
  </x:si>
  <x:si>
    <x:t>TONER SAMSUNG MLT-201L 10K CPT</x:t>
  </x:si>
  <x:si>
    <x:t>5358137121989</x:t>
  </x:si>
  <x:si>
    <x:t>C00736</x:t>
  </x:si>
  <x:si>
    <x:t>TONER XEROX B205/B210/B215 CPT 3K</x:t>
  </x:si>
  <x:si>
    <x:t>5358137121996</x:t>
  </x:si>
  <x:si>
    <x:t>C00749</x:t>
  </x:si>
  <x:si>
    <x:t>TAMBOR XEROX B205/B210/B215 10K</x:t>
  </x:si>
  <x:si>
    <x:t>5358137122115</x:t>
  </x:si>
  <x:si>
    <x:t>C00750</x:t>
  </x:si>
  <x:si>
    <x:t>TONER PANASONIC KX-FAT411A CPT 2K</x:t>
  </x:si>
  <x:si>
    <x:t>5358137122009</x:t>
  </x:si>
  <x:si>
    <x:t>C00751</x:t>
  </x:si>
  <x:si>
    <x:t>TAMBOR HP CF232A 23K M203/206/227/230</x:t>
  </x:si>
  <x:si>
    <x:t>5358137122016</x:t>
  </x:si>
  <x:si>
    <x:t>C00752</x:t>
  </x:si>
  <x:si>
    <x:t>TONER LEXMARK 56F4000 6K CPT MX-MS321/421/521/621</x:t>
  </x:si>
  <x:si>
    <x:t>5358137222020</x:t>
  </x:si>
  <x:si>
    <x:t>C00753</x:t>
  </x:si>
  <x:si>
    <x:t>TONER PANTUM PB210 1.6 CPT P2200/P2500/M6550/6600</x:t>
  </x:si>
  <x:si>
    <x:t>5358137122122</x:t>
  </x:si>
  <x:si>
    <x:t>C00754</x:t>
  </x:si>
  <x:si>
    <x:t>TONER PANTUM TL-410X 6K CPT P3010/3300/6700/7310</x:t>
  </x:si>
  <x:si>
    <x:t>5358137222037</x:t>
  </x:si>
  <x:si>
    <x:t>C00755</x:t>
  </x:si>
  <x:si>
    <x:t>TONER PANTUM TL425X CPT 6K P3305D/M7105D</x:t>
  </x:si>
  <x:si>
    <x:t>5358137222044</x:t>
  </x:si>
  <x:si>
    <x:t>C00758</x:t>
  </x:si>
  <x:si>
    <x:t>(NO USAR) TONER HP CF258X 10K s/chip</x:t>
  </x:si>
  <x:si>
    <x:t>5358137122139</x:t>
  </x:si>
  <x:si>
    <x:t>C00759</x:t>
  </x:si>
  <x:si>
    <x:t>TONER LEXMARK 51B4H00 MS417/517 MX417/517 8.5K</x:t>
  </x:si>
  <x:si>
    <x:t>5358137122153</x:t>
  </x:si>
  <x:si>
    <x:t>C00760</x:t>
  </x:si>
  <x:si>
    <x:t>TONER HP CF244A CPT</x:t>
  </x:si>
  <x:si>
    <x:t>53581371221605358137122</x:t>
  </x:si>
  <x:si>
    <x:t>C00761</x:t>
  </x:si>
  <x:si>
    <x:t>TONER KYOCERA TK-3182 CPT 3655</x:t>
  </x:si>
  <x:si>
    <x:t>5358137122177</x:t>
  </x:si>
  <x:si>
    <x:t>C00762</x:t>
  </x:si>
  <x:si>
    <x:t>TONER HP CF510A BK M154NW/M180NW CPT 1.1K</x:t>
  </x:si>
  <x:si>
    <x:t>5358137122184</x:t>
  </x:si>
  <x:si>
    <x:t>C00763</x:t>
  </x:si>
  <x:si>
    <x:t>TONER HP CF511A CY M154NW/M180NW CPT 900 COP</x:t>
  </x:si>
  <x:si>
    <x:t>5358137122191</x:t>
  </x:si>
  <x:si>
    <x:t>C00764</x:t>
  </x:si>
  <x:si>
    <x:t>TONER HP CF512A YE M154NW/M180NW CPT 900 COP</x:t>
  </x:si>
  <x:si>
    <x:t>5358137122207</x:t>
  </x:si>
  <x:si>
    <x:t>C00765</x:t>
  </x:si>
  <x:si>
    <x:t>TONER HP CF513A MG M154NW/M180NW CPT 900 COP</x:t>
  </x:si>
  <x:si>
    <x:t>5358137122214</x:t>
  </x:si>
  <x:si>
    <x:t>C00766</x:t>
  </x:si>
  <x:si>
    <x:t>TONER HP W1103A 103A 5K Neverstop 1000 - MFP1200</x:t>
  </x:si>
  <x:si>
    <x:t>5358137122221</x:t>
  </x:si>
  <x:si>
    <x:t>C00767</x:t>
  </x:si>
  <x:si>
    <x:t>TONER HP CF360X BK CPT</x:t>
  </x:si>
  <x:si>
    <x:t>5358137122238</x:t>
  </x:si>
  <x:si>
    <x:t>C00768</x:t>
  </x:si>
  <x:si>
    <x:t>TONER HP CF361X CY CPT</x:t>
  </x:si>
  <x:si>
    <x:t>5358137122245</x:t>
  </x:si>
  <x:si>
    <x:t>C00769</x:t>
  </x:si>
  <x:si>
    <x:t>TONER HP CF362X YE CPT</x:t>
  </x:si>
  <x:si>
    <x:t>5358137122252</x:t>
  </x:si>
  <x:si>
    <x:t>C00770</x:t>
  </x:si>
  <x:si>
    <x:t>TONER HP CF363X MG CPT</x:t>
  </x:si>
  <x:si>
    <x:t>5358137122269</x:t>
  </x:si>
  <x:si>
    <x:t>C00771</x:t>
  </x:si>
  <x:si>
    <x:t>FOTOCONDUCTOR LEXMARK MS415</x:t>
  </x:si>
  <x:si>
    <x:t>5358137122276</x:t>
  </x:si>
  <x:si>
    <x:t>C00773</x:t>
  </x:si>
  <x:si>
    <x:t>TAMBOR BROTHER DR-510 CPT</x:t>
  </x:si>
  <x:si>
    <x:t>5358137122290</x:t>
  </x:si>
  <x:si>
    <x:t>C00774</x:t>
  </x:si>
  <x:si>
    <x:t>TAMBOR BROTHER DR-221 CPT</x:t>
  </x:si>
  <x:si>
    <x:t>5358137122306</x:t>
  </x:si>
  <x:si>
    <x:t>C00775</x:t>
  </x:si>
  <x:si>
    <x:t>TONER HP CF258X 10K M404/M428</x:t>
  </x:si>
  <x:si>
    <x:t>5358137122313</x:t>
  </x:si>
  <x:si>
    <x:t>C00776</x:t>
  </x:si>
  <x:si>
    <x:t>TONER HP 105XL BK (W1105XL) 107W  5K</x:t>
  </x:si>
  <x:si>
    <x:t>5358137122320</x:t>
  </x:si>
  <x:si>
    <x:t>C00779</x:t>
  </x:si>
  <x:si>
    <x:t>TONER KYOCERA TK-1175 FS-M2640/FS-M2040 12K</x:t>
  </x:si>
  <x:si>
    <x:t>5358137122337</x:t>
  </x:si>
  <x:si>
    <x:t>C00781</x:t>
  </x:si>
  <x:si>
    <x:t>TAMBOR PANTUM TL425U 3305/ 7105/ 3105 12K</x:t>
  </x:si>
  <x:si>
    <x:t>5358137122344</x:t>
  </x:si>
  <x:si>
    <x:t>C00782</x:t>
  </x:si>
  <x:si>
    <x:t>TONER HP W1330X 15K M432/M408</x:t>
  </x:si>
  <x:si>
    <x:t>5358137122351</x:t>
  </x:si>
  <x:si>
    <x:t>C00783</x:t>
  </x:si>
  <x:si>
    <x:t>TONER HP CF400X BK 201A  M252/M277 2.8K</x:t>
  </x:si>
  <x:si>
    <x:t>5358137122368</x:t>
  </x:si>
  <x:si>
    <x:t>C00784</x:t>
  </x:si>
  <x:si>
    <x:t>TONER KYOCERA TK-3162 12.5K</x:t>
  </x:si>
  <x:si>
    <x:t>5358137122375</x:t>
  </x:si>
  <x:si>
    <x:t>C00785</x:t>
  </x:si>
  <x:si>
    <x:t>TONER KYOCERA TK-5232 BK</x:t>
  </x:si>
  <x:si>
    <x:t>5358137122382</x:t>
  </x:si>
  <x:si>
    <x:t>C00786</x:t>
  </x:si>
  <x:si>
    <x:t>TONER KYOCERA TK-5232 CY</x:t>
  </x:si>
  <x:si>
    <x:t>5358137122399</x:t>
  </x:si>
  <x:si>
    <x:t>C00787</x:t>
  </x:si>
  <x:si>
    <x:t>TONER KYOCERA TK-5232 MG</x:t>
  </x:si>
  <x:si>
    <x:t>5358137122405</x:t>
  </x:si>
  <x:si>
    <x:t>C00788</x:t>
  </x:si>
  <x:si>
    <x:t>TONER KYOCERA TK-5232 YE</x:t>
  </x:si>
  <x:si>
    <x:t>5358137122412</x:t>
  </x:si>
  <x:si>
    <x:t>C00789</x:t>
  </x:si>
  <x:si>
    <x:t>TONER PANTUM PB310 P3255/P3500/P3100 6K</x:t>
  </x:si>
  <x:si>
    <x:t>5358137122429</x:t>
  </x:si>
  <x:si>
    <x:t>C00790</x:t>
  </x:si>
  <x:si>
    <x:t>TAMBOR OKIDATA B4600 CPT</x:t>
  </x:si>
  <x:si>
    <x:t>5358137122436</x:t>
  </x:si>
  <x:si>
    <x:t>C00795</x:t>
  </x:si>
  <x:si>
    <x:t>TAMBOR PANTUM DL410 12K CPT P3010/3300/6700/7310</x:t>
  </x:si>
  <x:si>
    <x:t>5358137122443</x:t>
  </x:si>
  <x:si>
    <x:t>C00796</x:t>
  </x:si>
  <x:si>
    <x:t>TONER HP CF289X 10K CPT M507 M528</x:t>
  </x:si>
  <x:si>
    <x:t>5358137122498</x:t>
  </x:si>
  <x:si>
    <x:t>C00797</x:t>
  </x:si>
  <x:si>
    <x:t>NO USAR-TONER HP W2030X/415X BK SIN CHIP</x:t>
  </x:si>
  <x:si>
    <x:t>5358137122504</x:t>
  </x:si>
  <x:si>
    <x:t>C00798</x:t>
  </x:si>
  <x:si>
    <x:t>NO USAR-TONER HP W2031X/415X CY SIN CHIP</x:t>
  </x:si>
  <x:si>
    <x:t>5358137122511</x:t>
  </x:si>
  <x:si>
    <x:t>C00799</x:t>
  </x:si>
  <x:si>
    <x:t>NO USAR-TONER HP W2033X/415X MG SIN CHIP</x:t>
  </x:si>
  <x:si>
    <x:t>5358137122528</x:t>
  </x:si>
  <x:si>
    <x:t>C00800</x:t>
  </x:si>
  <x:si>
    <x:t>NO USAR-TONER HP W2032X/415X YE SIN CHIP</x:t>
  </x:si>
  <x:si>
    <x:t>5358137122535</x:t>
  </x:si>
  <x:si>
    <x:t>C00801</x:t>
  </x:si>
  <x:si>
    <x:t>TONER HP CF289A 5K SIN CHIP M507 M528 CPT</x:t>
  </x:si>
  <x:si>
    <x:t>5358137122542</x:t>
  </x:si>
  <x:si>
    <x:t>C00802</x:t>
  </x:si>
  <x:si>
    <x:t>TONER HP CF289A 5K M507 M528 CPT</x:t>
  </x:si>
  <x:si>
    <x:t>5358137122559</x:t>
  </x:si>
  <x:si>
    <x:t>C00803</x:t>
  </x:si>
  <x:si>
    <x:t>NO USAR-TONER HP CF289X 10K SIN CHIP M507 M528 CPT</x:t>
  </x:si>
  <x:si>
    <x:t>5358137122566</x:t>
  </x:si>
  <x:si>
    <x:t>C00804</x:t>
  </x:si>
  <x:si>
    <x:t>TAMBOR LEXMARK 50F0Z00 MS310/410/15/510/610 CPT</x:t>
  </x:si>
  <x:si>
    <x:t>C00805</x:t>
  </x:si>
  <x:si>
    <x:t>TONER PANTUM TL5120X 15K CPT BP5100/BM5100</x:t>
  </x:si>
  <x:si>
    <x:t>5358137122580</x:t>
  </x:si>
  <x:si>
    <x:t>C00806</x:t>
  </x:si>
  <x:si>
    <x:t>TONER KYOCERA TK-5242 BK CPT 4K P5026</x:t>
  </x:si>
  <x:si>
    <x:t>5358137122597</x:t>
  </x:si>
  <x:si>
    <x:t>C00807</x:t>
  </x:si>
  <x:si>
    <x:t>TONER KYOCERA TK-5242 CY CPT 3K P5026</x:t>
  </x:si>
  <x:si>
    <x:t>5358137122603</x:t>
  </x:si>
  <x:si>
    <x:t>C00808</x:t>
  </x:si>
  <x:si>
    <x:t>TONER KYOCERA TK-5242 MG CPT 3K P5026</x:t>
  </x:si>
  <x:si>
    <x:t>5358137122610</x:t>
  </x:si>
  <x:si>
    <x:t>C00809</x:t>
  </x:si>
  <x:si>
    <x:t>TONER KYOCERA TK-5242 YE CPT 3K P5026</x:t>
  </x:si>
  <x:si>
    <x:t>5358137122627</x:t>
  </x:si>
  <x:si>
    <x:t>C00810</x:t>
  </x:si>
  <x:si>
    <x:t>TONER KYOCERA TK-477 CPT 15K</x:t>
  </x:si>
  <x:si>
    <x:t>5358137122634</x:t>
  </x:si>
  <x:si>
    <x:t>C00811</x:t>
  </x:si>
  <x:si>
    <x:t>TONER HP CF410X BK</x:t>
  </x:si>
  <x:si>
    <x:t>5358137122641</x:t>
  </x:si>
  <x:si>
    <x:t>C00812</x:t>
  </x:si>
  <x:si>
    <x:t>TONER HP CF411X CY</x:t>
  </x:si>
  <x:si>
    <x:t>5358137122658</x:t>
  </x:si>
  <x:si>
    <x:t>C00813</x:t>
  </x:si>
  <x:si>
    <x:t>TONER HP CF412X YE</x:t>
  </x:si>
  <x:si>
    <x:t>5358137122665</x:t>
  </x:si>
  <x:si>
    <x:t>C00814</x:t>
  </x:si>
  <x:si>
    <x:t>TONER HP CF413X MG</x:t>
  </x:si>
  <x:si>
    <x:t>5358137122672</x:t>
  </x:si>
  <x:si>
    <x:t>C00815</x:t>
  </x:si>
  <x:si>
    <x:t>TONER BROTHER TN-1060/1030 BK CPT 1.5K</x:t>
  </x:si>
  <x:si>
    <x:t>5358137122689</x:t>
  </x:si>
  <x:si>
    <x:t>C00816</x:t>
  </x:si>
  <x:si>
    <x:t>TAMBOR PANTUM DL5120 30K CPT BP5100/BM5100</x:t>
  </x:si>
  <x:si>
    <x:t>5358137122696</x:t>
  </x:si>
  <x:si>
    <x:t>C00817</x:t>
  </x:si>
  <x:si>
    <x:t>TONER HP CF258A CON CHIP M404/M428 3K</x:t>
  </x:si>
  <x:si>
    <x:t>5358137122702</x:t>
  </x:si>
  <x:si>
    <x:t>C00818</x:t>
  </x:si>
  <x:si>
    <x:t>TONER XEROX 230</x:t>
  </x:si>
  <x:si>
    <x:t>5358137122719</x:t>
  </x:si>
  <x:si>
    <x:t>C00819</x:t>
  </x:si>
  <x:si>
    <x:t>TAMBOR HP W1332A 432/408DN</x:t>
  </x:si>
  <x:si>
    <x:t>5358137122726</x:t>
  </x:si>
  <x:si>
    <x:t>C00820</x:t>
  </x:si>
  <x:si>
    <x:t>TONER HP W1330A 5K M432/M408</x:t>
  </x:si>
  <x:si>
    <x:t>5358137122733</x:t>
  </x:si>
  <x:si>
    <x:t>C00821</x:t>
  </x:si>
  <x:si>
    <x:t>TONER CANON GPR52 C1325/C1335</x:t>
  </x:si>
  <x:si>
    <x:t>5358137122740</x:t>
  </x:si>
  <x:si>
    <x:t>C00822</x:t>
  </x:si>
  <x:si>
    <x:t>TONER HP CF217A 6K M102/130/134</x:t>
  </x:si>
  <x:si>
    <x:t>5358137122757</x:t>
  </x:si>
  <x:si>
    <x:t>C00823</x:t>
  </x:si>
  <x:si>
    <x:t>TONER LEXMARK CS410 CY CS310/410/510</x:t>
  </x:si>
  <x:si>
    <x:t>5358137122764</x:t>
  </x:si>
  <x:si>
    <x:t>C00824</x:t>
  </x:si>
  <x:si>
    <x:t>TONER LEXMARK CS410 MG CS310/410/510</x:t>
  </x:si>
  <x:si>
    <x:t>5358137122771</x:t>
  </x:si>
  <x:si>
    <x:t>C00825</x:t>
  </x:si>
  <x:si>
    <x:t>TONER RICOH SP3710 CPT</x:t>
  </x:si>
  <x:si>
    <x:t>5358137122788</x:t>
  </x:si>
  <x:si>
    <x:t>C00826</x:t>
  </x:si>
  <x:si>
    <x:t xml:space="preserve">TONER RICOH SP377 CPT </x:t>
  </x:si>
  <x:si>
    <x:t>5358137122795</x:t>
  </x:si>
  <x:si>
    <x:t>C00827</x:t>
  </x:si>
  <x:si>
    <x:t>TONER LEXMARK 56F4H00 15K MS/MX 321 421</x:t>
  </x:si>
  <x:si>
    <x:t>5358137122801</x:t>
  </x:si>
  <x:si>
    <x:t>C00828</x:t>
  </x:si>
  <x:si>
    <x:t xml:space="preserve">TONER KYOCERA TK-552 BK FS-C5200DN </x:t>
  </x:si>
  <x:si>
    <x:t>5358137122818</x:t>
  </x:si>
  <x:si>
    <x:t>C00829</x:t>
  </x:si>
  <x:si>
    <x:t xml:space="preserve">TONER KYOCERA TK-552 CY FS-C5200DN </x:t>
  </x:si>
  <x:si>
    <x:t>5358137122825</x:t>
  </x:si>
  <x:si>
    <x:t>C00830</x:t>
  </x:si>
  <x:si>
    <x:t xml:space="preserve">TONER KYOCERA TK-552 MG FS-C5200DN </x:t>
  </x:si>
  <x:si>
    <x:t>5358137122832</x:t>
  </x:si>
  <x:si>
    <x:t>C00831</x:t>
  </x:si>
  <x:si>
    <x:t xml:space="preserve">TONER KYOCERA TK-552 YE FS-C5200DN </x:t>
  </x:si>
  <x:si>
    <x:t>5358137122849</x:t>
  </x:si>
  <x:si>
    <x:t>C00832</x:t>
  </x:si>
  <x:si>
    <x:t xml:space="preserve">TONER HP CF360A BK M533/M577 </x:t>
  </x:si>
  <x:si>
    <x:t>5358137122856</x:t>
  </x:si>
  <x:si>
    <x:t>C00833</x:t>
  </x:si>
  <x:si>
    <x:t xml:space="preserve">TONER HP CF361A CY M533/M578 </x:t>
  </x:si>
  <x:si>
    <x:t>5358137122863</x:t>
  </x:si>
  <x:si>
    <x:t>C00834</x:t>
  </x:si>
  <x:si>
    <x:t xml:space="preserve">TONER HP CF363A MG M533/M579 </x:t>
  </x:si>
  <x:si>
    <x:t>5358137122870</x:t>
  </x:si>
  <x:si>
    <x:t>C00835</x:t>
  </x:si>
  <x:si>
    <x:t xml:space="preserve">TONER HP CF362A YE M533/M580 </x:t>
  </x:si>
  <x:si>
    <x:t>5358137122887</x:t>
  </x:si>
  <x:si>
    <x:t>C00836</x:t>
  </x:si>
  <x:si>
    <x:t xml:space="preserve">TONER BROTHER TN-200 CPT </x:t>
  </x:si>
  <x:si>
    <x:t>5358137122894</x:t>
  </x:si>
  <x:si>
    <x:t>C00837</x:t>
  </x:si>
  <x:si>
    <x:t>TONER LEXMARK 56F4000 6K MX/MS321</x:t>
  </x:si>
  <x:si>
    <x:t>5358137122900</x:t>
  </x:si>
  <x:si>
    <x:t>C00838</x:t>
  </x:si>
  <x:si>
    <x:t xml:space="preserve">TONER PANASONIC KX-MB1520 2.5K </x:t>
  </x:si>
  <x:si>
    <x:t>5358137122917</x:t>
  </x:si>
  <x:si>
    <x:t>C00839</x:t>
  </x:si>
  <x:si>
    <x:t>TONER BROTHER TN-421 BK L8410/L8260/L8360/L8690</x:t>
  </x:si>
  <x:si>
    <x:t>5358137122924</x:t>
  </x:si>
  <x:si>
    <x:t>C00840</x:t>
  </x:si>
  <x:si>
    <x:t>TONER BROTHER TN-421 CY L8410/L8260/L8360/L8690</x:t>
  </x:si>
  <x:si>
    <x:t>5358137122931</x:t>
  </x:si>
  <x:si>
    <x:t>C00841</x:t>
  </x:si>
  <x:si>
    <x:t>TONER BROTHER TN-421 MG L8410/L8260/L8360/L8690</x:t>
  </x:si>
  <x:si>
    <x:t>5358137122948</x:t>
  </x:si>
  <x:si>
    <x:t>C00842</x:t>
  </x:si>
  <x:si>
    <x:t>TONER BROTHER TN-421 YE L8410/L8260/L8360/L8690</x:t>
  </x:si>
  <x:si>
    <x:t>5358137122955</x:t>
  </x:si>
  <x:si>
    <x:t>C00843</x:t>
  </x:si>
  <x:si>
    <x:t xml:space="preserve">TONER BROTHER TN-760 CPT </x:t>
  </x:si>
  <x:si>
    <x:t>5358137122962</x:t>
  </x:si>
  <x:si>
    <x:t>C00844</x:t>
  </x:si>
  <x:si>
    <x:t xml:space="preserve">TONER CANON 104 CPT </x:t>
  </x:si>
  <x:si>
    <x:t>5358137122979</x:t>
  </x:si>
  <x:si>
    <x:t>C00845</x:t>
  </x:si>
  <x:si>
    <x:t xml:space="preserve">TONER HP CE250A BK 5K CM3530/CP3525 </x:t>
  </x:si>
  <x:si>
    <x:t>5358137122986</x:t>
  </x:si>
  <x:si>
    <x:t>C00846</x:t>
  </x:si>
  <x:si>
    <x:t xml:space="preserve">TONER HP CE251A CY 7K CM3530/CP3525 </x:t>
  </x:si>
  <x:si>
    <x:t>5358137122993</x:t>
  </x:si>
  <x:si>
    <x:t>C00847</x:t>
  </x:si>
  <x:si>
    <x:t xml:space="preserve">TONER HP CE253A MG 7K CM3530/CP3525 </x:t>
  </x:si>
  <x:si>
    <x:t>5358137123006</x:t>
  </x:si>
  <x:si>
    <x:t>C00848</x:t>
  </x:si>
  <x:si>
    <x:t xml:space="preserve">TONER HP CE252A YE 7K CM3530/CP3525 </x:t>
  </x:si>
  <x:si>
    <x:t>5358137123013</x:t>
  </x:si>
  <x:si>
    <x:t>C00849</x:t>
  </x:si>
  <x:si>
    <x:t xml:space="preserve">TONER HP CF401X CY 2.3K M252/M277 </x:t>
  </x:si>
  <x:si>
    <x:t>5358137123020</x:t>
  </x:si>
  <x:si>
    <x:t>C00850</x:t>
  </x:si>
  <x:si>
    <x:t xml:space="preserve">TONER HP CF402X YE 2.3K M252/M277 </x:t>
  </x:si>
  <x:si>
    <x:t>5358137123037</x:t>
  </x:si>
  <x:si>
    <x:t>C00851</x:t>
  </x:si>
  <x:si>
    <x:t xml:space="preserve">TONER HP CF403X MG 2.3K M252/M277 </x:t>
  </x:si>
  <x:si>
    <x:t>5358137123044</x:t>
  </x:si>
  <x:si>
    <x:t>C00852</x:t>
  </x:si>
  <x:si>
    <x:t xml:space="preserve">TONER HP CF259X SIN CHIP M304/404/428 </x:t>
  </x:si>
  <x:si>
    <x:t>5358137123051</x:t>
  </x:si>
  <x:si>
    <x:t>C00853</x:t>
  </x:si>
  <x:si>
    <x:t xml:space="preserve">TONER HP CF259X M304/404/428 </x:t>
  </x:si>
  <x:si>
    <x:t>5358137123068</x:t>
  </x:si>
  <x:si>
    <x:t>C00854</x:t>
  </x:si>
  <x:si>
    <x:t>TONER HP CF233A 2.3K M106/M134</x:t>
  </x:si>
  <x:si>
    <x:t>5358137123075</x:t>
  </x:si>
  <x:si>
    <x:t>C00855</x:t>
  </x:si>
  <x:si>
    <x:t xml:space="preserve">TONER HP CF502A YE 1.3K M254/280/281 </x:t>
  </x:si>
  <x:si>
    <x:t>5358137123082</x:t>
  </x:si>
  <x:si>
    <x:t>C00856</x:t>
  </x:si>
  <x:si>
    <x:t xml:space="preserve">TONER HP CF500A BK 1.3K M254/280/281 </x:t>
  </x:si>
  <x:si>
    <x:t>5358137123099</x:t>
  </x:si>
  <x:si>
    <x:t>C00857</x:t>
  </x:si>
  <x:si>
    <x:t xml:space="preserve">TONER HP CF501A CY 1.3K M254/280/281 </x:t>
  </x:si>
  <x:si>
    <x:t>5358137123105</x:t>
  </x:si>
  <x:si>
    <x:t>C00858</x:t>
  </x:si>
  <x:si>
    <x:t xml:space="preserve">TONER HP CF503A MG 1.3K M254/280/281 </x:t>
  </x:si>
  <x:si>
    <x:t>5358137123112</x:t>
  </x:si>
  <x:si>
    <x:t>C00859</x:t>
  </x:si>
  <x:si>
    <x:t xml:space="preserve">TONER KYOCERA TK-592 BK M6026/C2126 </x:t>
  </x:si>
  <x:si>
    <x:t>5358137123129</x:t>
  </x:si>
  <x:si>
    <x:t>C00860</x:t>
  </x:si>
  <x:si>
    <x:t xml:space="preserve">TONER KYOCERA TK-592 CY M6026/C2126 </x:t>
  </x:si>
  <x:si>
    <x:t>5358137123136</x:t>
  </x:si>
  <x:si>
    <x:t>C00861</x:t>
  </x:si>
  <x:si>
    <x:t xml:space="preserve">TONER KYOCERA TK-592 MG M6026/C2126 </x:t>
  </x:si>
  <x:si>
    <x:t>5358137123143</x:t>
  </x:si>
  <x:si>
    <x:t>C00862</x:t>
  </x:si>
  <x:si>
    <x:t xml:space="preserve">TONER KYOCERA TK-592 YE M6026/C2126 </x:t>
  </x:si>
  <x:si>
    <x:t>5358137123150</x:t>
  </x:si>
  <x:si>
    <x:t>C00863</x:t>
  </x:si>
  <x:si>
    <x:t xml:space="preserve">TONER KYOCERA TK-5142 BK M6530/P6130 </x:t>
  </x:si>
  <x:si>
    <x:t>5358137123167</x:t>
  </x:si>
  <x:si>
    <x:t>C00864</x:t>
  </x:si>
  <x:si>
    <x:t xml:space="preserve">TONER KYOCERA TK-5142 CY M6530/P6130 </x:t>
  </x:si>
  <x:si>
    <x:t>5358137123174</x:t>
  </x:si>
  <x:si>
    <x:t>C00865</x:t>
  </x:si>
  <x:si>
    <x:t xml:space="preserve">TONER KYOCERA TK-5142 MG M6530/P6130 </x:t>
  </x:si>
  <x:si>
    <x:t>5358137123181</x:t>
  </x:si>
  <x:si>
    <x:t>C00866</x:t>
  </x:si>
  <x:si>
    <x:t xml:space="preserve">TONER KYOCERA TK-5142 YE M6530/P6130 </x:t>
  </x:si>
  <x:si>
    <x:t>5358137123198</x:t>
  </x:si>
  <x:si>
    <x:t>C00867</x:t>
  </x:si>
  <x:si>
    <x:t xml:space="preserve">TONER KYOCERA TK-60 FS1800/3800 </x:t>
  </x:si>
  <x:si>
    <x:t>5358137123204</x:t>
  </x:si>
  <x:si>
    <x:t>C00868</x:t>
  </x:si>
  <x:si>
    <x:t xml:space="preserve">TONER KYOCERA TK-170 FS1320/1370 </x:t>
  </x:si>
  <x:si>
    <x:t>5358137123211</x:t>
  </x:si>
  <x:si>
    <x:t>C00869</x:t>
  </x:si>
  <x:si>
    <x:t xml:space="preserve">TONER KYOCERA TK-420 KM2550 </x:t>
  </x:si>
  <x:si>
    <x:t>5358137123228</x:t>
  </x:si>
  <x:si>
    <x:t>C00870</x:t>
  </x:si>
  <x:si>
    <x:t xml:space="preserve">TONER KYOCERA TK-320/TK-322 FS3900/4000 </x:t>
  </x:si>
  <x:si>
    <x:t>5358137123235</x:t>
  </x:si>
  <x:si>
    <x:t>C00871</x:t>
  </x:si>
  <x:si>
    <x:t xml:space="preserve">TONER LEXMARK T630/T632T/634 32K </x:t>
  </x:si>
  <x:si>
    <x:t>5358137123242</x:t>
  </x:si>
  <x:si>
    <x:t>C00872</x:t>
  </x:si>
  <x:si>
    <x:t xml:space="preserve">TONER LEXMARK T650/T652/T654 25K </x:t>
  </x:si>
  <x:si>
    <x:t>5358137123259</x:t>
  </x:si>
  <x:si>
    <x:t>C00873</x:t>
  </x:si>
  <x:si>
    <x:t>TONER SAMSUNG MLT-D307E 20K</x:t>
  </x:si>
  <x:si>
    <x:t>5358137123266</x:t>
  </x:si>
  <x:si>
    <x:t>C00874</x:t>
  </x:si>
  <x:si>
    <x:t xml:space="preserve">TONER SAMSUNG MLT-D307E 40K </x:t>
  </x:si>
  <x:si>
    <x:t>5358137123273</x:t>
  </x:si>
  <x:si>
    <x:t>C00875</x:t>
  </x:si>
  <x:si>
    <x:t>TONER SAMSUNG MLT-D307L 15K</x:t>
  </x:si>
  <x:si>
    <x:t>5358137123280</x:t>
  </x:si>
  <x:si>
    <x:t>C00876</x:t>
  </x:si>
  <x:si>
    <x:t xml:space="preserve">TONER XEROX 7800 CY 17K </x:t>
  </x:si>
  <x:si>
    <x:t>5358137123297</x:t>
  </x:si>
  <x:si>
    <x:t>C00877</x:t>
  </x:si>
  <x:si>
    <x:t xml:space="preserve">TONER XEROX 7800 MG 17K </x:t>
  </x:si>
  <x:si>
    <x:t>5358137123303</x:t>
  </x:si>
  <x:si>
    <x:t>C00878</x:t>
  </x:si>
  <x:si>
    <x:t xml:space="preserve">TONER XEROX 7800 YE 17K </x:t>
  </x:si>
  <x:si>
    <x:t>5358137123310</x:t>
  </x:si>
  <x:si>
    <x:t>C00879</x:t>
  </x:si>
  <x:si>
    <x:t xml:space="preserve">TONER XEROX 7800 BK 17K </x:t>
  </x:si>
  <x:si>
    <x:t>5358137123327</x:t>
  </x:si>
  <x:si>
    <x:t>C00880</x:t>
  </x:si>
  <x:si>
    <x:t xml:space="preserve">TONER RICOH SP5200 25K CPT </x:t>
  </x:si>
  <x:si>
    <x:t>5358137123334</x:t>
  </x:si>
  <x:si>
    <x:t>C00881</x:t>
  </x:si>
  <x:si>
    <x:t>TONER KYOCERA TK-1248 PA/MA2001</x:t>
  </x:si>
  <x:si>
    <x:t>5358137123341</x:t>
  </x:si>
  <x:si>
    <x:t>C00882</x:t>
  </x:si>
  <x:si>
    <x:t xml:space="preserve">TONER HP CF237X 22K M608/609/631 </x:t>
  </x:si>
  <x:si>
    <x:t>5358137123358</x:t>
  </x:si>
  <x:si>
    <x:t>C00883</x:t>
  </x:si>
  <x:si>
    <x:t>TONER HP W1330A SIN CHIP M432/M408</x:t>
  </x:si>
  <x:si>
    <x:t>5358137123365</x:t>
  </x:si>
  <x:si>
    <x:t>C00884</x:t>
  </x:si>
  <x:si>
    <x:t>TONER HP W1330X SIN CHIP M432/M408</x:t>
  </x:si>
  <x:si>
    <x:t>5358137123372</x:t>
  </x:si>
  <x:si>
    <x:t>C00885</x:t>
  </x:si>
  <x:si>
    <x:t>LIBRE PARA USAR</x:t>
  </x:si>
  <x:si>
    <x:t>5358137123389</x:t>
  </x:si>
  <x:si>
    <x:t>C00886</x:t>
  </x:si>
  <x:si>
    <x:t xml:space="preserve">TONER HP W2030X/415X BK M454/M470/M479 </x:t>
  </x:si>
  <x:si>
    <x:t>5358137123396</x:t>
  </x:si>
  <x:si>
    <x:t>C00887</x:t>
  </x:si>
  <x:si>
    <x:t>TONER HP W2031X/415X CY M454/M470/M479</x:t>
  </x:si>
  <x:si>
    <x:t>5358137123402</x:t>
  </x:si>
  <x:si>
    <x:t>C00888</x:t>
  </x:si>
  <x:si>
    <x:t xml:space="preserve">TONER HP W2032X/415X YE M454/M470/M479 </x:t>
  </x:si>
  <x:si>
    <x:t>5358137123419</x:t>
  </x:si>
  <x:si>
    <x:t>C00889</x:t>
  </x:si>
  <x:si>
    <x:t xml:space="preserve">TONER HP W2033X/415X MG M454/M470/M479 </x:t>
  </x:si>
  <x:si>
    <x:t>5358137123426</x:t>
  </x:si>
  <x:si>
    <x:t>C00890</x:t>
  </x:si>
  <x:si>
    <x:t>TONER HP W2020X/414X BK 7,5K M454/M470/M479</x:t>
  </x:si>
  <x:si>
    <x:t>5358137123433</x:t>
  </x:si>
  <x:si>
    <x:t>C00891</x:t>
  </x:si>
  <x:si>
    <x:t>TONER HP W2021X/414X CY 6K M454/M470/M479</x:t>
  </x:si>
  <x:si>
    <x:t>5358137123440</x:t>
  </x:si>
  <x:si>
    <x:t>C00892</x:t>
  </x:si>
  <x:si>
    <x:t>TONER HP W2022X/414X YE 6K M454/M470/M479</x:t>
  </x:si>
  <x:si>
    <x:t>5358137123457</x:t>
  </x:si>
  <x:si>
    <x:t>C00893</x:t>
  </x:si>
  <x:si>
    <x:t>TONER HP W2023X/414X MG 6K M454/M470/M479</x:t>
  </x:si>
  <x:si>
    <x:t>5358137123464</x:t>
  </x:si>
  <x:si>
    <x:t>C00894</x:t>
  </x:si>
  <x:si>
    <x:t xml:space="preserve">TONER HP W2310A BK 1K M155/M182/M183 </x:t>
  </x:si>
  <x:si>
    <x:t>5358137123471</x:t>
  </x:si>
  <x:si>
    <x:t>C00895</x:t>
  </x:si>
  <x:si>
    <x:t xml:space="preserve">TONER HP W2311A CY 0.85K M155/M182/M183 </x:t>
  </x:si>
  <x:si>
    <x:t>5358137123488</x:t>
  </x:si>
  <x:si>
    <x:t>C00896</x:t>
  </x:si>
  <x:si>
    <x:t xml:space="preserve">TONER HP W2312A YE 0.85K M155/M182/M183 </x:t>
  </x:si>
  <x:si>
    <x:t>5358137123495</x:t>
  </x:si>
  <x:si>
    <x:t>C00897</x:t>
  </x:si>
  <x:si>
    <x:t xml:space="preserve">TONER HP W2313A MG 0.85K M155/M182/M183 </x:t>
  </x:si>
  <x:si>
    <x:t>5358137123501</x:t>
  </x:si>
  <x:si>
    <x:t>C00898</x:t>
  </x:si>
  <x:si>
    <x:t>TONER HP W2030X/415X BK SIN CHIP</x:t>
  </x:si>
  <x:si>
    <x:t>5358137123518</x:t>
  </x:si>
  <x:si>
    <x:t>C00899</x:t>
  </x:si>
  <x:si>
    <x:t>TONER HP W2031X/415X CY SIN CHIP</x:t>
  </x:si>
  <x:si>
    <x:t>5358137123525</x:t>
  </x:si>
  <x:si>
    <x:t>C00900</x:t>
  </x:si>
  <x:si>
    <x:t>TONER HP W2032X/415X YE SIN CHIP</x:t>
  </x:si>
  <x:si>
    <x:t>5358137123532</x:t>
  </x:si>
  <x:si>
    <x:t>C00901</x:t>
  </x:si>
  <x:si>
    <x:t>TONER HP W2033X/415X MG SIN CHIP</x:t>
  </x:si>
  <x:si>
    <x:t>5358137123549</x:t>
  </x:si>
  <x:si>
    <x:t>C00902</x:t>
  </x:si>
  <x:si>
    <x:t>TONER HP W2020X/414X BK 7,5K SIN CHIP</x:t>
  </x:si>
  <x:si>
    <x:t>5358137123556</x:t>
  </x:si>
  <x:si>
    <x:t>C00903</x:t>
  </x:si>
  <x:si>
    <x:t>TONER HP W2021X/414X CY 6K SIN CHIP</x:t>
  </x:si>
  <x:si>
    <x:t>5358137123563</x:t>
  </x:si>
  <x:si>
    <x:t>C00904</x:t>
  </x:si>
  <x:si>
    <x:t>TONER HP W2022X/414X YE 6K SIN CHIP</x:t>
  </x:si>
  <x:si>
    <x:t>5358137123570</x:t>
  </x:si>
  <x:si>
    <x:t>C00905</x:t>
  </x:si>
  <x:si>
    <x:t>TONER HP W2023X/414X MG 6K SIN CHIP</x:t>
  </x:si>
  <x:si>
    <x:t>5358137123587</x:t>
  </x:si>
  <x:si>
    <x:t>C00906</x:t>
  </x:si>
  <x:si>
    <x:t>TONER LEXMARK 55B4H00 15K MS/MX 331/431</x:t>
  </x:si>
  <x:si>
    <x:t>5358137123594</x:t>
  </x:si>
  <x:si>
    <x:t>C00907</x:t>
  </x:si>
  <x:si>
    <x:t>TONER PANTUM TL425U 11K P3305D/M7105D</x:t>
  </x:si>
  <x:si>
    <x:t>5358137123600</x:t>
  </x:si>
  <x:si>
    <x:t>C00908</x:t>
  </x:si>
  <x:si>
    <x:t xml:space="preserve">TONER SINDOH M610 6K M610/611/612 </x:t>
  </x:si>
  <x:si>
    <x:t>5358137123617</x:t>
  </x:si>
  <x:si>
    <x:t>C00909</x:t>
  </x:si>
  <x:si>
    <x:t xml:space="preserve">TONER XEROX B400/B405 13,9K </x:t>
  </x:si>
  <x:si>
    <x:t>5358137123624</x:t>
  </x:si>
  <x:si>
    <x:t>C00910</x:t>
  </x:si>
  <x:si>
    <x:t xml:space="preserve">TAMBOR SINDOH DR-A413 </x:t>
  </x:si>
  <x:si>
    <x:t>5358137123631</x:t>
  </x:si>
  <x:si>
    <x:t>C00911</x:t>
  </x:si>
  <x:si>
    <x:t xml:space="preserve">TAMBOR SINDOH DR-M610 M610/611 </x:t>
  </x:si>
  <x:si>
    <x:t>5358137123648</x:t>
  </x:si>
  <x:si>
    <x:t>C00912</x:t>
  </x:si>
  <x:si>
    <x:t xml:space="preserve">TONER XEROX C400 BK </x:t>
  </x:si>
  <x:si>
    <x:t>5358137123655</x:t>
  </x:si>
  <x:si>
    <x:t>C00913</x:t>
  </x:si>
  <x:si>
    <x:t xml:space="preserve">TONER XEROX C400 CY </x:t>
  </x:si>
  <x:si>
    <x:t>5358137123662</x:t>
  </x:si>
  <x:si>
    <x:t>C00914</x:t>
  </x:si>
  <x:si>
    <x:t xml:space="preserve">TONER XEROX C400 MG </x:t>
  </x:si>
  <x:si>
    <x:t>5358137123679</x:t>
  </x:si>
  <x:si>
    <x:t>C00915</x:t>
  </x:si>
  <x:si>
    <x:t xml:space="preserve">TONER XEROX C400 YE </x:t>
  </x:si>
  <x:si>
    <x:t>5358137123686</x:t>
  </x:si>
  <x:si>
    <x:t>C00916</x:t>
  </x:si>
  <x:si>
    <x:t xml:space="preserve">TONER HP W9060MC BK E5540/E5740 </x:t>
  </x:si>
  <x:si>
    <x:t>5358137123693</x:t>
  </x:si>
  <x:si>
    <x:t>C00917</x:t>
  </x:si>
  <x:si>
    <x:t xml:space="preserve">TONER HP W9060MC CY E5540/E5740 </x:t>
  </x:si>
  <x:si>
    <x:t>5358137123709</x:t>
  </x:si>
  <x:si>
    <x:t>C00918</x:t>
  </x:si>
  <x:si>
    <x:t xml:space="preserve">TONER HP W9060MC MG E5540/E5740 </x:t>
  </x:si>
  <x:si>
    <x:t>5358137123716</x:t>
  </x:si>
  <x:si>
    <x:t>C00919</x:t>
  </x:si>
  <x:si>
    <x:t xml:space="preserve">TONER HP W9060MC YE E5540/E5740 </x:t>
  </x:si>
  <x:si>
    <x:t>5358137123723</x:t>
  </x:si>
  <x:si>
    <x:t>C00920</x:t>
  </x:si>
  <x:si>
    <x:t xml:space="preserve">TONER BROTHER TN-436 BK L8360/8900/9310/9570 </x:t>
  </x:si>
  <x:si>
    <x:t>5358137123730</x:t>
  </x:si>
  <x:si>
    <x:t>C00921</x:t>
  </x:si>
  <x:si>
    <x:t xml:space="preserve">TONER BROTHER TN-436 CY L8360/8900/9310/9570 </x:t>
  </x:si>
  <x:si>
    <x:t>5358137123747</x:t>
  </x:si>
  <x:si>
    <x:t>C00922</x:t>
  </x:si>
  <x:si>
    <x:t xml:space="preserve">TONER BROTHER TN-436 MG L8360/8900/9310/9570 </x:t>
  </x:si>
  <x:si>
    <x:t>5358137123754</x:t>
  </x:si>
  <x:si>
    <x:t>C00923</x:t>
  </x:si>
  <x:si>
    <x:t xml:space="preserve">TONER BROTHER TN-436 YE L8360/8900/9310/9570 </x:t>
  </x:si>
  <x:si>
    <x:t>5358137123761</x:t>
  </x:si>
  <x:si>
    <x:t>C00924</x:t>
  </x:si>
  <x:si>
    <x:t>5358137123778</x:t>
  </x:si>
  <x:si>
    <x:t>C00925</x:t>
  </x:si>
  <x:si>
    <x:t>TONER KYOCERA TK-1150 3K M2135/2635/2735</x:t>
  </x:si>
  <x:si>
    <x:t>5358137123785</x:t>
  </x:si>
  <x:si>
    <x:t>C00926</x:t>
  </x:si>
  <x:si>
    <x:t xml:space="preserve">TONER LEXMARK XM3150 CPT </x:t>
  </x:si>
  <x:si>
    <x:t>5358137123792</x:t>
  </x:si>
  <x:si>
    <x:t>C00927</x:t>
  </x:si>
  <x:si>
    <x:t xml:space="preserve">TONER SAMSUNG MLT-D358S 30K M4370/M5370 </x:t>
  </x:si>
  <x:si>
    <x:t>5358137123808</x:t>
  </x:si>
  <x:si>
    <x:t>C00928</x:t>
  </x:si>
  <x:si>
    <x:t>TAMBOR KYOCERA DRTK-1150 M2135/2635/2735</x:t>
  </x:si>
  <x:si>
    <x:t>5358137123815</x:t>
  </x:si>
  <x:si>
    <x:t>C00929</x:t>
  </x:si>
  <x:si>
    <x:t xml:space="preserve">TAMBOR KYOCERA DRTK-1243 MA2000/PA2000 </x:t>
  </x:si>
  <x:si>
    <x:t>5358137123822</x:t>
  </x:si>
  <x:si>
    <x:t>C00930</x:t>
  </x:si>
  <x:si>
    <x:t xml:space="preserve">TAMBOR LEXMARK 56F0Z00 MX/MS 321/421/521 </x:t>
  </x:si>
  <x:si>
    <x:t>5358137123839</x:t>
  </x:si>
  <x:si>
    <x:t>C00931</x:t>
  </x:si>
  <x:si>
    <x:t xml:space="preserve">TAMBOR SAMSUNG R404 C430/C480/432/433 </x:t>
  </x:si>
  <x:si>
    <x:t>5358137123846</x:t>
  </x:si>
  <x:si>
    <x:t>C00932</x:t>
  </x:si>
  <x:si>
    <x:t>TONER LEXMARK CS410 YE CS310/410/510</x:t>
  </x:si>
  <x:si>
    <x:t>5358137123853</x:t>
  </x:si>
  <x:si>
    <x:t>C00933</x:t>
  </x:si>
  <x:si>
    <x:t>TONER XEROX 3435 10K</x:t>
  </x:si>
  <x:si>
    <x:t>5358137123860</x:t>
  </x:si>
  <x:si>
    <x:t>C00934</x:t>
  </x:si>
  <x:si>
    <x:t>TONER KYOCERA TK-3102 M3040</x:t>
  </x:si>
  <x:si>
    <x:t>5358137123877</x:t>
  </x:si>
  <x:si>
    <x:t>C00944</x:t>
  </x:si>
  <x:si>
    <x:t>TONER SAMSUNG MLT-303E 40K P/ M4580FX COMP</x:t>
  </x:si>
  <x:si>
    <x:t>5358137123976</x:t>
  </x:si>
  <x:si>
    <x:t>C00945</x:t>
  </x:si>
  <x:si>
    <x:t>TONER PANTUM PB310X P3500 10K</x:t>
  </x:si>
  <x:si>
    <x:t>5358137123983</x:t>
  </x:si>
  <x:si>
    <x:t>C00946</x:t>
  </x:si>
  <x:si>
    <x:t>TONER PANTUM PD219 CPT 1.6K P2509W/M6559</x:t>
  </x:si>
  <x:si>
    <x:t>5358137123990</x:t>
  </x:si>
  <x:si>
    <x:t>C00947</x:t>
  </x:si>
  <x:si>
    <x:t>TONER HP W1510A 151A 4003/4101/4102/4103</x:t>
  </x:si>
  <x:si>
    <x:t>5358137124003</x:t>
  </x:si>
  <x:si>
    <x:t>C00948</x:t>
  </x:si>
  <x:si>
    <x:t>TONER HP W1510X 151X 9.7K 4003/4101/4102/4103</x:t>
  </x:si>
  <x:si>
    <x:t>5358137124010</x:t>
  </x:si>
  <x:si>
    <x:t>C00949</x:t>
  </x:si>
  <x:si>
    <x:t>TONER XEROX 006R04403 3K CPT B230/B225/B235</x:t>
  </x:si>
  <x:si>
    <x:t>5358137124027</x:t>
  </x:si>
  <x:si>
    <x:t>C00950</x:t>
  </x:si>
  <x:si>
    <x:t>TONER XEROX 006R04404 6K CPT B230/B225/B235</x:t>
  </x:si>
  <x:si>
    <x:t>5358137124034</x:t>
  </x:si>
  <x:si>
    <x:t>C00951</x:t>
  </x:si>
  <x:si>
    <x:t>TAMBOR XEROX 013R00691 12K CPT B230/B225/B235</x:t>
  </x:si>
  <x:si>
    <x:t>5358137124041</x:t>
  </x:si>
  <x:si>
    <x:t>C00952</x:t>
  </x:si>
  <x:si>
    <x:t>TONER BROTHER TN-3609XXL CPT 11K L5210/L6415</x:t>
  </x:si>
  <x:si>
    <x:t>5358137124058</x:t>
  </x:si>
  <x:si>
    <x:t>C00955</x:t>
  </x:si>
  <x:si>
    <x:t>TONER KYOCERA TK-3432 21K 5500</x:t>
  </x:si>
  <x:si>
    <x:t>5358137124089</x:t>
  </x:si>
  <x:si>
    <x:t>C00956</x:t>
  </x:si>
  <x:si>
    <x:t>TONER HP W1500A 150A 1K M109/110/111/112/139 CPT</x:t>
  </x:si>
  <x:si>
    <x:t>5358137124096</x:t>
  </x:si>
  <x:si>
    <x:t>C00957</x:t>
  </x:si>
  <x:si>
    <x:t>TONER HP W1500X 150X 110/111/112/139 1.4KCPT</x:t>
  </x:si>
  <x:si>
    <x:t>5358137124102</x:t>
  </x:si>
  <x:si>
    <x:t>C00958</x:t>
  </x:si>
  <x:si>
    <x:t>TONER SAMSUNG MLT-D204L 5000 COP</x:t>
  </x:si>
  <x:si>
    <x:t>5358137124119</x:t>
  </x:si>
  <x:si>
    <x:t>C00959</x:t>
  </x:si>
  <x:si>
    <x:t>TONER SAMSUNG MLT-D204E 10000 COP</x:t>
  </x:si>
  <x:si>
    <x:t>5358137124126</x:t>
  </x:si>
  <x:si>
    <x:t>C00960</x:t>
  </x:si>
  <x:si>
    <x:t>DRUM SAMSUNG DR-D204 30.000 COPIAS</x:t>
  </x:si>
  <x:si>
    <x:t>5358137124133</x:t>
  </x:si>
  <x:si>
    <x:t>C00962</x:t>
  </x:si>
  <x:si>
    <x:t>TAMBOR KYOCERA DK-1242</x:t>
  </x:si>
  <x:si>
    <x:t>5358137124157</x:t>
  </x:si>
  <x:si>
    <x:t>C00963</x:t>
  </x:si>
  <x:si>
    <x:t>TONER KYOCERA TK-1242 CPT</x:t>
  </x:si>
  <x:si>
    <x:t>5358137124164</x:t>
  </x:si>
  <x:si>
    <x:t>C00964</x:t>
  </x:si>
  <x:si>
    <x:t>TONER HP W1450X 145X 3.8K CPT 3001/2/3/4/3101/2/3</x:t>
  </x:si>
  <x:si>
    <x:t>5358137124171</x:t>
  </x:si>
  <x:si>
    <x:t>C00967</x:t>
  </x:si>
  <x:si>
    <x:t>TAMBOR BROTHER DR-3609 75k</x:t>
  </x:si>
  <x:si>
    <x:t>5358137124188</x:t>
  </x:si>
  <x:si>
    <x:t>C00968</x:t>
  </x:si>
  <x:si>
    <x:t>TONER BROTHER DR-3609 11K GRAVITY</x:t>
  </x:si>
  <x:si>
    <x:t>C00969</x:t>
  </x:si>
  <x:si>
    <x:t>TONER PANTUM T2310H 1.6K CPT BP2300/BM2300</x:t>
  </x:si>
  <x:si>
    <x:t>C00970</x:t>
  </x:si>
  <x:si>
    <x:t>TAMBOR LEXMARK 431</x:t>
  </x:si>
  <x:si>
    <x:t>C00974</x:t>
  </x:si>
  <x:si>
    <x:t>TONER BROTHER TN-3619 CPT 18K L5210/L6415</x:t>
  </x:si>
  <x:si>
    <x:t>C00975</x:t>
  </x:si>
  <x:si>
    <x:t>TONER BROTHER TN-116 1K</x:t>
  </x:si>
  <x:si>
    <x:t>C00976</x:t>
  </x:si>
  <x:si>
    <x:t>TONER PANTUM T2311H 1.6K</x:t>
  </x:si>
  <x:si>
    <x:t>E00159</x:t>
  </x:si>
  <x:si>
    <x:t>TONER SAMSUNG CPT ML1610/2010/4521/X3117 3K ECOJET</x:t>
  </x:si>
  <x:si>
    <x:t>4358125120018</x:t>
  </x:si>
  <x:si>
    <x:t>E00160</x:t>
  </x:si>
  <x:si>
    <x:t>TONER HP Q2612A / CANON FX9 / FX10 2K ECOJET</x:t>
  </x:si>
  <x:si>
    <x:t>4350125120258</x:t>
  </x:si>
  <x:si>
    <x:t>E00163</x:t>
  </x:si>
  <x:si>
    <x:t>TONER LEXMARK E120 - 12018SL CPT 2K ECOJET</x:t>
  </x:si>
  <x:si>
    <x:t>4357125120134</x:t>
  </x:si>
  <x:si>
    <x:t>E00165</x:t>
  </x:si>
  <x:si>
    <x:t>4350125120050</x:t>
  </x:si>
  <x:si>
    <x:t>E00178</x:t>
  </x:si>
  <x:si>
    <x:t>TONER BROTHER TN-360/TN-2115/2125 CPT 2.6K ECOJET</x:t>
  </x:si>
  <x:si>
    <x:t>4353137120018</x:t>
  </x:si>
  <x:si>
    <x:t>E00183</x:t>
  </x:si>
  <x:si>
    <x:t>4352137120066</x:t>
  </x:si>
  <x:si>
    <x:t>E00184</x:t>
  </x:si>
  <x:si>
    <x:t>TONER SAMSUNG MLT-104S 1665/3200/3205 1.5K ECOJET</x:t>
  </x:si>
  <x:si>
    <x:t>4358125120056</x:t>
  </x:si>
  <x:si>
    <x:t>E00187</x:t>
  </x:si>
  <x:si>
    <x:t>TONER SAMSUNG 105L 2,5K CPT ECOJET</x:t>
  </x:si>
  <x:si>
    <x:t>4359137120010</x:t>
  </x:si>
  <x:si>
    <x:t>E00190</x:t>
  </x:si>
  <x:si>
    <x:t>TONER BROTHER TN-450/2250 CPT 2.5K ECOJET</x:t>
  </x:si>
  <x:si>
    <x:t>4353125120037</x:t>
  </x:si>
  <x:si>
    <x:t>E00204</x:t>
  </x:si>
  <x:si>
    <x:t>TONER SAMSUNG D101/ML-2165 1.5K ECOJET</x:t>
  </x:si>
  <x:si>
    <x:t>4358137120181</x:t>
  </x:si>
  <x:si>
    <x:t>E00206</x:t>
  </x:si>
  <x:si>
    <x:t>4353137120056</x:t>
  </x:si>
  <x:si>
    <x:t>E00207</x:t>
  </x:si>
  <x:si>
    <x:t>4358137120198</x:t>
  </x:si>
  <x:si>
    <x:t>E00303</x:t>
  </x:si>
  <x:si>
    <x:t>TONER SAMSUNG MLT-D103L 2.5k CPT ECOJET</x:t>
  </x:si>
  <x:si>
    <x:t>4350137121014</x:t>
  </x:si>
  <x:si>
    <x:t>E00317</x:t>
  </x:si>
  <x:si>
    <x:t>TONER SAMSUNG MLT-1640/108 CPT 1.5K ECOJET</x:t>
  </x:si>
  <x:si>
    <x:t>4350137120857</x:t>
  </x:si>
  <x:si>
    <x:t>E00328</x:t>
  </x:si>
  <x:si>
    <x:t>TONER HP CF280A/CE505A/CRG120 CPT 2.3K ECOJET</x:t>
  </x:si>
  <x:si>
    <x:t>4350137121359</x:t>
  </x:si>
  <x:si>
    <x:t>E00375</x:t>
  </x:si>
  <x:si>
    <x:t>TONER BROTHER TN-1060/1030 BK CPT 1K ECOJET</x:t>
  </x:si>
  <x:si>
    <x:t>4350137121151</x:t>
  </x:si>
  <x:si>
    <x:t>E00389</x:t>
  </x:si>
  <x:si>
    <x:t>TONER SAMSUNG MLT-D111L BK 2.0K ECOJET</x:t>
  </x:si>
  <x:si>
    <x:t>4350137121182</x:t>
  </x:si>
  <x:si>
    <x:t>E00390</x:t>
  </x:si>
  <x:si>
    <x:t>4350137121199</x:t>
  </x:si>
  <x:si>
    <x:t>E00391</x:t>
  </x:si>
  <x:si>
    <x:t>TONER HP 435/436/285A/278A 2K ECOJET</x:t>
  </x:si>
  <x:si>
    <x:t>4350137121168</x:t>
  </x:si>
  <x:si>
    <x:t>E00399</x:t>
  </x:si>
  <x:si>
    <x:t>TAMBOR BROTHER DR-1060 CPT 10K ECOJET</x:t>
  </x:si>
  <x:si>
    <x:t>4358137120327</x:t>
  </x:si>
  <x:si>
    <x:t>E00400</x:t>
  </x:si>
  <x:si>
    <x:t>TONER XEROX 3250 CPT 5K 106R01374 ECOJET</x:t>
  </x:si>
  <x:si>
    <x:t>4358137120334</x:t>
  </x:si>
  <x:si>
    <x:t>E00413</x:t>
  </x:si>
  <x:si>
    <x:t>4358137120532</x:t>
  </x:si>
  <x:si>
    <x:t>E00427</x:t>
  </x:si>
  <x:si>
    <x:t>4358137120556</x:t>
  </x:si>
  <x:si>
    <x:t>E00428</x:t>
  </x:si>
  <x:si>
    <x:t>TONER BROTHER TN-660/2370 CPT 2.6K ECOJET</x:t>
  </x:si>
  <x:si>
    <x:t>4358137120341</x:t>
  </x:si>
  <x:si>
    <x:t>E00429</x:t>
  </x:si>
  <x:si>
    <x:t>4358137120457</x:t>
  </x:si>
  <x:si>
    <x:t>E00434</x:t>
  </x:si>
  <x:si>
    <x:t>TAMBOR BROTHER DR-720/750/780 CPT 25K ECOJET</x:t>
  </x:si>
  <x:si>
    <x:t>4358137120402</x:t>
  </x:si>
  <x:si>
    <x:t>E00436</x:t>
  </x:si>
  <x:si>
    <x:t>TAMBOR BROTHER DR-630/660 CPT 12K ECOJET</x:t>
  </x:si>
  <x:si>
    <x:t>4358137120426</x:t>
  </x:si>
  <x:si>
    <x:t>E00574</x:t>
  </x:si>
  <x:si>
    <x:t>TONER BROTHER TN-850/TN-3449 CPT 8K ECOJET</x:t>
  </x:si>
  <x:si>
    <x:t>4358137121294</x:t>
  </x:si>
  <x:si>
    <x:t>E00642</x:t>
  </x:si>
  <x:si>
    <x:t>TONER SAMSUNG MLT-D112S BK 2.0K CPT ECOJET</x:t>
  </x:si>
  <x:si>
    <x:t>4358137121751</x:t>
  </x:si>
  <x:si>
    <x:t>E00664</x:t>
  </x:si>
  <x:si>
    <x:t>TONER XEROX 3020-106R02773 CPT 1.5K ECOJET</x:t>
  </x:si>
  <x:si>
    <x:t>4358137121836</x:t>
  </x:si>
  <x:si>
    <x:t>E00678</x:t>
  </x:si>
  <x:si>
    <x:t>TONER SAMSUNG MLT-D111L BK 2K ECOJET NEW CHIP</x:t>
  </x:si>
  <x:si>
    <x:t>E00679</x:t>
  </x:si>
  <x:si>
    <x:t>TONER SAMSUNG MLT-203U 15K CPT NEW CH ECOJ</x:t>
  </x:si>
  <x:si>
    <x:t>E00680</x:t>
  </x:si>
  <x:si>
    <x:t>TONER SAMSUNG MLT-115L 3K CPT NEW CHIP ECOJET</x:t>
  </x:si>
  <x:si>
    <x:t>E00687</x:t>
  </x:si>
  <x:si>
    <x:t>TONER HP 105X BK (W1105X) 3K 107W/107A/M135 ECOJ</x:t>
  </x:si>
  <x:si>
    <x:t>4358137121881</x:t>
  </x:si>
  <x:si>
    <x:t>T00293</x:t>
  </x:si>
  <x:si>
    <x:t>REFILL PANTUM RK-219 PB210 1.6K</x:t>
  </x:si>
  <x:si>
    <x:t>Fecha Proxima Importacion</x:t>
  </x:si>
  <x:si>
    <x:t>Dias Pedido</x:t>
  </x:si>
  <x:si>
    <x:t>Dias Duracion</x:t>
  </x:si>
  <x:si>
    <x:t>Relacion Venta Marcas</x:t>
  </x:si>
  <x:si>
    <x:t>Articulo.1</x:t>
  </x:si>
  <x:si>
    <x:t>Articulo.2</x:t>
  </x:si>
  <x:si>
    <x:t>Articulo.3</x:t>
  </x:si>
  <x:si>
    <x:t>Stock Act.1</x:t>
  </x:si>
  <x:si>
    <x:t>Stock Act.2</x:t>
  </x:si>
  <x:si>
    <x:t>Stock Act.3</x:t>
  </x:si>
  <x:si>
    <x:t>S T O C K   A L  18/10/2026</x:t>
  </x:si>
  <x:si>
    <x:t>Arribo Prox.</x:t>
  </x:si>
  <x:si>
    <x:t>Dias Arribo</x:t>
  </x:si>
  <x:si>
    <x:t>Quiebre Stk.1</x:t>
  </x:si>
  <x:si>
    <x:t>% Proteccion.1</x:t>
  </x:si>
  <x:si>
    <x:t>Quiebre Stk.2</x:t>
  </x:si>
  <x:si>
    <x:t>% Proteccion.2</x:t>
  </x:si>
  <x:si>
    <x:t>Quiebre Stk.3</x:t>
  </x:si>
  <x:si>
    <x:t>% Proteccion.3</x:t>
  </x:si>
  <x:si>
    <x:t>Suma Tot. Quiebre</x:t>
  </x:si>
  <x:si>
    <x:t>Pond. %Protecc.</x:t>
  </x:si>
  <x:si>
    <x:t>Pedir Artic.1</x:t>
  </x:si>
  <x:si>
    <x:t>Confirmado Art.1</x:t>
  </x:si>
  <x:si>
    <x:t>Pedir Artic.2</x:t>
  </x:si>
  <x:si>
    <x:t>Confirmado Art.2</x:t>
  </x:si>
  <x:si>
    <x:t>Pedir Artic.3</x:t>
  </x:si>
  <x:si>
    <x:t>Confirmado Art.3</x:t>
  </x:si>
  <x:si>
    <x:t>Stk.Acumulado.1</x:t>
  </x:si>
  <x:si>
    <x:t>Stk.Acumulado.2</x:t>
  </x:si>
  <x:si>
    <x:t>Stk.Acumulado.3</x:t>
  </x:si>
  <x:si>
    <x:t>FOB U$S Art.1</x:t>
  </x:si>
  <x:si>
    <x:t>Prov. Cpa. Art.1</x:t>
  </x:si>
  <x:si>
    <x:t>FOB U$S Art.2</x:t>
  </x:si>
  <x:si>
    <x:t>Prov. Cpa. Art.2</x:t>
  </x:si>
  <x:si>
    <x:t>FOB U$S Art.3</x:t>
  </x:si>
  <x:si>
    <x:t>Prov. Cpa. Art.3</x:t>
  </x:si>
  <x:si>
    <x:t>S T O C K   A L  16/01/2027</x:t>
  </x:si>
  <x:si>
    <x:t>Stk.Final.1</x:t>
  </x:si>
  <x:si>
    <x:t>Stk.Final.2</x:t>
  </x:si>
  <x:si>
    <x:t>Stk.Final.3</x:t>
  </x:si>
  <x:si>
    <x:t>Suma Tot. Stk.Final</x:t>
  </x:si>
  <x:si>
    <x:t>Estado Art.1</x:t>
  </x:si>
</x:sst>
</file>

<file path=xl/styles.xml><?xml version="1.0" encoding="utf-8"?>
<x:styleSheet xmlns:x="http://schemas.openxmlformats.org/spreadsheetml/2006/main">
  <x:numFmts count="4">
    <x:numFmt numFmtId="164" formatCode="#,###,##0.0000"/>
    <x:numFmt numFmtId="165" formatCode="dd/MM/yyyy"/>
    <x:numFmt numFmtId="166" formatCode="#,###,##0.00"/>
    <x:numFmt numFmtId="167" formatCode="#,##0.00%"/>
  </x:numFmts>
  <x:fonts count="2">
    <x:font>
      <x:sz val="11"/>
      <x:color theme="1"/>
      <x:name val="Calibri"/>
      <x:scheme val="minor"/>
    </x:font>
    <x:font>
      <x:b/>
      <x:sz val="9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00FFFF"/>
        <x:bgColor rgb="FF000000"/>
      </x:patternFill>
    </x:fill>
    <x:fill>
      <x:patternFill patternType="solid">
        <x:fgColor rgb="FFF0F8FF"/>
        <x:bgColor rgb="FF000000"/>
      </x:patternFill>
    </x:fill>
    <x:fill>
      <x:patternFill patternType="solid">
        <x:fgColor rgb="FFADD8E6"/>
        <x:bgColor rgb="FF000000"/>
      </x:patternFill>
    </x:fill>
    <x:fill>
      <x:patternFill patternType="solid">
        <x:fgColor rgb="FF5F9EA0"/>
        <x:bgColor rgb="FF000000"/>
      </x:patternFill>
    </x:fill>
    <x:fill>
      <x:patternFill patternType="solid">
        <x:fgColor rgb="FFFFFF00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FF0000"/>
        <x:bgColor rgb="FF000000"/>
      </x:patternFill>
    </x:fill>
    <x:fill>
      <x:patternFill patternType="solid">
        <x:fgColor rgb="FFE6E6FA"/>
        <x:bgColor rgb="FF000000"/>
      </x:patternFill>
    </x:fill>
    <x:fill>
      <x:patternFill patternType="solid">
        <x:fgColor rgb="FFBC8F8F"/>
        <x:bgColor rgb="FF000000"/>
      </x:patternFill>
    </x:fill>
    <x:fill>
      <x:patternFill patternType="solid">
        <x:fgColor rgb="FFFF7F50"/>
        <x:bgColor rgb="FF000000"/>
      </x:patternFill>
    </x:fill>
    <x:fill>
      <x:patternFill patternType="solid">
        <x:fgColor rgb="FFFFE4C4"/>
        <x:bgColor rgb="FF000000"/>
      </x:patternFill>
    </x:fill>
    <x:fill>
      <x:patternFill patternType="solid">
        <x:fgColor rgb="FFF08080"/>
        <x:b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Fill="1"/>
    <x:xf numFmtId="49" fontId="0" fillId="0" borderId="0" xfId="0" applyNumberFormat="1"/>
    <x:xf numFmtId="49" fontId="0" fillId="2" borderId="0" xfId="0" applyNumberFormat="1" applyFill="1"/>
    <x:xf numFmtId="49" fontId="0" fillId="0" borderId="0" xfId="0" applyNumberFormat="1"/>
    <x:xf numFmtId="0" fontId="0" fillId="3" borderId="0" xfId="0" applyFill="1"/>
    <x:xf numFmtId="0" fontId="0" fillId="3" borderId="0" xfId="0" applyFill="1"/>
    <x:xf numFmtId="1" fontId="0" fillId="0" borderId="0" xfId="0" applyNumberFormat="1"/>
    <x:xf numFmtId="1" fontId="0" fillId="3" borderId="0" xfId="0" applyNumberFormat="1" applyFill="1"/>
    <x:xf numFmtId="164" fontId="0" fillId="0" borderId="0" xfId="0" applyNumberFormat="1"/>
    <x:xf numFmtId="164" fontId="0" fillId="0" borderId="0" xfId="0" applyNumberFormat="1"/>
    <x:xf numFmtId="0" fontId="0" fillId="4" borderId="0" xfId="0" applyFill="1"/>
    <x:xf numFmtId="0" fontId="0" fillId="4" borderId="0" xfId="0" applyFill="1"/>
    <x:xf numFmtId="164" fontId="0" fillId="4" borderId="0" xfId="0" applyNumberFormat="1" applyFill="1"/>
    <x:xf numFmtId="0" fontId="0" fillId="5" borderId="0" xfId="0" applyFill="1"/>
    <x:xf numFmtId="0" fontId="0" fillId="5" borderId="0" xfId="0" applyFill="1"/>
    <x:xf numFmtId="164" fontId="0" fillId="5" borderId="0" xfId="0" applyNumberFormat="1" applyFill="1"/>
    <x:xf numFmtId="0" fontId="0" fillId="6" borderId="0" xfId="0" applyFill="1"/>
    <x:xf numFmtId="0" fontId="0" fillId="6" borderId="0" xfId="0" applyFill="1"/>
    <x:xf numFmtId="164" fontId="0" fillId="6" borderId="0" xfId="0" applyNumberFormat="1" applyFill="1"/>
    <x:xf numFmtId="0" fontId="0" fillId="7" borderId="0" xfId="0" applyFill="1"/>
    <x:xf numFmtId="0" fontId="0" fillId="7" borderId="0" xfId="0" applyFill="1"/>
    <x:xf numFmtId="164" fontId="0" fillId="7" borderId="0" xfId="0" applyNumberFormat="1" applyFill="1"/>
    <x:xf numFmtId="0" fontId="0" fillId="8" borderId="0" xfId="0" applyFill="1"/>
    <x:xf numFmtId="0" fontId="0" fillId="8" borderId="0" xfId="0" applyFill="1"/>
    <x:xf numFmtId="49" fontId="0" fillId="8" borderId="0" xfId="0" applyNumberFormat="1" applyFill="1"/>
    <x:xf numFmtId="0" fontId="0" fillId="9" borderId="0" xfId="0" applyFill="1"/>
    <x:xf numFmtId="0" fontId="0" fillId="9" borderId="0" xfId="0" applyFill="1"/>
    <x:xf numFmtId="164" fontId="0" fillId="9" borderId="0" xfId="0" applyNumberFormat="1" applyFill="1"/>
    <x:xf numFmtId="165" fontId="0" fillId="0" borderId="0" xfId="0" applyNumberFormat="1"/>
    <x:xf numFmtId="166" fontId="0" fillId="0" borderId="0" xfId="0" applyNumberFormat="1"/>
    <x:xf numFmtId="0" fontId="0" fillId="10" borderId="0" xfId="0" applyFill="1"/>
    <x:xf numFmtId="0" fontId="1" fillId="0" borderId="0" xfId="0" applyFont="1" applyAlignment="1">
      <x:alignment horizontal="center"/>
    </x:xf>
    <x:xf numFmtId="0" fontId="1" fillId="10" borderId="0" xfId="0" applyFont="1" applyFill="1" applyAlignment="1">
      <x:alignment horizontal="center"/>
    </x:xf>
    <x:xf numFmtId="49" fontId="1" fillId="10" borderId="0" xfId="0" applyNumberFormat="1" applyFont="1" applyFill="1" applyAlignment="1">
      <x:alignment horizontal="center"/>
    </x:xf>
    <x:xf numFmtId="0" fontId="0" fillId="11" borderId="0" xfId="0" applyFill="1"/>
    <x:xf numFmtId="0" fontId="1" fillId="11" borderId="0" xfId="0" applyFont="1" applyFill="1" applyAlignment="1">
      <x:alignment horizontal="center"/>
    </x:xf>
    <x:xf numFmtId="49" fontId="1" fillId="11" borderId="0" xfId="0" applyNumberFormat="1" applyFont="1" applyFill="1" applyAlignment="1">
      <x:alignment horizontal="center"/>
    </x:xf>
    <x:xf numFmtId="49" fontId="0" fillId="3" borderId="0" xfId="0" applyNumberFormat="1" applyFill="1"/>
    <x:xf numFmtId="0" fontId="0" fillId="12" borderId="0" xfId="0" applyFill="1"/>
    <x:xf numFmtId="0" fontId="0" fillId="12" borderId="0" xfId="0" applyFill="1"/>
    <x:xf numFmtId="49" fontId="0" fillId="12" borderId="0" xfId="0" applyNumberFormat="1" applyFill="1"/>
    <x:xf numFmtId="0" fontId="0" fillId="13" borderId="0" xfId="0" applyFill="1"/>
    <x:xf numFmtId="0" fontId="0" fillId="13" borderId="0" xfId="0" applyFill="1"/>
    <x:xf numFmtId="49" fontId="0" fillId="13" borderId="0" xfId="0" applyNumberFormat="1" applyFill="1"/>
    <x:xf numFmtId="165" fontId="0" fillId="0" borderId="0" xfId="0" applyNumberFormat="1"/>
    <x:xf numFmtId="1" fontId="0" fillId="0" borderId="0" xfId="0" applyNumberFormat="1"/>
    <x:xf numFmtId="166" fontId="0" fillId="3" borderId="0" xfId="0" applyNumberFormat="1" applyFill="1"/>
    <x:xf numFmtId="167" fontId="0" fillId="0" borderId="0" xfId="0" applyNumberFormat="1"/>
    <x:xf numFmtId="167" fontId="0" fillId="3" borderId="0" xfId="0" applyNumberFormat="1" applyFill="1"/>
    <x:xf numFmtId="164" fontId="0" fillId="3" borderId="0" xfId="0" applyNumberFormat="1" applyFill="1"/>
    <x:xf numFmtId="166" fontId="0" fillId="12" borderId="0" xfId="0" applyNumberFormat="1" applyFill="1"/>
    <x:xf numFmtId="167" fontId="0" fillId="12" borderId="0" xfId="0" applyNumberFormat="1" applyFill="1"/>
    <x:xf numFmtId="164" fontId="0" fillId="12" borderId="0" xfId="0" applyNumberFormat="1" applyFill="1"/>
    <x:xf numFmtId="166" fontId="0" fillId="13" borderId="0" xfId="0" applyNumberFormat="1" applyFill="1"/>
    <x:xf numFmtId="166" fontId="0" fillId="0" borderId="0" xfId="0" applyNumberFormat="1"/>
    <x:xf numFmtId="167" fontId="0" fillId="0" borderId="0" xfId="0" applyNumberFormat="1"/>
    <x:xf numFmtId="1" fontId="0" fillId="12" borderId="0" xfId="0" applyNumberForma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961d1f5345e43c3" />
  <Relationship Type="http://schemas.openxmlformats.org/officeDocument/2006/relationships/worksheet" Target="worksheets/sheet2.xml" Id="Rc2ca03d171384989" />
  <Relationship Type="http://schemas.openxmlformats.org/officeDocument/2006/relationships/theme" Target="theme/theme.xml" Id="R1fc263880b84423e" />
  <Relationship Type="http://schemas.openxmlformats.org/officeDocument/2006/relationships/styles" Target="styles.xml" Id="R11e7366606464a6b" />
  <Relationship Type="http://schemas.openxmlformats.org/officeDocument/2006/relationships/sharedStrings" Target="sharedStrings.xml" Id="Rcd5e57aa07424d7e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comments" Target="../comments.xml" Id="Rcb7936f895814b61" />
  <Relationship Type="http://schemas.openxmlformats.org/officeDocument/2006/relationships/vmlDrawing" Target="../drawings/vmldrawing.vml" Id="Ra9e5d35c74594b9d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comments" Target="../comments2.xml" Id="R14d5ff20c5944674" />
  <Relationship Type="http://schemas.openxmlformats.org/officeDocument/2006/relationships/vmlDrawing" Target="../drawings/vmldrawing2.vml" Id="R34b16c1f2d404d5b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AF531"/>
  <x:sheetFormatPr defaultRowHeight="15"/>
  <x:cols>
    <x:col min="1" max="1" width="12" customWidth="1"/>
    <x:col min="2" max="2" width="45" customWidth="1"/>
    <x:col min="3" max="3" width="20" customWidth="1"/>
    <x:col min="4" max="31" width="10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</x:row>
    <x:row r="2">
      <x:c r="A2" s="4" t="s">
        <x:v>32</x:v>
      </x:c>
      <x:c r="B2" s="4" t="s">
        <x:v>33</x:v>
      </x:c>
      <x:c r="C2" s="4" t="s">
        <x:v>34</x:v>
      </x:c>
      <x:c r="D2" s="8">
        <x:v>2</x:v>
      </x:c>
      <x:c r="E2" s="8">
        <x:v>3</x:v>
      </x:c>
      <x:c r="F2" s="8">
        <x:v>7</x:v>
      </x:c>
      <x:c r="G2" s="8">
        <x:v>4</x:v>
      </x:c>
      <x:c r="H2" s="8">
        <x:v>5</x:v>
      </x:c>
      <x:c r="I2" s="6"/>
      <x:c r="J2" s="8">
        <x:v>6</x:v>
      </x:c>
      <x:c r="K2" s="8">
        <x:v>2</x:v>
      </x:c>
      <x:c r="L2" s="8">
        <x:v>5</x:v>
      </x:c>
      <x:c r="M2" s="8">
        <x:v>9</x:v>
      </x:c>
      <x:c r="N2" s="8">
        <x:v>4</x:v>
      </x:c>
      <x:c r="O2" s="8">
        <x:v>2</x:v>
      </x:c>
      <x:c r="P2" s="8">
        <x:v>2</x:v>
      </x:c>
      <x:c r="Q2" s="10">
        <x:v>0.0645</x:v>
      </x:c>
      <x:c r="R2" s="10">
        <x:v>0.0968</x:v>
      </x:c>
      <x:c r="S2" s="10">
        <x:v>0.2029</x:v>
      </x:c>
      <x:c r="T2" s="10">
        <x:v>0.129</x:v>
      </x:c>
      <x:c r="U2" s="10">
        <x:v>0.1667</x:v>
      </x:c>
      <x:c r="V2" s="10">
        <x:v>0</x:v>
      </x:c>
      <x:c r="W2" s="10">
        <x:v>0.2419</x:v>
      </x:c>
      <x:c r="X2" s="10">
        <x:v>0.084</x:v>
      </x:c>
      <x:c r="Y2" s="10">
        <x:v>0.1466</x:v>
      </x:c>
      <x:c r="Z2" s="10">
        <x:v>0.3333</x:v>
      </x:c>
      <x:c r="AA2" s="10">
        <x:v>0.1229</x:v>
      </x:c>
      <x:c r="AB2" s="10">
        <x:v>0.058</x:v>
      </x:c>
      <x:c r="AC2" s="13">
        <x:v>0.0645</x:v>
      </x:c>
      <x:c r="AD2" s="10">
        <x:v>0.1372</x:v>
      </x:c>
      <x:c r="AE2" s="10">
        <x:v>0.1372</x:v>
      </x:c>
      <x:c r="AF2" s="2" t="s">
        <x:v>35</x:v>
      </x:c>
    </x:row>
    <x:row r="3">
      <x:c r="A3" s="4" t="s">
        <x:v>36</x:v>
      </x:c>
      <x:c r="B3" s="4" t="s">
        <x:v>37</x:v>
      </x:c>
      <x:c r="C3" s="4" t="s">
        <x:v>38</x:v>
      </x:c>
      <x:c r="D3" s="8">
        <x:v>20</x:v>
      </x:c>
      <x:c r="E3" s="8">
        <x:v>16</x:v>
      </x:c>
      <x:c r="F3" s="8">
        <x:v>24</x:v>
      </x:c>
      <x:c r="G3" s="8">
        <x:v>13</x:v>
      </x:c>
      <x:c r="H3" s="8">
        <x:v>9</x:v>
      </x:c>
      <x:c r="I3" s="8">
        <x:v>13</x:v>
      </x:c>
      <x:c r="J3" s="8">
        <x:v>13</x:v>
      </x:c>
      <x:c r="K3" s="8">
        <x:v>8</x:v>
      </x:c>
      <x:c r="L3" s="8">
        <x:v>31</x:v>
      </x:c>
      <x:c r="M3" s="8">
        <x:v>14</x:v>
      </x:c>
      <x:c r="N3" s="8">
        <x:v>25</x:v>
      </x:c>
      <x:c r="O3" s="8">
        <x:v>29</x:v>
      </x:c>
      <x:c r="P3" s="8">
        <x:v>20</x:v>
      </x:c>
      <x:c r="Q3" s="10">
        <x:v>0.6452</x:v>
      </x:c>
      <x:c r="R3" s="10">
        <x:v>0.5161</x:v>
      </x:c>
      <x:c r="S3" s="10">
        <x:v>0.6957</x:v>
      </x:c>
      <x:c r="T3" s="10">
        <x:v>0.4194</x:v>
      </x:c>
      <x:c r="U3" s="10">
        <x:v>0.3</x:v>
      </x:c>
      <x:c r="V3" s="10">
        <x:v>0.4194</x:v>
      </x:c>
      <x:c r="W3" s="10">
        <x:v>0.5242</x:v>
      </x:c>
      <x:c r="X3" s="10">
        <x:v>0.3361</x:v>
      </x:c>
      <x:c r="Y3" s="10">
        <x:v>0.9091</x:v>
      </x:c>
      <x:c r="Z3" s="10">
        <x:v>0.5185</x:v>
      </x:c>
      <x:c r="AA3" s="10">
        <x:v>0.768</x:v>
      </x:c>
      <x:c r="AB3" s="10">
        <x:v>0.8406</x:v>
      </x:c>
      <x:c r="AC3" s="13">
        <x:v>0.6452</x:v>
      </x:c>
      <x:c r="AD3" s="10">
        <x:v>0.5744</x:v>
      </x:c>
      <x:c r="AE3" s="10">
        <x:v>0.5744</x:v>
      </x:c>
      <x:c r="AF3" s="2" t="s">
        <x:v>35</x:v>
      </x:c>
    </x:row>
    <x:row r="4">
      <x:c r="A4" s="4" t="s">
        <x:v>39</x:v>
      </x:c>
      <x:c r="B4" s="4" t="s">
        <x:v>40</x:v>
      </x:c>
      <x:c r="C4" s="4" t="s">
        <x:v>41</x:v>
      </x:c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10">
        <x:v>0</x:v>
      </x:c>
      <x:c r="R4" s="10">
        <x:v>0</x:v>
      </x:c>
      <x:c r="S4" s="10">
        <x:v>0</x:v>
      </x:c>
      <x:c r="T4" s="10">
        <x:v>0</x:v>
      </x:c>
      <x:c r="U4" s="10">
        <x:v>0</x:v>
      </x:c>
      <x:c r="V4" s="10">
        <x:v>0</x:v>
      </x:c>
      <x:c r="W4" s="10">
        <x:v>0</x:v>
      </x:c>
      <x:c r="X4" s="10">
        <x:v>0</x:v>
      </x:c>
      <x:c r="Y4" s="10">
        <x:v>0</x:v>
      </x:c>
      <x:c r="Z4" s="10">
        <x:v>0</x:v>
      </x:c>
      <x:c r="AA4" s="10">
        <x:v>0</x:v>
      </x:c>
      <x:c r="AB4" s="10">
        <x:v>0</x:v>
      </x:c>
      <x:c r="AC4" s="13">
        <x:v>0</x:v>
      </x:c>
      <x:c r="AF4" s="2" t="s">
        <x:v>35</x:v>
      </x:c>
    </x:row>
    <x:row r="5">
      <x:c r="A5" s="4" t="s">
        <x:v>42</x:v>
      </x:c>
      <x:c r="B5" s="4" t="s">
        <x:v>43</x:v>
      </x:c>
      <x:c r="C5" s="4" t="s">
        <x:v>44</x:v>
      </x:c>
      <x:c r="D5" s="8">
        <x:v>1</x:v>
      </x:c>
      <x:c r="E5" s="8">
        <x:v>1</x:v>
      </x:c>
      <x:c r="F5" s="6"/>
      <x:c r="G5" s="8">
        <x:v>1</x:v>
      </x:c>
      <x:c r="H5" s="6"/>
      <x:c r="I5" s="8">
        <x:v>1</x:v>
      </x:c>
      <x:c r="J5" s="8">
        <x:v>1</x:v>
      </x:c>
      <x:c r="K5" s="8">
        <x:v>2</x:v>
      </x:c>
      <x:c r="L5" s="6"/>
      <x:c r="M5" s="8">
        <x:v>3</x:v>
      </x:c>
      <x:c r="N5" s="6"/>
      <x:c r="O5" s="6"/>
      <x:c r="P5" s="8">
        <x:v>7</x:v>
      </x:c>
      <x:c r="Q5" s="10">
        <x:v>0.0323</x:v>
      </x:c>
      <x:c r="R5" s="10">
        <x:v>0.0323</x:v>
      </x:c>
      <x:c r="S5" s="10">
        <x:v>0</x:v>
      </x:c>
      <x:c r="T5" s="10">
        <x:v>0.0323</x:v>
      </x:c>
      <x:c r="U5" s="10">
        <x:v>0</x:v>
      </x:c>
      <x:c r="V5" s="10">
        <x:v>0.0323</x:v>
      </x:c>
      <x:c r="W5" s="10">
        <x:v>0.0403</x:v>
      </x:c>
      <x:c r="X5" s="10">
        <x:v>0.084</x:v>
      </x:c>
      <x:c r="Y5" s="10">
        <x:v>0</x:v>
      </x:c>
      <x:c r="Z5" s="10">
        <x:v>0.1111</x:v>
      </x:c>
      <x:c r="AA5" s="10">
        <x:v>0</x:v>
      </x:c>
      <x:c r="AB5" s="10">
        <x:v>0</x:v>
      </x:c>
      <x:c r="AC5" s="16">
        <x:v>0.3043</x:v>
      </x:c>
      <x:c r="AD5" s="10">
        <x:v>0.0304</x:v>
      </x:c>
      <x:c r="AE5" s="10">
        <x:v>0.0304</x:v>
      </x:c>
      <x:c r="AF5" s="2" t="s">
        <x:v>35</x:v>
      </x:c>
    </x:row>
    <x:row r="6">
      <x:c r="A6" s="4" t="s">
        <x:v>45</x:v>
      </x:c>
      <x:c r="B6" s="4" t="s">
        <x:v>46</x:v>
      </x:c>
      <x:c r="C6" s="4" t="s">
        <x:v>47</x:v>
      </x:c>
      <x:c r="D6" s="6"/>
      <x:c r="E6" s="8">
        <x:v>2</x:v>
      </x:c>
      <x:c r="F6" s="8">
        <x:v>1</x:v>
      </x:c>
      <x:c r="G6" s="6"/>
      <x:c r="H6" s="6"/>
      <x:c r="I6" s="6"/>
      <x:c r="J6" s="6"/>
      <x:c r="K6" s="6"/>
      <x:c r="L6" s="6"/>
      <x:c r="M6" s="6"/>
      <x:c r="N6" s="6"/>
      <x:c r="O6" s="6"/>
      <x:c r="P6" s="8">
        <x:v>1</x:v>
      </x:c>
      <x:c r="Q6" s="10">
        <x:v>0</x:v>
      </x:c>
      <x:c r="R6" s="19">
        <x:v>0.2</x:v>
      </x:c>
      <x:c r="S6" s="22">
        <x:v>0</x:v>
      </x:c>
      <x:c r="T6" s="22">
        <x:v>0</x:v>
      </x:c>
      <x:c r="U6" s="22">
        <x:v>0</x:v>
      </x:c>
      <x:c r="V6" s="22">
        <x:v>0</x:v>
      </x:c>
      <x:c r="W6" s="22">
        <x:v>0</x:v>
      </x:c>
      <x:c r="X6" s="22">
        <x:v>0</x:v>
      </x:c>
      <x:c r="Y6" s="22">
        <x:v>0</x:v>
      </x:c>
      <x:c r="Z6" s="22">
        <x:v>0</x:v>
      </x:c>
      <x:c r="AA6" s="22">
        <x:v>0</x:v>
      </x:c>
      <x:c r="AB6" s="22">
        <x:v>0</x:v>
      </x:c>
      <x:c r="AC6" s="16">
        <x:v>1</x:v>
      </x:c>
      <x:c r="AF6" s="2" t="s">
        <x:v>35</x:v>
      </x:c>
    </x:row>
    <x:row r="7">
      <x:c r="A7" s="25" t="s">
        <x:v>48</x:v>
      </x:c>
      <x:c r="B7" s="4" t="s">
        <x:v>49</x:v>
      </x:c>
      <x:c r="C7" s="4" t="s">
        <x:v>50</x:v>
      </x:c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22">
        <x:v>0</x:v>
      </x:c>
      <x:c r="R7" s="22">
        <x:v>0</x:v>
      </x:c>
      <x:c r="S7" s="22">
        <x:v>0</x:v>
      </x:c>
      <x:c r="T7" s="22">
        <x:v>0</x:v>
      </x:c>
      <x:c r="U7" s="22">
        <x:v>0</x:v>
      </x:c>
      <x:c r="V7" s="22">
        <x:v>0</x:v>
      </x:c>
      <x:c r="W7" s="22">
        <x:v>0</x:v>
      </x:c>
      <x:c r="X7" s="22">
        <x:v>0</x:v>
      </x:c>
      <x:c r="Y7" s="22">
        <x:v>0</x:v>
      </x:c>
      <x:c r="Z7" s="22">
        <x:v>0</x:v>
      </x:c>
      <x:c r="AA7" s="22">
        <x:v>0</x:v>
      </x:c>
      <x:c r="AB7" s="22">
        <x:v>0</x:v>
      </x:c>
      <x:c r="AC7" s="16">
        <x:v>0</x:v>
      </x:c>
      <x:c r="AF7" s="2" t="s">
        <x:v>51</x:v>
      </x:c>
    </x:row>
    <x:row r="8">
      <x:c r="A8" s="4" t="s">
        <x:v>52</x:v>
      </x:c>
      <x:c r="B8" s="4" t="s">
        <x:v>53</x:v>
      </x:c>
      <x:c r="C8" s="4" t="s">
        <x:v>54</x:v>
      </x:c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22">
        <x:v>0</x:v>
      </x:c>
      <x:c r="R8" s="22">
        <x:v>0</x:v>
      </x:c>
      <x:c r="S8" s="22">
        <x:v>0</x:v>
      </x:c>
      <x:c r="T8" s="22">
        <x:v>0</x:v>
      </x:c>
      <x:c r="U8" s="22">
        <x:v>0</x:v>
      </x:c>
      <x:c r="V8" s="22">
        <x:v>0</x:v>
      </x:c>
      <x:c r="W8" s="22">
        <x:v>0</x:v>
      </x:c>
      <x:c r="X8" s="22">
        <x:v>0</x:v>
      </x:c>
      <x:c r="Y8" s="22">
        <x:v>0</x:v>
      </x:c>
      <x:c r="Z8" s="22">
        <x:v>0</x:v>
      </x:c>
      <x:c r="AA8" s="22">
        <x:v>0</x:v>
      </x:c>
      <x:c r="AB8" s="22">
        <x:v>0</x:v>
      </x:c>
      <x:c r="AC8" s="16">
        <x:v>0</x:v>
      </x:c>
      <x:c r="AF8" s="2" t="s">
        <x:v>35</x:v>
      </x:c>
    </x:row>
    <x:row r="9">
      <x:c r="A9" s="4" t="s">
        <x:v>55</x:v>
      </x:c>
      <x:c r="B9" s="4" t="s">
        <x:v>56</x:v>
      </x:c>
      <x:c r="C9" s="4" t="s">
        <x:v>57</x:v>
      </x:c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8">
        <x:v>2</x:v>
      </x:c>
      <x:c r="O9" s="8">
        <x:v>-2</x:v>
      </x:c>
      <x:c r="P9" s="6"/>
      <x:c r="Q9" s="10">
        <x:v>0</x:v>
      </x:c>
      <x:c r="R9" s="10">
        <x:v>0</x:v>
      </x:c>
      <x:c r="S9" s="10">
        <x:v>0</x:v>
      </x:c>
      <x:c r="T9" s="19">
        <x:v>0</x:v>
      </x:c>
      <x:c r="U9" s="10">
        <x:v>0</x:v>
      </x:c>
      <x:c r="V9" s="10">
        <x:v>0</x:v>
      </x:c>
      <x:c r="W9" s="10">
        <x:v>0</x:v>
      </x:c>
      <x:c r="X9" s="10">
        <x:v>0</x:v>
      </x:c>
      <x:c r="Y9" s="10">
        <x:v>0</x:v>
      </x:c>
      <x:c r="Z9" s="10">
        <x:v>0</x:v>
      </x:c>
      <x:c r="AA9" s="19">
        <x:v>0.1465</x:v>
      </x:c>
      <x:c r="AB9" s="19">
        <x:v>-0.0915</x:v>
      </x:c>
      <x:c r="AC9" s="13">
        <x:v>0</x:v>
      </x:c>
      <x:c r="AF9" s="2" t="s">
        <x:v>35</x:v>
      </x:c>
    </x:row>
    <x:row r="10">
      <x:c r="A10" s="4" t="s">
        <x:v>58</x:v>
      </x:c>
      <x:c r="B10" s="4" t="s">
        <x:v>59</x:v>
      </x:c>
      <x:c r="C10" s="4" t="s">
        <x:v>60</x:v>
      </x:c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10">
        <x:v>0</x:v>
      </x:c>
      <x:c r="R10" s="10">
        <x:v>0</x:v>
      </x:c>
      <x:c r="S10" s="10">
        <x:v>0</x:v>
      </x:c>
      <x:c r="T10" s="10">
        <x:v>0</x:v>
      </x:c>
      <x:c r="U10" s="10">
        <x:v>0</x:v>
      </x:c>
      <x:c r="V10" s="10">
        <x:v>0</x:v>
      </x:c>
      <x:c r="W10" s="10">
        <x:v>0</x:v>
      </x:c>
      <x:c r="X10" s="10">
        <x:v>0</x:v>
      </x:c>
      <x:c r="Y10" s="10">
        <x:v>0</x:v>
      </x:c>
      <x:c r="Z10" s="10">
        <x:v>0</x:v>
      </x:c>
      <x:c r="AA10" s="10">
        <x:v>0</x:v>
      </x:c>
      <x:c r="AB10" s="10">
        <x:v>0</x:v>
      </x:c>
      <x:c r="AC10" s="13">
        <x:v>0</x:v>
      </x:c>
      <x:c r="AF10" s="2" t="s">
        <x:v>35</x:v>
      </x:c>
    </x:row>
    <x:row r="11">
      <x:c r="A11" s="4" t="s">
        <x:v>61</x:v>
      </x:c>
      <x:c r="B11" s="4" t="s">
        <x:v>62</x:v>
      </x:c>
      <x:c r="C11" s="4" t="s">
        <x:v>63</x:v>
      </x:c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22">
        <x:v>0</x:v>
      </x:c>
      <x:c r="R11" s="22">
        <x:v>0</x:v>
      </x:c>
      <x:c r="S11" s="22">
        <x:v>0</x:v>
      </x:c>
      <x:c r="T11" s="22">
        <x:v>0</x:v>
      </x:c>
      <x:c r="U11" s="22">
        <x:v>0</x:v>
      </x:c>
      <x:c r="V11" s="22">
        <x:v>0</x:v>
      </x:c>
      <x:c r="W11" s="22">
        <x:v>0</x:v>
      </x:c>
      <x:c r="X11" s="22">
        <x:v>0</x:v>
      </x:c>
      <x:c r="Y11" s="22">
        <x:v>0</x:v>
      </x:c>
      <x:c r="Z11" s="22">
        <x:v>0</x:v>
      </x:c>
      <x:c r="AA11" s="22">
        <x:v>0</x:v>
      </x:c>
      <x:c r="AB11" s="22">
        <x:v>0</x:v>
      </x:c>
      <x:c r="AC11" s="16">
        <x:v>0</x:v>
      </x:c>
      <x:c r="AF11" s="2" t="s">
        <x:v>35</x:v>
      </x:c>
    </x:row>
    <x:row r="12">
      <x:c r="A12" s="4" t="s">
        <x:v>64</x:v>
      </x:c>
      <x:c r="B12" s="4" t="s">
        <x:v>65</x:v>
      </x:c>
      <x:c r="C12" s="4" t="s">
        <x:v>66</x:v>
      </x:c>
      <x:c r="D12" s="8">
        <x:v>14</x:v>
      </x:c>
      <x:c r="E12" s="8">
        <x:v>8</x:v>
      </x:c>
      <x:c r="F12" s="8">
        <x:v>6</x:v>
      </x:c>
      <x:c r="G12" s="8">
        <x:v>6</x:v>
      </x:c>
      <x:c r="H12" s="8">
        <x:v>15</x:v>
      </x:c>
      <x:c r="I12" s="8">
        <x:v>17</x:v>
      </x:c>
      <x:c r="J12" s="6"/>
      <x:c r="K12" s="8">
        <x:v>6</x:v>
      </x:c>
      <x:c r="L12" s="8">
        <x:v>9</x:v>
      </x:c>
      <x:c r="M12" s="8">
        <x:v>6</x:v>
      </x:c>
      <x:c r="N12" s="8">
        <x:v>1</x:v>
      </x:c>
      <x:c r="O12" s="8">
        <x:v>13</x:v>
      </x:c>
      <x:c r="P12" s="8">
        <x:v>5</x:v>
      </x:c>
      <x:c r="Q12" s="10">
        <x:v>0.4516</x:v>
      </x:c>
      <x:c r="R12" s="10">
        <x:v>0.2581</x:v>
      </x:c>
      <x:c r="S12" s="10">
        <x:v>0.1739</x:v>
      </x:c>
      <x:c r="T12" s="10">
        <x:v>0.1935</x:v>
      </x:c>
      <x:c r="U12" s="10">
        <x:v>0.5</x:v>
      </x:c>
      <x:c r="V12" s="10">
        <x:v>0.5484</x:v>
      </x:c>
      <x:c r="W12" s="10">
        <x:v>0</x:v>
      </x:c>
      <x:c r="X12" s="10">
        <x:v>0.2521</x:v>
      </x:c>
      <x:c r="Y12" s="10">
        <x:v>0.2639</x:v>
      </x:c>
      <x:c r="Z12" s="10">
        <x:v>0.2222</x:v>
      </x:c>
      <x:c r="AA12" s="10">
        <x:v>0.0307</x:v>
      </x:c>
      <x:c r="AB12" s="10">
        <x:v>0.3768</x:v>
      </x:c>
      <x:c r="AC12" s="13">
        <x:v>0.1613</x:v>
      </x:c>
      <x:c r="AD12" s="10">
        <x:v>0.2726</x:v>
      </x:c>
      <x:c r="AE12" s="10">
        <x:v>0.2726</x:v>
      </x:c>
      <x:c r="AF12" s="2" t="s">
        <x:v>35</x:v>
      </x:c>
    </x:row>
    <x:row r="13">
      <x:c r="A13" s="4" t="s">
        <x:v>67</x:v>
      </x:c>
      <x:c r="B13" s="4" t="s">
        <x:v>68</x:v>
      </x:c>
      <x:c r="C13" s="4" t="s">
        <x:v>69</x:v>
      </x:c>
      <x:c r="D13" s="8">
        <x:v>12</x:v>
      </x:c>
      <x:c r="E13" s="8">
        <x:v>2</x:v>
      </x:c>
      <x:c r="F13" s="8">
        <x:v>2</x:v>
      </x:c>
      <x:c r="G13" s="8">
        <x:v>21</x:v>
      </x:c>
      <x:c r="H13" s="8">
        <x:v>4</x:v>
      </x:c>
      <x:c r="I13" s="8">
        <x:v>5</x:v>
      </x:c>
      <x:c r="J13" s="8">
        <x:v>4</x:v>
      </x:c>
      <x:c r="K13" s="8">
        <x:v>2</x:v>
      </x:c>
      <x:c r="L13" s="8">
        <x:v>3</x:v>
      </x:c>
      <x:c r="M13" s="8">
        <x:v>13</x:v>
      </x:c>
      <x:c r="N13" s="8">
        <x:v>14</x:v>
      </x:c>
      <x:c r="O13" s="8">
        <x:v>7</x:v>
      </x:c>
      <x:c r="P13" s="8">
        <x:v>2</x:v>
      </x:c>
      <x:c r="Q13" s="10">
        <x:v>0.3871</x:v>
      </x:c>
      <x:c r="R13" s="10">
        <x:v>0.0645</x:v>
      </x:c>
      <x:c r="S13" s="10">
        <x:v>0.058</x:v>
      </x:c>
      <x:c r="T13" s="10">
        <x:v>0.6774</x:v>
      </x:c>
      <x:c r="U13" s="10">
        <x:v>0.1333</x:v>
      </x:c>
      <x:c r="V13" s="10">
        <x:v>0.1613</x:v>
      </x:c>
      <x:c r="W13" s="10">
        <x:v>0.1613</x:v>
      </x:c>
      <x:c r="X13" s="10">
        <x:v>0.084</x:v>
      </x:c>
      <x:c r="Y13" s="10">
        <x:v>0.088</x:v>
      </x:c>
      <x:c r="Z13" s="10">
        <x:v>0.4815</x:v>
      </x:c>
      <x:c r="AA13" s="10">
        <x:v>0.4301</x:v>
      </x:c>
      <x:c r="AB13" s="10">
        <x:v>0.2029</x:v>
      </x:c>
      <x:c r="AC13" s="13">
        <x:v>0.0645</x:v>
      </x:c>
      <x:c r="AD13" s="10">
        <x:v>0.2441</x:v>
      </x:c>
      <x:c r="AE13" s="10">
        <x:v>0.2441</x:v>
      </x:c>
      <x:c r="AF13" s="2" t="s">
        <x:v>35</x:v>
      </x:c>
    </x:row>
    <x:row r="14">
      <x:c r="A14" s="25" t="s">
        <x:v>70</x:v>
      </x:c>
      <x:c r="B14" s="4" t="s">
        <x:v>71</x:v>
      </x:c>
      <x:c r="C14" s="4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22">
        <x:v>0</x:v>
      </x:c>
      <x:c r="R14" s="22">
        <x:v>0</x:v>
      </x:c>
      <x:c r="S14" s="22">
        <x:v>0</x:v>
      </x:c>
      <x:c r="T14" s="22">
        <x:v>0</x:v>
      </x:c>
      <x:c r="U14" s="22">
        <x:v>0</x:v>
      </x:c>
      <x:c r="V14" s="22">
        <x:v>0</x:v>
      </x:c>
      <x:c r="W14" s="22">
        <x:v>0</x:v>
      </x:c>
      <x:c r="X14" s="22">
        <x:v>0</x:v>
      </x:c>
      <x:c r="Y14" s="22">
        <x:v>0</x:v>
      </x:c>
      <x:c r="Z14" s="22">
        <x:v>0</x:v>
      </x:c>
      <x:c r="AA14" s="22">
        <x:v>0</x:v>
      </x:c>
      <x:c r="AB14" s="22">
        <x:v>0</x:v>
      </x:c>
      <x:c r="AC14" s="16">
        <x:v>0</x:v>
      </x:c>
      <x:c r="AF14" s="2" t="s">
        <x:v>51</x:v>
      </x:c>
    </x:row>
    <x:row r="15">
      <x:c r="A15" s="4" t="s">
        <x:v>72</x:v>
      </x:c>
      <x:c r="B15" s="4" t="s">
        <x:v>73</x:v>
      </x:c>
      <x:c r="C15" s="4" t="s">
        <x:v>74</x:v>
      </x:c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22">
        <x:v>0</x:v>
      </x:c>
      <x:c r="R15" s="22">
        <x:v>0</x:v>
      </x:c>
      <x:c r="S15" s="22">
        <x:v>0</x:v>
      </x:c>
      <x:c r="T15" s="22">
        <x:v>0</x:v>
      </x:c>
      <x:c r="U15" s="22">
        <x:v>0</x:v>
      </x:c>
      <x:c r="V15" s="22">
        <x:v>0</x:v>
      </x:c>
      <x:c r="W15" s="22">
        <x:v>0</x:v>
      </x:c>
      <x:c r="X15" s="22">
        <x:v>0</x:v>
      </x:c>
      <x:c r="Y15" s="22">
        <x:v>0</x:v>
      </x:c>
      <x:c r="Z15" s="22">
        <x:v>0</x:v>
      </x:c>
      <x:c r="AA15" s="22">
        <x:v>0</x:v>
      </x:c>
      <x:c r="AB15" s="22">
        <x:v>0</x:v>
      </x:c>
      <x:c r="AC15" s="16">
        <x:v>0</x:v>
      </x:c>
      <x:c r="AF15" s="2" t="s">
        <x:v>35</x:v>
      </x:c>
    </x:row>
    <x:row r="16">
      <x:c r="A16" s="4" t="s">
        <x:v>75</x:v>
      </x:c>
      <x:c r="B16" s="4" t="s">
        <x:v>76</x:v>
      </x:c>
      <x:c r="C16" s="4" t="s">
        <x:v>77</x:v>
      </x:c>
      <x:c r="D16" s="8">
        <x:v>1</x:v>
      </x:c>
      <x:c r="E16" s="8">
        <x:v>5</x:v>
      </x:c>
      <x:c r="F16" s="8">
        <x:v>2</x:v>
      </x:c>
      <x:c r="G16" s="8">
        <x:v>5</x:v>
      </x:c>
      <x:c r="H16" s="8">
        <x:v>1</x:v>
      </x:c>
      <x:c r="I16" s="8">
        <x:v>1</x:v>
      </x:c>
      <x:c r="J16" s="6"/>
      <x:c r="K16" s="8">
        <x:v>1</x:v>
      </x:c>
      <x:c r="L16" s="8">
        <x:v>2</x:v>
      </x:c>
      <x:c r="M16" s="8">
        <x:v>5</x:v>
      </x:c>
      <x:c r="N16" s="8">
        <x:v>2</x:v>
      </x:c>
      <x:c r="O16" s="8">
        <x:v>7</x:v>
      </x:c>
      <x:c r="P16" s="8">
        <x:v>1</x:v>
      </x:c>
      <x:c r="Q16" s="10">
        <x:v>0.0323</x:v>
      </x:c>
      <x:c r="R16" s="10">
        <x:v>0.1613</x:v>
      </x:c>
      <x:c r="S16" s="10">
        <x:v>0.058</x:v>
      </x:c>
      <x:c r="T16" s="10">
        <x:v>0.1613</x:v>
      </x:c>
      <x:c r="U16" s="10">
        <x:v>0.0333</x:v>
      </x:c>
      <x:c r="V16" s="10">
        <x:v>0.0323</x:v>
      </x:c>
      <x:c r="W16" s="10">
        <x:v>0</x:v>
      </x:c>
      <x:c r="X16" s="10">
        <x:v>0.042</x:v>
      </x:c>
      <x:c r="Y16" s="10">
        <x:v>0.0587</x:v>
      </x:c>
      <x:c r="Z16" s="10">
        <x:v>0.1852</x:v>
      </x:c>
      <x:c r="AA16" s="10">
        <x:v>0.0614</x:v>
      </x:c>
      <x:c r="AB16" s="10">
        <x:v>0.2029</x:v>
      </x:c>
      <x:c r="AC16" s="13">
        <x:v>0.0323</x:v>
      </x:c>
      <x:c r="AD16" s="10">
        <x:v>0.0857</x:v>
      </x:c>
      <x:c r="AE16" s="10">
        <x:v>0.0857</x:v>
      </x:c>
      <x:c r="AF16" s="2" t="s">
        <x:v>35</x:v>
      </x:c>
    </x:row>
    <x:row r="17">
      <x:c r="A17" s="4" t="s">
        <x:v>78</x:v>
      </x:c>
      <x:c r="B17" s="4" t="s">
        <x:v>79</x:v>
      </x:c>
      <x:c r="C17" s="4" t="s">
        <x:v>80</x:v>
      </x:c>
      <x:c r="D17" s="8">
        <x:v>65</x:v>
      </x:c>
      <x:c r="E17" s="8">
        <x:v>75</x:v>
      </x:c>
      <x:c r="F17" s="8">
        <x:v>55</x:v>
      </x:c>
      <x:c r="G17" s="8">
        <x:v>33</x:v>
      </x:c>
      <x:c r="H17" s="8">
        <x:v>69</x:v>
      </x:c>
      <x:c r="I17" s="8">
        <x:v>38</x:v>
      </x:c>
      <x:c r="J17" s="8">
        <x:v>40</x:v>
      </x:c>
      <x:c r="K17" s="8">
        <x:v>40</x:v>
      </x:c>
      <x:c r="L17" s="8">
        <x:v>43</x:v>
      </x:c>
      <x:c r="M17" s="8">
        <x:v>72</x:v>
      </x:c>
      <x:c r="N17" s="8">
        <x:v>45</x:v>
      </x:c>
      <x:c r="O17" s="8">
        <x:v>64</x:v>
      </x:c>
      <x:c r="P17" s="8">
        <x:v>22</x:v>
      </x:c>
      <x:c r="Q17" s="10">
        <x:v>2.0968</x:v>
      </x:c>
      <x:c r="R17" s="10">
        <x:v>2.4194</x:v>
      </x:c>
      <x:c r="S17" s="10">
        <x:v>1.5942</x:v>
      </x:c>
      <x:c r="T17" s="10">
        <x:v>1.0645</x:v>
      </x:c>
      <x:c r="U17" s="10">
        <x:v>2.3</x:v>
      </x:c>
      <x:c r="V17" s="10">
        <x:v>1.2258</x:v>
      </x:c>
      <x:c r="W17" s="10">
        <x:v>1.6129</x:v>
      </x:c>
      <x:c r="X17" s="10">
        <x:v>1.6807</x:v>
      </x:c>
      <x:c r="Y17" s="10">
        <x:v>1.261</x:v>
      </x:c>
      <x:c r="Z17" s="10">
        <x:v>2.6667</x:v>
      </x:c>
      <x:c r="AA17" s="10">
        <x:v>1.3825</x:v>
      </x:c>
      <x:c r="AB17" s="10">
        <x:v>1.8551</x:v>
      </x:c>
      <x:c r="AC17" s="13">
        <x:v>0.7097</x:v>
      </x:c>
      <x:c r="AD17" s="10">
        <x:v>1.7633</x:v>
      </x:c>
      <x:c r="AE17" s="10">
        <x:v>1.7633</x:v>
      </x:c>
      <x:c r="AF17" s="2" t="s">
        <x:v>35</x:v>
      </x:c>
    </x:row>
    <x:row r="18">
      <x:c r="A18" s="4" t="s">
        <x:v>81</x:v>
      </x:c>
      <x:c r="B18" s="4" t="s">
        <x:v>82</x:v>
      </x:c>
      <x:c r="C18" s="4" t="s">
        <x:v>83</x:v>
      </x:c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22">
        <x:v>0</x:v>
      </x:c>
      <x:c r="R18" s="22">
        <x:v>0</x:v>
      </x:c>
      <x:c r="S18" s="22">
        <x:v>0</x:v>
      </x:c>
      <x:c r="T18" s="22">
        <x:v>0</x:v>
      </x:c>
      <x:c r="U18" s="22">
        <x:v>0</x:v>
      </x:c>
      <x:c r="V18" s="22">
        <x:v>0</x:v>
      </x:c>
      <x:c r="W18" s="22">
        <x:v>0</x:v>
      </x:c>
      <x:c r="X18" s="22">
        <x:v>0</x:v>
      </x:c>
      <x:c r="Y18" s="22">
        <x:v>0</x:v>
      </x:c>
      <x:c r="Z18" s="22">
        <x:v>0</x:v>
      </x:c>
      <x:c r="AA18" s="22">
        <x:v>0</x:v>
      </x:c>
      <x:c r="AB18" s="22">
        <x:v>0</x:v>
      </x:c>
      <x:c r="AC18" s="16">
        <x:v>0</x:v>
      </x:c>
      <x:c r="AF18" s="2" t="s">
        <x:v>35</x:v>
      </x:c>
    </x:row>
    <x:row r="19">
      <x:c r="A19" s="25" t="s">
        <x:v>84</x:v>
      </x:c>
      <x:c r="B19" s="4" t="s">
        <x:v>85</x:v>
      </x:c>
      <x:c r="C19" s="4" t="s">
        <x:v>86</x:v>
      </x:c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22">
        <x:v>0</x:v>
      </x:c>
      <x:c r="R19" s="22">
        <x:v>0</x:v>
      </x:c>
      <x:c r="S19" s="22">
        <x:v>0</x:v>
      </x:c>
      <x:c r="T19" s="22">
        <x:v>0</x:v>
      </x:c>
      <x:c r="U19" s="22">
        <x:v>0</x:v>
      </x:c>
      <x:c r="V19" s="22">
        <x:v>0</x:v>
      </x:c>
      <x:c r="W19" s="22">
        <x:v>0</x:v>
      </x:c>
      <x:c r="X19" s="22">
        <x:v>0</x:v>
      </x:c>
      <x:c r="Y19" s="22">
        <x:v>0</x:v>
      </x:c>
      <x:c r="Z19" s="22">
        <x:v>0</x:v>
      </x:c>
      <x:c r="AA19" s="22">
        <x:v>0</x:v>
      </x:c>
      <x:c r="AB19" s="22">
        <x:v>0</x:v>
      </x:c>
      <x:c r="AC19" s="16">
        <x:v>0</x:v>
      </x:c>
      <x:c r="AF19" s="2" t="s">
        <x:v>51</x:v>
      </x:c>
    </x:row>
    <x:row r="20">
      <x:c r="A20" s="4" t="s">
        <x:v>87</x:v>
      </x:c>
      <x:c r="B20" s="4" t="s">
        <x:v>88</x:v>
      </x:c>
      <x:c r="C20" s="4" t="s">
        <x:v>89</x:v>
      </x:c>
      <x:c r="D20" s="8">
        <x:v>15</x:v>
      </x:c>
      <x:c r="E20" s="8">
        <x:v>6</x:v>
      </x:c>
      <x:c r="F20" s="8">
        <x:v>15</x:v>
      </x:c>
      <x:c r="G20" s="8">
        <x:v>6</x:v>
      </x:c>
      <x:c r="H20" s="8">
        <x:v>8</x:v>
      </x:c>
      <x:c r="I20" s="8">
        <x:v>3</x:v>
      </x:c>
      <x:c r="J20" s="8">
        <x:v>8</x:v>
      </x:c>
      <x:c r="K20" s="8">
        <x:v>3</x:v>
      </x:c>
      <x:c r="L20" s="8">
        <x:v>12</x:v>
      </x:c>
      <x:c r="M20" s="8">
        <x:v>5</x:v>
      </x:c>
      <x:c r="N20" s="8">
        <x:v>14</x:v>
      </x:c>
      <x:c r="O20" s="8">
        <x:v>28</x:v>
      </x:c>
      <x:c r="P20" s="8">
        <x:v>6</x:v>
      </x:c>
      <x:c r="Q20" s="10">
        <x:v>0.4839</x:v>
      </x:c>
      <x:c r="R20" s="10">
        <x:v>0.1935</x:v>
      </x:c>
      <x:c r="S20" s="10">
        <x:v>0.4348</x:v>
      </x:c>
      <x:c r="T20" s="10">
        <x:v>0.1935</x:v>
      </x:c>
      <x:c r="U20" s="10">
        <x:v>0.2667</x:v>
      </x:c>
      <x:c r="V20" s="10">
        <x:v>0.0968</x:v>
      </x:c>
      <x:c r="W20" s="10">
        <x:v>0.3226</x:v>
      </x:c>
      <x:c r="X20" s="10">
        <x:v>0.1261</x:v>
      </x:c>
      <x:c r="Y20" s="10">
        <x:v>0.3519</x:v>
      </x:c>
      <x:c r="Z20" s="10">
        <x:v>0.1852</x:v>
      </x:c>
      <x:c r="AA20" s="10">
        <x:v>0.4301</x:v>
      </x:c>
      <x:c r="AB20" s="10">
        <x:v>0.8116</x:v>
      </x:c>
      <x:c r="AC20" s="13">
        <x:v>0.1935</x:v>
      </x:c>
      <x:c r="AD20" s="10">
        <x:v>0.3247</x:v>
      </x:c>
      <x:c r="AE20" s="10">
        <x:v>0.3247</x:v>
      </x:c>
      <x:c r="AF20" s="2" t="s">
        <x:v>35</x:v>
      </x:c>
    </x:row>
    <x:row r="21">
      <x:c r="A21" s="4" t="s">
        <x:v>90</x:v>
      </x:c>
      <x:c r="B21" s="4" t="s">
        <x:v>91</x:v>
      </x:c>
      <x:c r="C21" s="4" t="s">
        <x:v>92</x:v>
      </x:c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22">
        <x:v>0</x:v>
      </x:c>
      <x:c r="R21" s="22">
        <x:v>0</x:v>
      </x:c>
      <x:c r="S21" s="22">
        <x:v>0</x:v>
      </x:c>
      <x:c r="T21" s="22">
        <x:v>0</x:v>
      </x:c>
      <x:c r="U21" s="22">
        <x:v>0</x:v>
      </x:c>
      <x:c r="V21" s="22">
        <x:v>0</x:v>
      </x:c>
      <x:c r="W21" s="22">
        <x:v>0</x:v>
      </x:c>
      <x:c r="X21" s="22">
        <x:v>0</x:v>
      </x:c>
      <x:c r="Y21" s="22">
        <x:v>0</x:v>
      </x:c>
      <x:c r="Z21" s="22">
        <x:v>0</x:v>
      </x:c>
      <x:c r="AA21" s="22">
        <x:v>0</x:v>
      </x:c>
      <x:c r="AB21" s="22">
        <x:v>0</x:v>
      </x:c>
      <x:c r="AC21" s="16">
        <x:v>0</x:v>
      </x:c>
      <x:c r="AF21" s="2" t="s">
        <x:v>35</x:v>
      </x:c>
    </x:row>
    <x:row r="22">
      <x:c r="A22" s="4" t="s">
        <x:v>93</x:v>
      </x:c>
      <x:c r="B22" s="4" t="s">
        <x:v>94</x:v>
      </x:c>
      <x:c r="C22" s="4" t="s">
        <x:v>95</x:v>
      </x:c>
      <x:c r="D22" s="6"/>
      <x:c r="E22" s="8">
        <x:v>1</x:v>
      </x:c>
      <x:c r="F22" s="8">
        <x:v>3</x:v>
      </x:c>
      <x:c r="G22" s="6"/>
      <x:c r="H22" s="6"/>
      <x:c r="I22" s="8">
        <x:v>1</x:v>
      </x:c>
      <x:c r="J22" s="6"/>
      <x:c r="K22" s="6"/>
      <x:c r="L22" s="6"/>
      <x:c r="M22" s="8">
        <x:v>3</x:v>
      </x:c>
      <x:c r="N22" s="6"/>
      <x:c r="O22" s="8">
        <x:v>10</x:v>
      </x:c>
      <x:c r="P22" s="8">
        <x:v>2</x:v>
      </x:c>
      <x:c r="Q22" s="10">
        <x:v>0</x:v>
      </x:c>
      <x:c r="R22" s="10">
        <x:v>0.0323</x:v>
      </x:c>
      <x:c r="S22" s="10">
        <x:v>0.087</x:v>
      </x:c>
      <x:c r="T22" s="10">
        <x:v>0</x:v>
      </x:c>
      <x:c r="U22" s="10">
        <x:v>0</x:v>
      </x:c>
      <x:c r="V22" s="10">
        <x:v>0.0323</x:v>
      </x:c>
      <x:c r="W22" s="10">
        <x:v>0</x:v>
      </x:c>
      <x:c r="X22" s="10">
        <x:v>0</x:v>
      </x:c>
      <x:c r="Y22" s="10">
        <x:v>0</x:v>
      </x:c>
      <x:c r="Z22" s="10">
        <x:v>0.1111</x:v>
      </x:c>
      <x:c r="AA22" s="10">
        <x:v>0</x:v>
      </x:c>
      <x:c r="AB22" s="19">
        <x:v>4.3478</x:v>
      </x:c>
      <x:c r="AC22" s="16">
        <x:v>2</x:v>
      </x:c>
      <x:c r="AD22" s="10">
        <x:v>0.0239</x:v>
      </x:c>
      <x:c r="AE22" s="10">
        <x:v>0.0239</x:v>
      </x:c>
      <x:c r="AF22" s="2" t="s">
        <x:v>35</x:v>
      </x:c>
    </x:row>
    <x:row r="23">
      <x:c r="A23" s="4" t="s">
        <x:v>96</x:v>
      </x:c>
      <x:c r="B23" s="4" t="s">
        <x:v>97</x:v>
      </x:c>
      <x:c r="C23" s="4" t="s">
        <x:v>98</x:v>
      </x:c>
      <x:c r="D23" s="8">
        <x:v>48</x:v>
      </x:c>
      <x:c r="E23" s="8">
        <x:v>45</x:v>
      </x:c>
      <x:c r="F23" s="8">
        <x:v>93</x:v>
      </x:c>
      <x:c r="G23" s="8">
        <x:v>50</x:v>
      </x:c>
      <x:c r="H23" s="8">
        <x:v>29</x:v>
      </x:c>
      <x:c r="I23" s="8">
        <x:v>243</x:v>
      </x:c>
      <x:c r="J23" s="8">
        <x:v>46</x:v>
      </x:c>
      <x:c r="K23" s="8">
        <x:v>-44</x:v>
      </x:c>
      <x:c r="L23" s="8">
        <x:v>74</x:v>
      </x:c>
      <x:c r="M23" s="8">
        <x:v>75</x:v>
      </x:c>
      <x:c r="N23" s="8">
        <x:v>49</x:v>
      </x:c>
      <x:c r="O23" s="8">
        <x:v>57</x:v>
      </x:c>
      <x:c r="P23" s="8">
        <x:v>18</x:v>
      </x:c>
      <x:c r="Q23" s="10">
        <x:v>1.5484</x:v>
      </x:c>
      <x:c r="R23" s="10">
        <x:v>1.4516</x:v>
      </x:c>
      <x:c r="S23" s="10">
        <x:v>2.6957</x:v>
      </x:c>
      <x:c r="T23" s="10">
        <x:v>1.6129</x:v>
      </x:c>
      <x:c r="U23" s="10">
        <x:v>0.9667</x:v>
      </x:c>
      <x:c r="V23" s="10">
        <x:v>7.8387</x:v>
      </x:c>
      <x:c r="W23" s="10">
        <x:v>1.8548</x:v>
      </x:c>
      <x:c r="X23" s="10">
        <x:v>-1.8487</x:v>
      </x:c>
      <x:c r="Y23" s="10">
        <x:v>2.1701</x:v>
      </x:c>
      <x:c r="Z23" s="10">
        <x:v>2.7778</x:v>
      </x:c>
      <x:c r="AA23" s="10">
        <x:v>1.5054</x:v>
      </x:c>
      <x:c r="AB23" s="10">
        <x:v>1.6522</x:v>
      </x:c>
      <x:c r="AC23" s="13">
        <x:v>0.5806</x:v>
      </x:c>
      <x:c r="AD23" s="10">
        <x:v>2.0188</x:v>
      </x:c>
      <x:c r="AE23" s="10">
        <x:v>2.0188</x:v>
      </x:c>
      <x:c r="AF23" s="2" t="s">
        <x:v>35</x:v>
      </x:c>
    </x:row>
    <x:row r="24">
      <x:c r="A24" s="25" t="s">
        <x:v>99</x:v>
      </x:c>
      <x:c r="B24" s="4" t="s">
        <x:v>100</x:v>
      </x:c>
      <x:c r="C24" s="4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22">
        <x:v>0</x:v>
      </x:c>
      <x:c r="R24" s="22">
        <x:v>0</x:v>
      </x:c>
      <x:c r="S24" s="22">
        <x:v>0</x:v>
      </x:c>
      <x:c r="T24" s="22">
        <x:v>0</x:v>
      </x:c>
      <x:c r="U24" s="22">
        <x:v>0</x:v>
      </x:c>
      <x:c r="V24" s="22">
        <x:v>0</x:v>
      </x:c>
      <x:c r="W24" s="22">
        <x:v>0</x:v>
      </x:c>
      <x:c r="X24" s="22">
        <x:v>0</x:v>
      </x:c>
      <x:c r="Y24" s="22">
        <x:v>0</x:v>
      </x:c>
      <x:c r="Z24" s="22">
        <x:v>0</x:v>
      </x:c>
      <x:c r="AA24" s="22">
        <x:v>0</x:v>
      </x:c>
      <x:c r="AB24" s="22">
        <x:v>0</x:v>
      </x:c>
      <x:c r="AC24" s="16">
        <x:v>0</x:v>
      </x:c>
      <x:c r="AF24" s="2" t="s">
        <x:v>51</x:v>
      </x:c>
    </x:row>
    <x:row r="25">
      <x:c r="A25" s="4" t="s">
        <x:v>101</x:v>
      </x:c>
      <x:c r="B25" s="4" t="s">
        <x:v>102</x:v>
      </x:c>
      <x:c r="C25" s="4" t="s">
        <x:v>103</x:v>
      </x:c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22">
        <x:v>0</x:v>
      </x:c>
      <x:c r="R25" s="22">
        <x:v>0</x:v>
      </x:c>
      <x:c r="S25" s="22">
        <x:v>0</x:v>
      </x:c>
      <x:c r="T25" s="22">
        <x:v>0</x:v>
      </x:c>
      <x:c r="U25" s="22">
        <x:v>0</x:v>
      </x:c>
      <x:c r="V25" s="22">
        <x:v>0</x:v>
      </x:c>
      <x:c r="W25" s="22">
        <x:v>0</x:v>
      </x:c>
      <x:c r="X25" s="22">
        <x:v>0</x:v>
      </x:c>
      <x:c r="Y25" s="22">
        <x:v>0</x:v>
      </x:c>
      <x:c r="Z25" s="22">
        <x:v>0</x:v>
      </x:c>
      <x:c r="AA25" s="22">
        <x:v>0</x:v>
      </x:c>
      <x:c r="AB25" s="22">
        <x:v>0</x:v>
      </x:c>
      <x:c r="AC25" s="16">
        <x:v>0</x:v>
      </x:c>
      <x:c r="AF25" s="2" t="s">
        <x:v>51</x:v>
      </x:c>
    </x:row>
    <x:row r="26">
      <x:c r="A26" s="4" t="s">
        <x:v>104</x:v>
      </x:c>
      <x:c r="B26" s="4" t="s">
        <x:v>105</x:v>
      </x:c>
      <x:c r="C26" s="4" t="s">
        <x:v>106</x:v>
      </x:c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22">
        <x:v>0</x:v>
      </x:c>
      <x:c r="R26" s="22">
        <x:v>0</x:v>
      </x:c>
      <x:c r="S26" s="22">
        <x:v>0</x:v>
      </x:c>
      <x:c r="T26" s="22">
        <x:v>0</x:v>
      </x:c>
      <x:c r="U26" s="22">
        <x:v>0</x:v>
      </x:c>
      <x:c r="V26" s="22">
        <x:v>0</x:v>
      </x:c>
      <x:c r="W26" s="22">
        <x:v>0</x:v>
      </x:c>
      <x:c r="X26" s="22">
        <x:v>0</x:v>
      </x:c>
      <x:c r="Y26" s="22">
        <x:v>0</x:v>
      </x:c>
      <x:c r="Z26" s="22">
        <x:v>0</x:v>
      </x:c>
      <x:c r="AA26" s="22">
        <x:v>0</x:v>
      </x:c>
      <x:c r="AB26" s="22">
        <x:v>0</x:v>
      </x:c>
      <x:c r="AC26" s="16">
        <x:v>0</x:v>
      </x:c>
      <x:c r="AF26" s="2" t="s">
        <x:v>51</x:v>
      </x:c>
    </x:row>
    <x:row r="27">
      <x:c r="A27" s="4" t="s">
        <x:v>107</x:v>
      </x:c>
      <x:c r="B27" s="4" t="s">
        <x:v>108</x:v>
      </x:c>
      <x:c r="C27" s="4" t="s">
        <x:v>109</x:v>
      </x:c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22">
        <x:v>0</x:v>
      </x:c>
      <x:c r="R27" s="22">
        <x:v>0</x:v>
      </x:c>
      <x:c r="S27" s="22">
        <x:v>0</x:v>
      </x:c>
      <x:c r="T27" s="22">
        <x:v>0</x:v>
      </x:c>
      <x:c r="U27" s="22">
        <x:v>0</x:v>
      </x:c>
      <x:c r="V27" s="22">
        <x:v>0</x:v>
      </x:c>
      <x:c r="W27" s="22">
        <x:v>0</x:v>
      </x:c>
      <x:c r="X27" s="22">
        <x:v>0</x:v>
      </x:c>
      <x:c r="Y27" s="22">
        <x:v>0</x:v>
      </x:c>
      <x:c r="Z27" s="22">
        <x:v>0</x:v>
      </x:c>
      <x:c r="AA27" s="22">
        <x:v>0</x:v>
      </x:c>
      <x:c r="AB27" s="22">
        <x:v>0</x:v>
      </x:c>
      <x:c r="AC27" s="16">
        <x:v>0</x:v>
      </x:c>
      <x:c r="AF27" s="2" t="s">
        <x:v>51</x:v>
      </x:c>
    </x:row>
    <x:row r="28">
      <x:c r="A28" s="4" t="s">
        <x:v>110</x:v>
      </x:c>
      <x:c r="B28" s="4" t="s">
        <x:v>111</x:v>
      </x:c>
      <x:c r="C28" s="4" t="s">
        <x:v>112</x:v>
      </x:c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22">
        <x:v>0</x:v>
      </x:c>
      <x:c r="R28" s="22">
        <x:v>0</x:v>
      </x:c>
      <x:c r="S28" s="22">
        <x:v>0</x:v>
      </x:c>
      <x:c r="T28" s="22">
        <x:v>0</x:v>
      </x:c>
      <x:c r="U28" s="22">
        <x:v>0</x:v>
      </x:c>
      <x:c r="V28" s="22">
        <x:v>0</x:v>
      </x:c>
      <x:c r="W28" s="22">
        <x:v>0</x:v>
      </x:c>
      <x:c r="X28" s="22">
        <x:v>0</x:v>
      </x:c>
      <x:c r="Y28" s="22">
        <x:v>0</x:v>
      </x:c>
      <x:c r="Z28" s="22">
        <x:v>0</x:v>
      </x:c>
      <x:c r="AA28" s="22">
        <x:v>0</x:v>
      </x:c>
      <x:c r="AB28" s="22">
        <x:v>0</x:v>
      </x:c>
      <x:c r="AC28" s="16">
        <x:v>0</x:v>
      </x:c>
      <x:c r="AF28" s="2" t="s">
        <x:v>51</x:v>
      </x:c>
    </x:row>
    <x:row r="29">
      <x:c r="A29" s="4" t="s">
        <x:v>113</x:v>
      </x:c>
      <x:c r="B29" s="4" t="s">
        <x:v>114</x:v>
      </x:c>
      <x:c r="C29" s="4" t="s">
        <x:v>115</x:v>
      </x:c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22">
        <x:v>0</x:v>
      </x:c>
      <x:c r="R29" s="22">
        <x:v>0</x:v>
      </x:c>
      <x:c r="S29" s="22">
        <x:v>0</x:v>
      </x:c>
      <x:c r="T29" s="22">
        <x:v>0</x:v>
      </x:c>
      <x:c r="U29" s="22">
        <x:v>0</x:v>
      </x:c>
      <x:c r="V29" s="22">
        <x:v>0</x:v>
      </x:c>
      <x:c r="W29" s="22">
        <x:v>0</x:v>
      </x:c>
      <x:c r="X29" s="22">
        <x:v>0</x:v>
      </x:c>
      <x:c r="Y29" s="22">
        <x:v>0</x:v>
      </x:c>
      <x:c r="Z29" s="22">
        <x:v>0</x:v>
      </x:c>
      <x:c r="AA29" s="22">
        <x:v>0</x:v>
      </x:c>
      <x:c r="AB29" s="22">
        <x:v>0</x:v>
      </x:c>
      <x:c r="AC29" s="16">
        <x:v>0</x:v>
      </x:c>
      <x:c r="AF29" s="2" t="s">
        <x:v>35</x:v>
      </x:c>
    </x:row>
    <x:row r="30">
      <x:c r="A30" s="4" t="s">
        <x:v>116</x:v>
      </x:c>
      <x:c r="B30" s="4" t="s">
        <x:v>117</x:v>
      </x:c>
      <x:c r="C30" s="4" t="s">
        <x:v>118</x:v>
      </x:c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22">
        <x:v>0</x:v>
      </x:c>
      <x:c r="R30" s="22">
        <x:v>0</x:v>
      </x:c>
      <x:c r="S30" s="22">
        <x:v>0</x:v>
      </x:c>
      <x:c r="T30" s="22">
        <x:v>0</x:v>
      </x:c>
      <x:c r="U30" s="22">
        <x:v>0</x:v>
      </x:c>
      <x:c r="V30" s="22">
        <x:v>0</x:v>
      </x:c>
      <x:c r="W30" s="22">
        <x:v>0</x:v>
      </x:c>
      <x:c r="X30" s="22">
        <x:v>0</x:v>
      </x:c>
      <x:c r="Y30" s="22">
        <x:v>0</x:v>
      </x:c>
      <x:c r="Z30" s="22">
        <x:v>0</x:v>
      </x:c>
      <x:c r="AA30" s="22">
        <x:v>0</x:v>
      </x:c>
      <x:c r="AB30" s="22">
        <x:v>0</x:v>
      </x:c>
      <x:c r="AC30" s="16">
        <x:v>0</x:v>
      </x:c>
      <x:c r="AF30" s="2" t="s">
        <x:v>35</x:v>
      </x:c>
    </x:row>
    <x:row r="31">
      <x:c r="A31" s="4" t="s">
        <x:v>119</x:v>
      </x:c>
      <x:c r="B31" s="4" t="s">
        <x:v>120</x:v>
      </x:c>
      <x:c r="C31" s="4" t="s">
        <x:v>121</x:v>
      </x:c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22">
        <x:v>0</x:v>
      </x:c>
      <x:c r="R31" s="22">
        <x:v>0</x:v>
      </x:c>
      <x:c r="S31" s="22">
        <x:v>0</x:v>
      </x:c>
      <x:c r="T31" s="22">
        <x:v>0</x:v>
      </x:c>
      <x:c r="U31" s="22">
        <x:v>0</x:v>
      </x:c>
      <x:c r="V31" s="22">
        <x:v>0</x:v>
      </x:c>
      <x:c r="W31" s="22">
        <x:v>0</x:v>
      </x:c>
      <x:c r="X31" s="22">
        <x:v>0</x:v>
      </x:c>
      <x:c r="Y31" s="22">
        <x:v>0</x:v>
      </x:c>
      <x:c r="Z31" s="22">
        <x:v>0</x:v>
      </x:c>
      <x:c r="AA31" s="22">
        <x:v>0</x:v>
      </x:c>
      <x:c r="AB31" s="22">
        <x:v>0</x:v>
      </x:c>
      <x:c r="AC31" s="16">
        <x:v>0</x:v>
      </x:c>
      <x:c r="AF31" s="2" t="s">
        <x:v>35</x:v>
      </x:c>
    </x:row>
    <x:row r="32">
      <x:c r="A32" s="4" t="s">
        <x:v>122</x:v>
      </x:c>
      <x:c r="B32" s="4" t="s">
        <x:v>123</x:v>
      </x:c>
      <x:c r="C32" s="4" t="s">
        <x:v>124</x:v>
      </x:c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22">
        <x:v>0</x:v>
      </x:c>
      <x:c r="R32" s="22">
        <x:v>0</x:v>
      </x:c>
      <x:c r="S32" s="22">
        <x:v>0</x:v>
      </x:c>
      <x:c r="T32" s="22">
        <x:v>0</x:v>
      </x:c>
      <x:c r="U32" s="22">
        <x:v>0</x:v>
      </x:c>
      <x:c r="V32" s="22">
        <x:v>0</x:v>
      </x:c>
      <x:c r="W32" s="22">
        <x:v>0</x:v>
      </x:c>
      <x:c r="X32" s="22">
        <x:v>0</x:v>
      </x:c>
      <x:c r="Y32" s="22">
        <x:v>0</x:v>
      </x:c>
      <x:c r="Z32" s="22">
        <x:v>0</x:v>
      </x:c>
      <x:c r="AA32" s="22">
        <x:v>0</x:v>
      </x:c>
      <x:c r="AB32" s="22">
        <x:v>0</x:v>
      </x:c>
      <x:c r="AC32" s="16">
        <x:v>0</x:v>
      </x:c>
      <x:c r="AF32" s="2" t="s">
        <x:v>35</x:v>
      </x:c>
    </x:row>
    <x:row r="33">
      <x:c r="A33" s="4" t="s">
        <x:v>125</x:v>
      </x:c>
      <x:c r="B33" s="4" t="s">
        <x:v>126</x:v>
      </x:c>
      <x:c r="C33" s="4" t="s">
        <x:v>127</x:v>
      </x:c>
      <x:c r="D33" s="8">
        <x:v>3</x:v>
      </x:c>
      <x:c r="E33" s="8">
        <x:v>2</x:v>
      </x:c>
      <x:c r="F33" s="8">
        <x:v>1</x:v>
      </x:c>
      <x:c r="G33" s="8">
        <x:v>1</x:v>
      </x:c>
      <x:c r="H33" s="8">
        <x:v>1</x:v>
      </x:c>
      <x:c r="I33" s="8">
        <x:v>2</x:v>
      </x:c>
      <x:c r="J33" s="6"/>
      <x:c r="K33" s="8">
        <x:v>2</x:v>
      </x:c>
      <x:c r="L33" s="8">
        <x:v>1</x:v>
      </x:c>
      <x:c r="M33" s="6"/>
      <x:c r="N33" s="6"/>
      <x:c r="O33" s="6"/>
      <x:c r="P33" s="6"/>
      <x:c r="Q33" s="10">
        <x:v>0.0968</x:v>
      </x:c>
      <x:c r="R33" s="19">
        <x:v>0.1176</x:v>
      </x:c>
      <x:c r="S33" s="22">
        <x:v>0</x:v>
      </x:c>
      <x:c r="T33" s="19">
        <x:v>0.0625</x:v>
      </x:c>
      <x:c r="U33" s="10">
        <x:v>0.0333</x:v>
      </x:c>
      <x:c r="V33" s="10">
        <x:v>0.0645</x:v>
      </x:c>
      <x:c r="W33" s="10">
        <x:v>0</x:v>
      </x:c>
      <x:c r="X33" s="10">
        <x:v>0.084</x:v>
      </x:c>
      <x:c r="Y33" s="10">
        <x:v>0.0293</x:v>
      </x:c>
      <x:c r="Z33" s="10">
        <x:v>0</x:v>
      </x:c>
      <x:c r="AA33" s="10">
        <x:v>0</x:v>
      </x:c>
      <x:c r="AB33" s="10">
        <x:v>0</x:v>
      </x:c>
      <x:c r="AC33" s="13">
        <x:v>0</x:v>
      </x:c>
      <x:c r="AD33" s="10">
        <x:v>0.0342</x:v>
      </x:c>
      <x:c r="AE33" s="10">
        <x:v>0.0342</x:v>
      </x:c>
      <x:c r="AF33" s="2" t="s">
        <x:v>35</x:v>
      </x:c>
    </x:row>
    <x:row r="34">
      <x:c r="A34" s="4" t="s">
        <x:v>128</x:v>
      </x:c>
      <x:c r="B34" s="4" t="s">
        <x:v>129</x:v>
      </x:c>
      <x:c r="C34" s="4" t="s">
        <x:v>130</x:v>
      </x:c>
      <x:c r="D34" s="8">
        <x:v>3</x:v>
      </x:c>
      <x:c r="E34" s="8">
        <x:v>4</x:v>
      </x:c>
      <x:c r="F34" s="8">
        <x:v>1</x:v>
      </x:c>
      <x:c r="G34" s="8">
        <x:v>1</x:v>
      </x:c>
      <x:c r="H34" s="8">
        <x:v>1</x:v>
      </x:c>
      <x:c r="I34" s="6"/>
      <x:c r="J34" s="6"/>
      <x:c r="K34" s="8">
        <x:v>2</x:v>
      </x:c>
      <x:c r="L34" s="6"/>
      <x:c r="M34" s="6"/>
      <x:c r="N34" s="6"/>
      <x:c r="O34" s="8">
        <x:v>1</x:v>
      </x:c>
      <x:c r="P34" s="6"/>
      <x:c r="Q34" s="10">
        <x:v>0.0968</x:v>
      </x:c>
      <x:c r="R34" s="10">
        <x:v>0.129</x:v>
      </x:c>
      <x:c r="S34" s="10">
        <x:v>0.029</x:v>
      </x:c>
      <x:c r="T34" s="10">
        <x:v>0.0323</x:v>
      </x:c>
      <x:c r="U34" s="10">
        <x:v>0.0333</x:v>
      </x:c>
      <x:c r="V34" s="10">
        <x:v>0</x:v>
      </x:c>
      <x:c r="W34" s="10">
        <x:v>0</x:v>
      </x:c>
      <x:c r="X34" s="10">
        <x:v>0.084</x:v>
      </x:c>
      <x:c r="Y34" s="10">
        <x:v>0</x:v>
      </x:c>
      <x:c r="Z34" s="10">
        <x:v>0</x:v>
      </x:c>
      <x:c r="AA34" s="10">
        <x:v>0</x:v>
      </x:c>
      <x:c r="AB34" s="10">
        <x:v>0.029</x:v>
      </x:c>
      <x:c r="AC34" s="13">
        <x:v>0</x:v>
      </x:c>
      <x:c r="AD34" s="10">
        <x:v>0.0361</x:v>
      </x:c>
      <x:c r="AE34" s="10">
        <x:v>0.0361</x:v>
      </x:c>
      <x:c r="AF34" s="2" t="s">
        <x:v>35</x:v>
      </x:c>
    </x:row>
    <x:row r="35">
      <x:c r="A35" s="4" t="s">
        <x:v>131</x:v>
      </x:c>
      <x:c r="B35" s="4" t="s">
        <x:v>132</x:v>
      </x:c>
      <x:c r="C35" s="4" t="s">
        <x:v>133</x:v>
      </x:c>
      <x:c r="D35" s="8">
        <x:v>5</x:v>
      </x:c>
      <x:c r="E35" s="8">
        <x:v>1</x:v>
      </x:c>
      <x:c r="F35" s="6"/>
      <x:c r="G35" s="8">
        <x:v>1</x:v>
      </x:c>
      <x:c r="H35" s="8">
        <x:v>1</x:v>
      </x:c>
      <x:c r="I35" s="6"/>
      <x:c r="J35" s="6"/>
      <x:c r="K35" s="8">
        <x:v>1</x:v>
      </x:c>
      <x:c r="L35" s="8">
        <x:v>1</x:v>
      </x:c>
      <x:c r="M35" s="6"/>
      <x:c r="N35" s="6"/>
      <x:c r="O35" s="8">
        <x:v>1</x:v>
      </x:c>
      <x:c r="P35" s="6"/>
      <x:c r="Q35" s="19">
        <x:v>0.4545</x:v>
      </x:c>
      <x:c r="R35" s="10">
        <x:v>0.0323</x:v>
      </x:c>
      <x:c r="S35" s="10">
        <x:v>0</x:v>
      </x:c>
      <x:c r="T35" s="10">
        <x:v>0.0323</x:v>
      </x:c>
      <x:c r="U35" s="10">
        <x:v>0.0333</x:v>
      </x:c>
      <x:c r="V35" s="10">
        <x:v>0</x:v>
      </x:c>
      <x:c r="W35" s="10">
        <x:v>0</x:v>
      </x:c>
      <x:c r="X35" s="10">
        <x:v>0.042</x:v>
      </x:c>
      <x:c r="Y35" s="10">
        <x:v>0.0293</x:v>
      </x:c>
      <x:c r="Z35" s="10">
        <x:v>0</x:v>
      </x:c>
      <x:c r="AA35" s="10">
        <x:v>0</x:v>
      </x:c>
      <x:c r="AB35" s="10">
        <x:v>0.029</x:v>
      </x:c>
      <x:c r="AC35" s="13">
        <x:v>0</x:v>
      </x:c>
      <x:c r="AD35" s="10">
        <x:v>0.018</x:v>
      </x:c>
      <x:c r="AE35" s="10">
        <x:v>0.018</x:v>
      </x:c>
      <x:c r="AF35" s="2" t="s">
        <x:v>35</x:v>
      </x:c>
    </x:row>
    <x:row r="36">
      <x:c r="A36" s="4" t="s">
        <x:v>134</x:v>
      </x:c>
      <x:c r="B36" s="4" t="s">
        <x:v>135</x:v>
      </x:c>
      <x:c r="C36" s="4" t="s">
        <x:v>136</x:v>
      </x:c>
      <x:c r="D36" s="8">
        <x:v>1</x:v>
      </x:c>
      <x:c r="E36" s="8">
        <x:v>1</x:v>
      </x:c>
      <x:c r="F36" s="6"/>
      <x:c r="G36" s="8">
        <x:v>1</x:v>
      </x:c>
      <x:c r="H36" s="8">
        <x:v>1</x:v>
      </x:c>
      <x:c r="I36" s="6"/>
      <x:c r="J36" s="6"/>
      <x:c r="K36" s="8">
        <x:v>2</x:v>
      </x:c>
      <x:c r="L36" s="8">
        <x:v>1</x:v>
      </x:c>
      <x:c r="M36" s="6"/>
      <x:c r="N36" s="6"/>
      <x:c r="O36" s="6"/>
      <x:c r="P36" s="6"/>
      <x:c r="Q36" s="10">
        <x:v>0.0323</x:v>
      </x:c>
      <x:c r="R36" s="10">
        <x:v>0.0323</x:v>
      </x:c>
      <x:c r="S36" s="10">
        <x:v>0</x:v>
      </x:c>
      <x:c r="T36" s="10">
        <x:v>0.0323</x:v>
      </x:c>
      <x:c r="U36" s="10">
        <x:v>0.0333</x:v>
      </x:c>
      <x:c r="V36" s="10">
        <x:v>0</x:v>
      </x:c>
      <x:c r="W36" s="10">
        <x:v>0</x:v>
      </x:c>
      <x:c r="X36" s="10">
        <x:v>0.084</x:v>
      </x:c>
      <x:c r="Y36" s="10">
        <x:v>0.0293</x:v>
      </x:c>
      <x:c r="Z36" s="10">
        <x:v>0</x:v>
      </x:c>
      <x:c r="AA36" s="10">
        <x:v>0</x:v>
      </x:c>
      <x:c r="AB36" s="10">
        <x:v>0</x:v>
      </x:c>
      <x:c r="AC36" s="13">
        <x:v>0</x:v>
      </x:c>
      <x:c r="AD36" s="10">
        <x:v>0.0203</x:v>
      </x:c>
      <x:c r="AE36" s="10">
        <x:v>0.0203</x:v>
      </x:c>
      <x:c r="AF36" s="2" t="s">
        <x:v>35</x:v>
      </x:c>
    </x:row>
    <x:row r="37">
      <x:c r="A37" s="4" t="s">
        <x:v>137</x:v>
      </x:c>
      <x:c r="B37" s="4" t="s">
        <x:v>138</x:v>
      </x:c>
      <x:c r="C37" s="4" t="s">
        <x:v>139</x:v>
      </x:c>
      <x:c r="D37" s="8">
        <x:v>227</x:v>
      </x:c>
      <x:c r="E37" s="8">
        <x:v>163</x:v>
      </x:c>
      <x:c r="F37" s="8">
        <x:v>165</x:v>
      </x:c>
      <x:c r="G37" s="8">
        <x:v>124</x:v>
      </x:c>
      <x:c r="H37" s="8">
        <x:v>91</x:v>
      </x:c>
      <x:c r="I37" s="8">
        <x:v>114</x:v>
      </x:c>
      <x:c r="J37" s="8">
        <x:v>197</x:v>
      </x:c>
      <x:c r="K37" s="8">
        <x:v>111</x:v>
      </x:c>
      <x:c r="L37" s="8">
        <x:v>202</x:v>
      </x:c>
      <x:c r="M37" s="8">
        <x:v>145</x:v>
      </x:c>
      <x:c r="N37" s="8">
        <x:v>171</x:v>
      </x:c>
      <x:c r="O37" s="8">
        <x:v>170</x:v>
      </x:c>
      <x:c r="P37" s="8">
        <x:v>116</x:v>
      </x:c>
      <x:c r="Q37" s="10">
        <x:v>7.3226</x:v>
      </x:c>
      <x:c r="R37" s="10">
        <x:v>5.2581</x:v>
      </x:c>
      <x:c r="S37" s="10">
        <x:v>4.7826</x:v>
      </x:c>
      <x:c r="T37" s="10">
        <x:v>4</x:v>
      </x:c>
      <x:c r="U37" s="10">
        <x:v>3.0333</x:v>
      </x:c>
      <x:c r="V37" s="10">
        <x:v>3.6774</x:v>
      </x:c>
      <x:c r="W37" s="10">
        <x:v>7.9435</x:v>
      </x:c>
      <x:c r="X37" s="10">
        <x:v>4.6639</x:v>
      </x:c>
      <x:c r="Y37" s="10">
        <x:v>5.9238</x:v>
      </x:c>
      <x:c r="Z37" s="10">
        <x:v>5.3704</x:v>
      </x:c>
      <x:c r="AA37" s="10">
        <x:v>5.2535</x:v>
      </x:c>
      <x:c r="AB37" s="10">
        <x:v>4.9275</x:v>
      </x:c>
      <x:c r="AC37" s="13">
        <x:v>3.7419</x:v>
      </x:c>
      <x:c r="AD37" s="10">
        <x:v>5.1797</x:v>
      </x:c>
      <x:c r="AE37" s="10">
        <x:v>5.1797</x:v>
      </x:c>
      <x:c r="AF37" s="2" t="s">
        <x:v>35</x:v>
      </x:c>
    </x:row>
    <x:row r="38">
      <x:c r="A38" s="4" t="s">
        <x:v>140</x:v>
      </x:c>
      <x:c r="B38" s="4" t="s">
        <x:v>141</x:v>
      </x:c>
      <x:c r="C38" s="4" t="s">
        <x:v>142</x:v>
      </x:c>
      <x:c r="D38" s="6"/>
      <x:c r="E38" s="6"/>
      <x:c r="F38" s="8">
        <x:v>3</x:v>
      </x:c>
      <x:c r="G38" s="6"/>
      <x:c r="H38" s="6"/>
      <x:c r="I38" s="8">
        <x:v>6</x:v>
      </x:c>
      <x:c r="J38" s="6"/>
      <x:c r="K38" s="6"/>
      <x:c r="L38" s="8">
        <x:v>1</x:v>
      </x:c>
      <x:c r="M38" s="6"/>
      <x:c r="N38" s="6"/>
      <x:c r="O38" s="6"/>
      <x:c r="P38" s="6"/>
      <x:c r="Q38" s="10">
        <x:v>0</x:v>
      </x:c>
      <x:c r="R38" s="10">
        <x:v>0</x:v>
      </x:c>
      <x:c r="S38" s="10">
        <x:v>0.087</x:v>
      </x:c>
      <x:c r="T38" s="10">
        <x:v>0</x:v>
      </x:c>
      <x:c r="U38" s="10">
        <x:v>0</x:v>
      </x:c>
      <x:c r="V38" s="10">
        <x:v>0.1935</x:v>
      </x:c>
      <x:c r="W38" s="10">
        <x:v>0</x:v>
      </x:c>
      <x:c r="X38" s="10">
        <x:v>0</x:v>
      </x:c>
      <x:c r="Y38" s="10">
        <x:v>0.0293</x:v>
      </x:c>
      <x:c r="Z38" s="10">
        <x:v>0</x:v>
      </x:c>
      <x:c r="AA38" s="10">
        <x:v>0</x:v>
      </x:c>
      <x:c r="AB38" s="10">
        <x:v>0</x:v>
      </x:c>
      <x:c r="AC38" s="13">
        <x:v>0</x:v>
      </x:c>
      <x:c r="AD38" s="10">
        <x:v>0.0258</x:v>
      </x:c>
      <x:c r="AE38" s="10">
        <x:v>0.0258</x:v>
      </x:c>
      <x:c r="AF38" s="2" t="s">
        <x:v>35</x:v>
      </x:c>
    </x:row>
    <x:row r="39">
      <x:c r="A39" s="4" t="s">
        <x:v>143</x:v>
      </x:c>
      <x:c r="B39" s="4" t="s">
        <x:v>144</x:v>
      </x:c>
      <x:c r="C39" s="4" t="s">
        <x:v>145</x:v>
      </x:c>
      <x:c r="D39" s="8">
        <x:v>13</x:v>
      </x:c>
      <x:c r="E39" s="8">
        <x:v>7</x:v>
      </x:c>
      <x:c r="F39" s="8">
        <x:v>57</x:v>
      </x:c>
      <x:c r="G39" s="8">
        <x:v>5</x:v>
      </x:c>
      <x:c r="H39" s="8">
        <x:v>6</x:v>
      </x:c>
      <x:c r="I39" s="8">
        <x:v>13</x:v>
      </x:c>
      <x:c r="J39" s="8">
        <x:v>7</x:v>
      </x:c>
      <x:c r="K39" s="8">
        <x:v>31</x:v>
      </x:c>
      <x:c r="L39" s="8">
        <x:v>-30</x:v>
      </x:c>
      <x:c r="M39" s="8">
        <x:v>25</x:v>
      </x:c>
      <x:c r="N39" s="8">
        <x:v>7</x:v>
      </x:c>
      <x:c r="O39" s="8">
        <x:v>17</x:v>
      </x:c>
      <x:c r="P39" s="8">
        <x:v>14</x:v>
      </x:c>
      <x:c r="Q39" s="10">
        <x:v>0.4194</x:v>
      </x:c>
      <x:c r="R39" s="10">
        <x:v>0.2258</x:v>
      </x:c>
      <x:c r="S39" s="10">
        <x:v>1.6522</x:v>
      </x:c>
      <x:c r="T39" s="19">
        <x:v>0.2941</x:v>
      </x:c>
      <x:c r="U39" s="10">
        <x:v>0.2</x:v>
      </x:c>
      <x:c r="V39" s="10">
        <x:v>0.4194</x:v>
      </x:c>
      <x:c r="W39" s="10">
        <x:v>0.2823</x:v>
      </x:c>
      <x:c r="X39" s="10">
        <x:v>1.3025</x:v>
      </x:c>
      <x:c r="Y39" s="10">
        <x:v>-0.8798</x:v>
      </x:c>
      <x:c r="Z39" s="10">
        <x:v>0.9259</x:v>
      </x:c>
      <x:c r="AA39" s="10">
        <x:v>0.2151</x:v>
      </x:c>
      <x:c r="AB39" s="10">
        <x:v>0.4928</x:v>
      </x:c>
      <x:c r="AC39" s="13">
        <x:v>0.4516</x:v>
      </x:c>
      <x:c r="AD39" s="10">
        <x:v>0.4778</x:v>
      </x:c>
      <x:c r="AE39" s="10">
        <x:v>0.4778</x:v>
      </x:c>
      <x:c r="AF39" s="2" t="s">
        <x:v>35</x:v>
      </x:c>
    </x:row>
    <x:row r="40">
      <x:c r="A40" s="4" t="s">
        <x:v>146</x:v>
      </x:c>
      <x:c r="B40" s="4" t="s">
        <x:v>147</x:v>
      </x:c>
      <x:c r="C40" s="4" t="s">
        <x:v>148</x:v>
      </x:c>
      <x:c r="D40" s="8">
        <x:v>1</x:v>
      </x:c>
      <x:c r="E40" s="8">
        <x:v>18</x:v>
      </x:c>
      <x:c r="F40" s="8">
        <x:v>11</x:v>
      </x:c>
      <x:c r="G40" s="8">
        <x:v>13</x:v>
      </x:c>
      <x:c r="H40" s="6"/>
      <x:c r="I40" s="8">
        <x:v>2</x:v>
      </x:c>
      <x:c r="J40" s="8">
        <x:v>2</x:v>
      </x:c>
      <x:c r="K40" s="8">
        <x:v>6</x:v>
      </x:c>
      <x:c r="L40" s="8">
        <x:v>4</x:v>
      </x:c>
      <x:c r="M40" s="8">
        <x:v>3</x:v>
      </x:c>
      <x:c r="N40" s="8">
        <x:v>1</x:v>
      </x:c>
      <x:c r="O40" s="8">
        <x:v>2</x:v>
      </x:c>
      <x:c r="P40" s="8">
        <x:v>2</x:v>
      </x:c>
      <x:c r="Q40" s="10">
        <x:v>0.0323</x:v>
      </x:c>
      <x:c r="R40" s="10">
        <x:v>0.5806</x:v>
      </x:c>
      <x:c r="S40" s="10">
        <x:v>0.3188</x:v>
      </x:c>
      <x:c r="T40" s="10">
        <x:v>0.4194</x:v>
      </x:c>
      <x:c r="U40" s="10">
        <x:v>0</x:v>
      </x:c>
      <x:c r="V40" s="10">
        <x:v>0.0645</x:v>
      </x:c>
      <x:c r="W40" s="10">
        <x:v>0.0806</x:v>
      </x:c>
      <x:c r="X40" s="10">
        <x:v>0.2521</x:v>
      </x:c>
      <x:c r="Y40" s="10">
        <x:v>0.1173</x:v>
      </x:c>
      <x:c r="Z40" s="10">
        <x:v>0.1111</x:v>
      </x:c>
      <x:c r="AA40" s="10">
        <x:v>0.0307</x:v>
      </x:c>
      <x:c r="AB40" s="10">
        <x:v>0.058</x:v>
      </x:c>
      <x:c r="AC40" s="13">
        <x:v>0.0645</x:v>
      </x:c>
      <x:c r="AD40" s="10">
        <x:v>0.1721</x:v>
      </x:c>
      <x:c r="AE40" s="10">
        <x:v>0.1721</x:v>
      </x:c>
      <x:c r="AF40" s="2" t="s">
        <x:v>35</x:v>
      </x:c>
    </x:row>
    <x:row r="41">
      <x:c r="A41" s="4" t="s">
        <x:v>149</x:v>
      </x:c>
      <x:c r="B41" s="4" t="s">
        <x:v>150</x:v>
      </x:c>
      <x:c r="C41" s="4" t="s">
        <x:v>151</x:v>
      </x:c>
      <x:c r="D41" s="8">
        <x:v>4</x:v>
      </x:c>
      <x:c r="E41" s="8">
        <x:v>2</x:v>
      </x:c>
      <x:c r="F41" s="8">
        <x:v>3</x:v>
      </x:c>
      <x:c r="G41" s="8">
        <x:v>2</x:v>
      </x:c>
      <x:c r="H41" s="8">
        <x:v>3</x:v>
      </x:c>
      <x:c r="I41" s="8">
        <x:v>4</x:v>
      </x:c>
      <x:c r="J41" s="8">
        <x:v>3</x:v>
      </x:c>
      <x:c r="K41" s="8">
        <x:v>1</x:v>
      </x:c>
      <x:c r="L41" s="8">
        <x:v>3</x:v>
      </x:c>
      <x:c r="M41" s="6"/>
      <x:c r="N41" s="8">
        <x:v>1</x:v>
      </x:c>
      <x:c r="O41" s="8">
        <x:v>4</x:v>
      </x:c>
      <x:c r="P41" s="6"/>
      <x:c r="Q41" s="19">
        <x:v>0.1481</x:v>
      </x:c>
      <x:c r="R41" s="19">
        <x:v>0.0714</x:v>
      </x:c>
      <x:c r="S41" s="10">
        <x:v>0.087</x:v>
      </x:c>
      <x:c r="T41" s="10">
        <x:v>0.0645</x:v>
      </x:c>
      <x:c r="U41" s="10">
        <x:v>0.1</x:v>
      </x:c>
      <x:c r="V41" s="10">
        <x:v>0.129</x:v>
      </x:c>
      <x:c r="W41" s="10">
        <x:v>0.121</x:v>
      </x:c>
      <x:c r="X41" s="10">
        <x:v>0.042</x:v>
      </x:c>
      <x:c r="Y41" s="10">
        <x:v>0.088</x:v>
      </x:c>
      <x:c r="Z41" s="10">
        <x:v>0</x:v>
      </x:c>
      <x:c r="AA41" s="10">
        <x:v>0.0307</x:v>
      </x:c>
      <x:c r="AB41" s="10">
        <x:v>0.1159</x:v>
      </x:c>
      <x:c r="AC41" s="13">
        <x:v>0</x:v>
      </x:c>
      <x:c r="AD41" s="10">
        <x:v>0.0778</x:v>
      </x:c>
      <x:c r="AE41" s="10">
        <x:v>0.0778</x:v>
      </x:c>
      <x:c r="AF41" s="2" t="s">
        <x:v>35</x:v>
      </x:c>
    </x:row>
    <x:row r="42">
      <x:c r="A42" s="4" t="s">
        <x:v>152</x:v>
      </x:c>
      <x:c r="B42" s="4" t="s">
        <x:v>153</x:v>
      </x:c>
      <x:c r="C42" s="4" t="s">
        <x:v>154</x:v>
      </x:c>
      <x:c r="D42" s="8">
        <x:v>18</x:v>
      </x:c>
      <x:c r="E42" s="8">
        <x:v>16</x:v>
      </x:c>
      <x:c r="F42" s="8">
        <x:v>56</x:v>
      </x:c>
      <x:c r="G42" s="8">
        <x:v>-1</x:v>
      </x:c>
      <x:c r="H42" s="8">
        <x:v>16</x:v>
      </x:c>
      <x:c r="I42" s="8">
        <x:v>9</x:v>
      </x:c>
      <x:c r="J42" s="8">
        <x:v>6</x:v>
      </x:c>
      <x:c r="K42" s="8">
        <x:v>13</x:v>
      </x:c>
      <x:c r="L42" s="8">
        <x:v>27</x:v>
      </x:c>
      <x:c r="M42" s="8">
        <x:v>15</x:v>
      </x:c>
      <x:c r="N42" s="8">
        <x:v>20</x:v>
      </x:c>
      <x:c r="O42" s="8">
        <x:v>16</x:v>
      </x:c>
      <x:c r="P42" s="8">
        <x:v>11</x:v>
      </x:c>
      <x:c r="Q42" s="10">
        <x:v>0.5806</x:v>
      </x:c>
      <x:c r="R42" s="10">
        <x:v>0.5161</x:v>
      </x:c>
      <x:c r="S42" s="10">
        <x:v>1.6232</x:v>
      </x:c>
      <x:c r="T42" s="10">
        <x:v>-0.0323</x:v>
      </x:c>
      <x:c r="U42" s="10">
        <x:v>0.5333</x:v>
      </x:c>
      <x:c r="V42" s="10">
        <x:v>0.2903</x:v>
      </x:c>
      <x:c r="W42" s="10">
        <x:v>0.2419</x:v>
      </x:c>
      <x:c r="X42" s="10">
        <x:v>0.5462</x:v>
      </x:c>
      <x:c r="Y42" s="10">
        <x:v>0.7918</x:v>
      </x:c>
      <x:c r="Z42" s="10">
        <x:v>0.5556</x:v>
      </x:c>
      <x:c r="AA42" s="10">
        <x:v>0.6144</x:v>
      </x:c>
      <x:c r="AB42" s="10">
        <x:v>0.4638</x:v>
      </x:c>
      <x:c r="AC42" s="13">
        <x:v>0.3548</x:v>
      </x:c>
      <x:c r="AD42" s="10">
        <x:v>0.5604</x:v>
      </x:c>
      <x:c r="AE42" s="10">
        <x:v>0.5604</x:v>
      </x:c>
      <x:c r="AF42" s="2" t="s">
        <x:v>35</x:v>
      </x:c>
    </x:row>
    <x:row r="43">
      <x:c r="A43" s="4" t="s">
        <x:v>155</x:v>
      </x:c>
      <x:c r="B43" s="4" t="s">
        <x:v>156</x:v>
      </x:c>
      <x:c r="C43" s="4" t="s">
        <x:v>157</x:v>
      </x:c>
      <x:c r="D43" s="8">
        <x:v>29</x:v>
      </x:c>
      <x:c r="E43" s="8">
        <x:v>1</x:v>
      </x:c>
      <x:c r="F43" s="8">
        <x:v>12</x:v>
      </x:c>
      <x:c r="G43" s="8">
        <x:v>5</x:v>
      </x:c>
      <x:c r="H43" s="8">
        <x:v>8</x:v>
      </x:c>
      <x:c r="I43" s="6"/>
      <x:c r="J43" s="8">
        <x:v>2</x:v>
      </x:c>
      <x:c r="K43" s="8">
        <x:v>10</x:v>
      </x:c>
      <x:c r="L43" s="8">
        <x:v>2</x:v>
      </x:c>
      <x:c r="M43" s="8">
        <x:v>3</x:v>
      </x:c>
      <x:c r="N43" s="8">
        <x:v>1</x:v>
      </x:c>
      <x:c r="O43" s="8">
        <x:v>8</x:v>
      </x:c>
      <x:c r="P43" s="8">
        <x:v>2</x:v>
      </x:c>
      <x:c r="Q43" s="10">
        <x:v>0.9355</x:v>
      </x:c>
      <x:c r="R43" s="10">
        <x:v>0.0323</x:v>
      </x:c>
      <x:c r="S43" s="10">
        <x:v>0.3478</x:v>
      </x:c>
      <x:c r="T43" s="10">
        <x:v>0.1613</x:v>
      </x:c>
      <x:c r="U43" s="19">
        <x:v>0.8889</x:v>
      </x:c>
      <x:c r="V43" s="19">
        <x:v>0</x:v>
      </x:c>
      <x:c r="W43" s="19">
        <x:v>0.125</x:v>
      </x:c>
      <x:c r="X43" s="10">
        <x:v>0.4202</x:v>
      </x:c>
      <x:c r="Y43" s="10">
        <x:v>0.0587</x:v>
      </x:c>
      <x:c r="Z43" s="10">
        <x:v>0.1111</x:v>
      </x:c>
      <x:c r="AA43" s="10">
        <x:v>0.0307</x:v>
      </x:c>
      <x:c r="AB43" s="10">
        <x:v>0.2319</x:v>
      </x:c>
      <x:c r="AC43" s="13">
        <x:v>0.0645</x:v>
      </x:c>
      <x:c r="AD43" s="10">
        <x:v>0.2588</x:v>
      </x:c>
      <x:c r="AE43" s="10">
        <x:v>0.2588</x:v>
      </x:c>
      <x:c r="AF43" s="2" t="s">
        <x:v>35</x:v>
      </x:c>
    </x:row>
    <x:row r="44">
      <x:c r="A44" s="4" t="s">
        <x:v>158</x:v>
      </x:c>
      <x:c r="B44" s="4" t="s">
        <x:v>159</x:v>
      </x:c>
      <x:c r="C44" s="4" t="s">
        <x:v>160</x:v>
      </x:c>
      <x:c r="D44" s="6"/>
      <x:c r="E44" s="6"/>
      <x:c r="F44" s="6"/>
      <x:c r="G44" s="8">
        <x:v>4</x:v>
      </x:c>
      <x:c r="H44" s="6"/>
      <x:c r="I44" s="6"/>
      <x:c r="J44" s="8">
        <x:v>5</x:v>
      </x:c>
      <x:c r="K44" s="6"/>
      <x:c r="L44" s="6"/>
      <x:c r="M44" s="6"/>
      <x:c r="N44" s="6"/>
      <x:c r="O44" s="6"/>
      <x:c r="P44" s="8">
        <x:v>2</x:v>
      </x:c>
      <x:c r="Q44" s="10">
        <x:v>0</x:v>
      </x:c>
      <x:c r="R44" s="10">
        <x:v>0</x:v>
      </x:c>
      <x:c r="S44" s="10">
        <x:v>0</x:v>
      </x:c>
      <x:c r="T44" s="10">
        <x:v>0.129</x:v>
      </x:c>
      <x:c r="U44" s="10">
        <x:v>0</x:v>
      </x:c>
      <x:c r="V44" s="10">
        <x:v>0</x:v>
      </x:c>
      <x:c r="W44" s="10">
        <x:v>0.2016</x:v>
      </x:c>
      <x:c r="X44" s="10">
        <x:v>0</x:v>
      </x:c>
      <x:c r="Y44" s="10">
        <x:v>0</x:v>
      </x:c>
      <x:c r="Z44" s="10">
        <x:v>0</x:v>
      </x:c>
      <x:c r="AA44" s="10">
        <x:v>0</x:v>
      </x:c>
      <x:c r="AB44" s="10">
        <x:v>0</x:v>
      </x:c>
      <x:c r="AC44" s="13">
        <x:v>0.0645</x:v>
      </x:c>
      <x:c r="AD44" s="10">
        <x:v>0.0276</x:v>
      </x:c>
      <x:c r="AE44" s="10">
        <x:v>0.0276</x:v>
      </x:c>
      <x:c r="AF44" s="2" t="s">
        <x:v>35</x:v>
      </x:c>
    </x:row>
    <x:row r="45">
      <x:c r="A45" s="4" t="s">
        <x:v>161</x:v>
      </x:c>
      <x:c r="B45" s="4" t="s">
        <x:v>162</x:v>
      </x:c>
      <x:c r="C45" s="4" t="s">
        <x:v>163</x:v>
      </x:c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22">
        <x:v>0</x:v>
      </x:c>
      <x:c r="R45" s="22">
        <x:v>0</x:v>
      </x:c>
      <x:c r="S45" s="22">
        <x:v>0</x:v>
      </x:c>
      <x:c r="T45" s="22">
        <x:v>0</x:v>
      </x:c>
      <x:c r="U45" s="22">
        <x:v>0</x:v>
      </x:c>
      <x:c r="V45" s="22">
        <x:v>0</x:v>
      </x:c>
      <x:c r="W45" s="22">
        <x:v>0</x:v>
      </x:c>
      <x:c r="X45" s="22">
        <x:v>0</x:v>
      </x:c>
      <x:c r="Y45" s="22">
        <x:v>0</x:v>
      </x:c>
      <x:c r="Z45" s="22">
        <x:v>0</x:v>
      </x:c>
      <x:c r="AA45" s="22">
        <x:v>0</x:v>
      </x:c>
      <x:c r="AB45" s="22">
        <x:v>0</x:v>
      </x:c>
      <x:c r="AC45" s="16">
        <x:v>0</x:v>
      </x:c>
      <x:c r="AF45" s="2" t="s">
        <x:v>35</x:v>
      </x:c>
    </x:row>
    <x:row r="46">
      <x:c r="A46" s="4" t="s">
        <x:v>164</x:v>
      </x:c>
      <x:c r="B46" s="4" t="s">
        <x:v>165</x:v>
      </x:c>
      <x:c r="C46" s="4" t="s">
        <x:v>166</x:v>
      </x:c>
      <x:c r="D46" s="6"/>
      <x:c r="E46" s="8">
        <x:v>1</x:v>
      </x:c>
      <x:c r="F46" s="8">
        <x:v>2</x:v>
      </x:c>
      <x:c r="G46" s="6"/>
      <x:c r="H46" s="8">
        <x:v>3</x:v>
      </x:c>
      <x:c r="I46" s="6"/>
      <x:c r="J46" s="6"/>
      <x:c r="K46" s="8">
        <x:v>7</x:v>
      </x:c>
      <x:c r="L46" s="6"/>
      <x:c r="M46" s="8">
        <x:v>-2</x:v>
      </x:c>
      <x:c r="N46" s="8">
        <x:v>2</x:v>
      </x:c>
      <x:c r="O46" s="6"/>
      <x:c r="P46" s="6"/>
      <x:c r="Q46" s="22">
        <x:v>0</x:v>
      </x:c>
      <x:c r="R46" s="22">
        <x:v>0</x:v>
      </x:c>
      <x:c r="S46" s="22">
        <x:v>0</x:v>
      </x:c>
      <x:c r="T46" s="19">
        <x:v>0</x:v>
      </x:c>
      <x:c r="U46" s="10">
        <x:v>0.1</x:v>
      </x:c>
      <x:c r="V46" s="10">
        <x:v>0</x:v>
      </x:c>
      <x:c r="W46" s="10">
        <x:v>0</x:v>
      </x:c>
      <x:c r="X46" s="19">
        <x:v>0.3294</x:v>
      </x:c>
      <x:c r="Y46" s="22">
        <x:v>0</x:v>
      </x:c>
      <x:c r="Z46" s="22">
        <x:v>0</x:v>
      </x:c>
      <x:c r="AA46" s="22">
        <x:v>0</x:v>
      </x:c>
      <x:c r="AB46" s="22">
        <x:v>0</x:v>
      </x:c>
      <x:c r="AC46" s="16">
        <x:v>0</x:v>
      </x:c>
      <x:c r="AD46" s="10">
        <x:v>0.0333</x:v>
      </x:c>
      <x:c r="AE46" s="10">
        <x:v>0.0333</x:v>
      </x:c>
      <x:c r="AF46" s="2" t="s">
        <x:v>35</x:v>
      </x:c>
    </x:row>
    <x:row r="47">
      <x:c r="A47" s="4" t="s">
        <x:v>167</x:v>
      </x:c>
      <x:c r="B47" s="4" t="s">
        <x:v>168</x:v>
      </x:c>
      <x:c r="C47" s="4" t="s">
        <x:v>169</x:v>
      </x:c>
      <x:c r="D47" s="6"/>
      <x:c r="E47" s="6"/>
      <x:c r="F47" s="6"/>
      <x:c r="G47" s="6"/>
      <x:c r="H47" s="6"/>
      <x:c r="I47" s="6"/>
      <x:c r="J47" s="6"/>
      <x:c r="K47" s="6"/>
      <x:c r="L47" s="6"/>
      <x:c r="M47" s="8">
        <x:v>1</x:v>
      </x:c>
      <x:c r="N47" s="6"/>
      <x:c r="O47" s="6"/>
      <x:c r="P47" s="6"/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0.037</x:v>
      </x:c>
      <x:c r="AA47" s="10">
        <x:v>0</x:v>
      </x:c>
      <x:c r="AB47" s="10">
        <x:v>0</x:v>
      </x:c>
      <x:c r="AC47" s="13">
        <x:v>0</x:v>
      </x:c>
      <x:c r="AD47" s="10">
        <x:v>0.0031</x:v>
      </x:c>
      <x:c r="AE47" s="10">
        <x:v>0.0031</x:v>
      </x:c>
      <x:c r="AF47" s="2" t="s">
        <x:v>35</x:v>
      </x:c>
    </x:row>
    <x:row r="48">
      <x:c r="A48" s="4" t="s">
        <x:v>170</x:v>
      </x:c>
      <x:c r="B48" s="4" t="s">
        <x:v>171</x:v>
      </x:c>
      <x:c r="C48" s="4" t="s">
        <x:v>172</x:v>
      </x:c>
      <x:c r="D48" s="6"/>
      <x:c r="E48" s="6"/>
      <x:c r="F48" s="6"/>
      <x:c r="G48" s="6"/>
      <x:c r="H48" s="6"/>
      <x:c r="I48" s="6"/>
      <x:c r="J48" s="6"/>
      <x:c r="K48" s="6"/>
      <x:c r="L48" s="8">
        <x:v>1</x:v>
      </x:c>
      <x:c r="M48" s="6"/>
      <x:c r="N48" s="6"/>
      <x:c r="O48" s="6"/>
      <x:c r="P48" s="6"/>
      <x:c r="Q48" s="10">
        <x:v>0</x:v>
      </x:c>
      <x:c r="R48" s="10">
        <x:v>0</x:v>
      </x:c>
      <x:c r="S48" s="10">
        <x:v>0</x:v>
      </x:c>
      <x:c r="T48" s="10">
        <x:v>0</x:v>
      </x:c>
      <x:c r="U48" s="10">
        <x:v>0</x:v>
      </x:c>
      <x:c r="V48" s="10">
        <x:v>0</x:v>
      </x:c>
      <x:c r="W48" s="10">
        <x:v>0</x:v>
      </x:c>
      <x:c r="X48" s="10">
        <x:v>0</x:v>
      </x:c>
      <x:c r="Y48" s="10">
        <x:v>0.0293</x:v>
      </x:c>
      <x:c r="Z48" s="10">
        <x:v>0</x:v>
      </x:c>
      <x:c r="AA48" s="10">
        <x:v>0</x:v>
      </x:c>
      <x:c r="AB48" s="10">
        <x:v>0</x:v>
      </x:c>
      <x:c r="AC48" s="13">
        <x:v>0</x:v>
      </x:c>
      <x:c r="AD48" s="10">
        <x:v>0.0024</x:v>
      </x:c>
      <x:c r="AE48" s="10">
        <x:v>0.0024</x:v>
      </x:c>
      <x:c r="AF48" s="2" t="s">
        <x:v>35</x:v>
      </x:c>
    </x:row>
    <x:row r="49">
      <x:c r="A49" s="4" t="s">
        <x:v>173</x:v>
      </x:c>
      <x:c r="B49" s="4" t="s">
        <x:v>174</x:v>
      </x:c>
      <x:c r="C49" s="4" t="s">
        <x:v>175</x:v>
      </x:c>
      <x:c r="D49" s="8">
        <x:v>1</x:v>
      </x:c>
      <x:c r="E49" s="6"/>
      <x:c r="F49" s="8">
        <x:v>1</x:v>
      </x:c>
      <x:c r="G49" s="8">
        <x:v>9</x:v>
      </x:c>
      <x:c r="H49" s="8">
        <x:v>2</x:v>
      </x:c>
      <x:c r="I49" s="8">
        <x:v>2</x:v>
      </x:c>
      <x:c r="J49" s="8">
        <x:v>9</x:v>
      </x:c>
      <x:c r="K49" s="8">
        <x:v>1</x:v>
      </x:c>
      <x:c r="L49" s="8">
        <x:v>5</x:v>
      </x:c>
      <x:c r="M49" s="6"/>
      <x:c r="N49" s="8">
        <x:v>1</x:v>
      </x:c>
      <x:c r="O49" s="6"/>
      <x:c r="P49" s="8">
        <x:v>13</x:v>
      </x:c>
      <x:c r="Q49" s="10">
        <x:v>0.0323</x:v>
      </x:c>
      <x:c r="R49" s="10">
        <x:v>0</x:v>
      </x:c>
      <x:c r="S49" s="10">
        <x:v>0.029</x:v>
      </x:c>
      <x:c r="T49" s="19">
        <x:v>0.5</x:v>
      </x:c>
      <x:c r="U49" s="10">
        <x:v>0.0667</x:v>
      </x:c>
      <x:c r="V49" s="10">
        <x:v>0.0645</x:v>
      </x:c>
      <x:c r="W49" s="10">
        <x:v>0.3629</x:v>
      </x:c>
      <x:c r="X49" s="10">
        <x:v>0.042</x:v>
      </x:c>
      <x:c r="Y49" s="19">
        <x:v>0.2392</x:v>
      </x:c>
      <x:c r="Z49" s="22">
        <x:v>0</x:v>
      </x:c>
      <x:c r="AA49" s="19">
        <x:v>0.0317</x:v>
      </x:c>
      <x:c r="AB49" s="10">
        <x:v>0</x:v>
      </x:c>
      <x:c r="AC49" s="13">
        <x:v>0.4194</x:v>
      </x:c>
      <x:c r="AD49" s="10">
        <x:v>0.0747</x:v>
      </x:c>
      <x:c r="AE49" s="10">
        <x:v>0.0747</x:v>
      </x:c>
      <x:c r="AF49" s="2" t="s">
        <x:v>35</x:v>
      </x:c>
    </x:row>
    <x:row r="50">
      <x:c r="A50" s="4" t="s">
        <x:v>176</x:v>
      </x:c>
      <x:c r="B50" s="4" t="s">
        <x:v>177</x:v>
      </x:c>
      <x:c r="C50" s="4" t="s">
        <x:v>178</x:v>
      </x:c>
      <x:c r="D50" s="8">
        <x:v>5</x:v>
      </x:c>
      <x:c r="E50" s="6"/>
      <x:c r="F50" s="6"/>
      <x:c r="G50" s="8">
        <x:v>1</x:v>
      </x:c>
      <x:c r="H50" s="8">
        <x:v>2</x:v>
      </x:c>
      <x:c r="I50" s="8">
        <x:v>1</x:v>
      </x:c>
      <x:c r="J50" s="6"/>
      <x:c r="K50" s="6"/>
      <x:c r="L50" s="6"/>
      <x:c r="M50" s="6"/>
      <x:c r="N50" s="6"/>
      <x:c r="O50" s="8">
        <x:v>2</x:v>
      </x:c>
      <x:c r="P50" s="8">
        <x:v>8</x:v>
      </x:c>
      <x:c r="Q50" s="10">
        <x:v>0.1613</x:v>
      </x:c>
      <x:c r="R50" s="10">
        <x:v>0</x:v>
      </x:c>
      <x:c r="S50" s="10">
        <x:v>0</x:v>
      </x:c>
      <x:c r="T50" s="10">
        <x:v>0.0323</x:v>
      </x:c>
      <x:c r="U50" s="10">
        <x:v>0.0667</x:v>
      </x:c>
      <x:c r="V50" s="10">
        <x:v>0.0323</x:v>
      </x:c>
      <x:c r="W50" s="10">
        <x:v>0</x:v>
      </x:c>
      <x:c r="X50" s="10">
        <x:v>0</x:v>
      </x:c>
      <x:c r="Y50" s="10">
        <x:v>0</x:v>
      </x:c>
      <x:c r="Z50" s="10">
        <x:v>0</x:v>
      </x:c>
      <x:c r="AA50" s="10">
        <x:v>0</x:v>
      </x:c>
      <x:c r="AB50" s="10">
        <x:v>0.058</x:v>
      </x:c>
      <x:c r="AC50" s="13">
        <x:v>0.2581</x:v>
      </x:c>
      <x:c r="AD50" s="10">
        <x:v>0.0292</x:v>
      </x:c>
      <x:c r="AE50" s="10">
        <x:v>0.0292</x:v>
      </x:c>
      <x:c r="AF50" s="2" t="s">
        <x:v>35</x:v>
      </x:c>
    </x:row>
    <x:row r="51">
      <x:c r="A51" s="25" t="s">
        <x:v>179</x:v>
      </x:c>
      <x:c r="B51" s="4" t="s">
        <x:v>180</x:v>
      </x:c>
      <x:c r="C51" s="4" t="s">
        <x:v>181</x:v>
      </x:c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22">
        <x:v>0</x:v>
      </x:c>
      <x:c r="R51" s="22">
        <x:v>0</x:v>
      </x:c>
      <x:c r="S51" s="22">
        <x:v>0</x:v>
      </x:c>
      <x:c r="T51" s="22">
        <x:v>0</x:v>
      </x:c>
      <x:c r="U51" s="22">
        <x:v>0</x:v>
      </x:c>
      <x:c r="V51" s="22">
        <x:v>0</x:v>
      </x:c>
      <x:c r="W51" s="22">
        <x:v>0</x:v>
      </x:c>
      <x:c r="X51" s="22">
        <x:v>0</x:v>
      </x:c>
      <x:c r="Y51" s="22">
        <x:v>0</x:v>
      </x:c>
      <x:c r="Z51" s="22">
        <x:v>0</x:v>
      </x:c>
      <x:c r="AA51" s="22">
        <x:v>0</x:v>
      </x:c>
      <x:c r="AB51" s="22">
        <x:v>0</x:v>
      </x:c>
      <x:c r="AC51" s="16">
        <x:v>0</x:v>
      </x:c>
      <x:c r="AF51" s="2" t="s">
        <x:v>35</x:v>
      </x:c>
    </x:row>
    <x:row r="52">
      <x:c r="A52" s="25" t="s">
        <x:v>182</x:v>
      </x:c>
      <x:c r="B52" s="4" t="s">
        <x:v>183</x:v>
      </x:c>
      <x:c r="C52" s="4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22">
        <x:v>0</x:v>
      </x:c>
      <x:c r="R52" s="22">
        <x:v>0</x:v>
      </x:c>
      <x:c r="S52" s="22">
        <x:v>0</x:v>
      </x:c>
      <x:c r="T52" s="22">
        <x:v>0</x:v>
      </x:c>
      <x:c r="U52" s="22">
        <x:v>0</x:v>
      </x:c>
      <x:c r="V52" s="22">
        <x:v>0</x:v>
      </x:c>
      <x:c r="W52" s="22">
        <x:v>0</x:v>
      </x:c>
      <x:c r="X52" s="22">
        <x:v>0</x:v>
      </x:c>
      <x:c r="Y52" s="22">
        <x:v>0</x:v>
      </x:c>
      <x:c r="Z52" s="22">
        <x:v>0</x:v>
      </x:c>
      <x:c r="AA52" s="22">
        <x:v>0</x:v>
      </x:c>
      <x:c r="AB52" s="22">
        <x:v>0</x:v>
      </x:c>
      <x:c r="AC52" s="16">
        <x:v>0</x:v>
      </x:c>
      <x:c r="AF52" s="2" t="s">
        <x:v>51</x:v>
      </x:c>
    </x:row>
    <x:row r="53">
      <x:c r="A53" s="25" t="s">
        <x:v>184</x:v>
      </x:c>
      <x:c r="B53" s="4" t="s">
        <x:v>185</x:v>
      </x:c>
      <x:c r="C53" s="4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22">
        <x:v>0</x:v>
      </x:c>
      <x:c r="R53" s="22">
        <x:v>0</x:v>
      </x:c>
      <x:c r="S53" s="22">
        <x:v>0</x:v>
      </x:c>
      <x:c r="T53" s="22">
        <x:v>0</x:v>
      </x:c>
      <x:c r="U53" s="22">
        <x:v>0</x:v>
      </x:c>
      <x:c r="V53" s="22">
        <x:v>0</x:v>
      </x:c>
      <x:c r="W53" s="22">
        <x:v>0</x:v>
      </x:c>
      <x:c r="X53" s="22">
        <x:v>0</x:v>
      </x:c>
      <x:c r="Y53" s="22">
        <x:v>0</x:v>
      </x:c>
      <x:c r="Z53" s="22">
        <x:v>0</x:v>
      </x:c>
      <x:c r="AA53" s="22">
        <x:v>0</x:v>
      </x:c>
      <x:c r="AB53" s="22">
        <x:v>0</x:v>
      </x:c>
      <x:c r="AC53" s="16">
        <x:v>0</x:v>
      </x:c>
      <x:c r="AF53" s="2" t="s">
        <x:v>51</x:v>
      </x:c>
    </x:row>
    <x:row r="54">
      <x:c r="A54" s="25" t="s">
        <x:v>186</x:v>
      </x:c>
      <x:c r="B54" s="4" t="s">
        <x:v>187</x:v>
      </x:c>
      <x:c r="C54" s="4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22">
        <x:v>0</x:v>
      </x:c>
      <x:c r="R54" s="22">
        <x:v>0</x:v>
      </x:c>
      <x:c r="S54" s="22">
        <x:v>0</x:v>
      </x:c>
      <x:c r="T54" s="22">
        <x:v>0</x:v>
      </x:c>
      <x:c r="U54" s="22">
        <x:v>0</x:v>
      </x:c>
      <x:c r="V54" s="22">
        <x:v>0</x:v>
      </x:c>
      <x:c r="W54" s="22">
        <x:v>0</x:v>
      </x:c>
      <x:c r="X54" s="22">
        <x:v>0</x:v>
      </x:c>
      <x:c r="Y54" s="22">
        <x:v>0</x:v>
      </x:c>
      <x:c r="Z54" s="22">
        <x:v>0</x:v>
      </x:c>
      <x:c r="AA54" s="22">
        <x:v>0</x:v>
      </x:c>
      <x:c r="AB54" s="22">
        <x:v>0</x:v>
      </x:c>
      <x:c r="AC54" s="16">
        <x:v>0</x:v>
      </x:c>
      <x:c r="AF54" s="2" t="s">
        <x:v>51</x:v>
      </x:c>
    </x:row>
    <x:row r="55">
      <x:c r="A55" s="25" t="s">
        <x:v>188</x:v>
      </x:c>
      <x:c r="B55" s="4" t="s">
        <x:v>189</x:v>
      </x:c>
      <x:c r="C55" s="4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22">
        <x:v>0</x:v>
      </x:c>
      <x:c r="R55" s="22">
        <x:v>0</x:v>
      </x:c>
      <x:c r="S55" s="22">
        <x:v>0</x:v>
      </x:c>
      <x:c r="T55" s="22">
        <x:v>0</x:v>
      </x:c>
      <x:c r="U55" s="22">
        <x:v>0</x:v>
      </x:c>
      <x:c r="V55" s="22">
        <x:v>0</x:v>
      </x:c>
      <x:c r="W55" s="22">
        <x:v>0</x:v>
      </x:c>
      <x:c r="X55" s="22">
        <x:v>0</x:v>
      </x:c>
      <x:c r="Y55" s="22">
        <x:v>0</x:v>
      </x:c>
      <x:c r="Z55" s="22">
        <x:v>0</x:v>
      </x:c>
      <x:c r="AA55" s="22">
        <x:v>0</x:v>
      </x:c>
      <x:c r="AB55" s="22">
        <x:v>0</x:v>
      </x:c>
      <x:c r="AC55" s="16">
        <x:v>0</x:v>
      </x:c>
      <x:c r="AF55" s="2" t="s">
        <x:v>51</x:v>
      </x:c>
    </x:row>
    <x:row r="56">
      <x:c r="A56" s="4" t="s">
        <x:v>190</x:v>
      </x:c>
      <x:c r="B56" s="4" t="s">
        <x:v>191</x:v>
      </x:c>
      <x:c r="C56" s="4" t="s">
        <x:v>192</x:v>
      </x:c>
      <x:c r="D56" s="8">
        <x:v>1</x:v>
      </x:c>
      <x:c r="E56" s="6"/>
      <x:c r="F56" s="8">
        <x:v>3</x:v>
      </x:c>
      <x:c r="G56" s="8">
        <x:v>4</x:v>
      </x:c>
      <x:c r="H56" s="6"/>
      <x:c r="I56" s="8">
        <x:v>2</x:v>
      </x:c>
      <x:c r="J56" s="8">
        <x:v>1</x:v>
      </x:c>
      <x:c r="K56" s="6"/>
      <x:c r="L56" s="8">
        <x:v>4</x:v>
      </x:c>
      <x:c r="M56" s="8">
        <x:v>3</x:v>
      </x:c>
      <x:c r="N56" s="6"/>
      <x:c r="O56" s="6"/>
      <x:c r="P56" s="8">
        <x:v>1</x:v>
      </x:c>
      <x:c r="Q56" s="10">
        <x:v>0.0323</x:v>
      </x:c>
      <x:c r="R56" s="10">
        <x:v>0</x:v>
      </x:c>
      <x:c r="S56" s="10">
        <x:v>0.087</x:v>
      </x:c>
      <x:c r="T56" s="10">
        <x:v>0.129</x:v>
      </x:c>
      <x:c r="U56" s="10">
        <x:v>0</x:v>
      </x:c>
      <x:c r="V56" s="10">
        <x:v>0.0645</x:v>
      </x:c>
      <x:c r="W56" s="10">
        <x:v>0.0403</x:v>
      </x:c>
      <x:c r="X56" s="10">
        <x:v>0</x:v>
      </x:c>
      <x:c r="Y56" s="10">
        <x:v>0.1173</x:v>
      </x:c>
      <x:c r="Z56" s="10">
        <x:v>0.1111</x:v>
      </x:c>
      <x:c r="AA56" s="10">
        <x:v>0</x:v>
      </x:c>
      <x:c r="AB56" s="10">
        <x:v>0</x:v>
      </x:c>
      <x:c r="AC56" s="13">
        <x:v>0.0323</x:v>
      </x:c>
      <x:c r="AD56" s="10">
        <x:v>0.0485</x:v>
      </x:c>
      <x:c r="AE56" s="10">
        <x:v>0.0485</x:v>
      </x:c>
      <x:c r="AF56" s="2" t="s">
        <x:v>35</x:v>
      </x:c>
    </x:row>
    <x:row r="57">
      <x:c r="A57" s="4" t="s">
        <x:v>193</x:v>
      </x:c>
      <x:c r="B57" s="4" t="s">
        <x:v>194</x:v>
      </x:c>
      <x:c r="C57" s="4" t="s">
        <x:v>195</x:v>
      </x:c>
      <x:c r="D57" s="6"/>
      <x:c r="E57" s="6"/>
      <x:c r="F57" s="8">
        <x:v>3</x:v>
      </x:c>
      <x:c r="G57" s="8">
        <x:v>2</x:v>
      </x:c>
      <x:c r="H57" s="6"/>
      <x:c r="I57" s="8">
        <x:v>1</x:v>
      </x:c>
      <x:c r="J57" s="8">
        <x:v>4</x:v>
      </x:c>
      <x:c r="K57" s="6"/>
      <x:c r="L57" s="8">
        <x:v>3</x:v>
      </x:c>
      <x:c r="M57" s="8">
        <x:v>3</x:v>
      </x:c>
      <x:c r="N57" s="8">
        <x:v>-1</x:v>
      </x:c>
      <x:c r="O57" s="6"/>
      <x:c r="P57" s="8">
        <x:v>1</x:v>
      </x:c>
      <x:c r="Q57" s="10">
        <x:v>0</x:v>
      </x:c>
      <x:c r="R57" s="10">
        <x:v>0</x:v>
      </x:c>
      <x:c r="S57" s="10">
        <x:v>0.087</x:v>
      </x:c>
      <x:c r="T57" s="10">
        <x:v>0.0645</x:v>
      </x:c>
      <x:c r="U57" s="10">
        <x:v>0</x:v>
      </x:c>
      <x:c r="V57" s="10">
        <x:v>0.0323</x:v>
      </x:c>
      <x:c r="W57" s="10">
        <x:v>0.1613</x:v>
      </x:c>
      <x:c r="X57" s="10">
        <x:v>0</x:v>
      </x:c>
      <x:c r="Y57" s="10">
        <x:v>0.088</x:v>
      </x:c>
      <x:c r="Z57" s="19">
        <x:v>0.2381</x:v>
      </x:c>
      <x:c r="AA57" s="22">
        <x:v>0</x:v>
      </x:c>
      <x:c r="AB57" s="22">
        <x:v>0</x:v>
      </x:c>
      <x:c r="AC57" s="16">
        <x:v>0.0556</x:v>
      </x:c>
      <x:c r="AD57" s="10">
        <x:v>0.0481</x:v>
      </x:c>
      <x:c r="AE57" s="10">
        <x:v>0.0481</x:v>
      </x:c>
      <x:c r="AF57" s="2" t="s">
        <x:v>35</x:v>
      </x:c>
    </x:row>
    <x:row r="58">
      <x:c r="A58" s="4" t="s">
        <x:v>196</x:v>
      </x:c>
      <x:c r="B58" s="4" t="s">
        <x:v>197</x:v>
      </x:c>
      <x:c r="C58" s="4" t="s">
        <x:v>198</x:v>
      </x:c>
      <x:c r="D58" s="6"/>
      <x:c r="E58" s="8">
        <x:v>3</x:v>
      </x:c>
      <x:c r="F58" s="8">
        <x:v>1</x:v>
      </x:c>
      <x:c r="G58" s="8">
        <x:v>3</x:v>
      </x:c>
      <x:c r="H58" s="6"/>
      <x:c r="I58" s="8">
        <x:v>1</x:v>
      </x:c>
      <x:c r="J58" s="6"/>
      <x:c r="K58" s="8">
        <x:v>1</x:v>
      </x:c>
      <x:c r="L58" s="8">
        <x:v>2</x:v>
      </x:c>
      <x:c r="M58" s="8">
        <x:v>2</x:v>
      </x:c>
      <x:c r="N58" s="8">
        <x:v>-1</x:v>
      </x:c>
      <x:c r="O58" s="6"/>
      <x:c r="P58" s="8">
        <x:v>1</x:v>
      </x:c>
      <x:c r="Q58" s="10">
        <x:v>0</x:v>
      </x:c>
      <x:c r="R58" s="10">
        <x:v>0.0968</x:v>
      </x:c>
      <x:c r="S58" s="10">
        <x:v>0.029</x:v>
      </x:c>
      <x:c r="T58" s="10">
        <x:v>0.0968</x:v>
      </x:c>
      <x:c r="U58" s="10">
        <x:v>0</x:v>
      </x:c>
      <x:c r="V58" s="10">
        <x:v>0.0323</x:v>
      </x:c>
      <x:c r="W58" s="10">
        <x:v>0</x:v>
      </x:c>
      <x:c r="X58" s="10">
        <x:v>0.042</x:v>
      </x:c>
      <x:c r="Y58" s="10">
        <x:v>0.0587</x:v>
      </x:c>
      <x:c r="Z58" s="10">
        <x:v>0.0741</x:v>
      </x:c>
      <x:c r="AA58" s="10">
        <x:v>-0.0307</x:v>
      </x:c>
      <x:c r="AB58" s="10">
        <x:v>0</x:v>
      </x:c>
      <x:c r="AC58" s="13">
        <x:v>0.0323</x:v>
      </x:c>
      <x:c r="AD58" s="10">
        <x:v>0.0333</x:v>
      </x:c>
      <x:c r="AE58" s="10">
        <x:v>0.0333</x:v>
      </x:c>
      <x:c r="AF58" s="2" t="s">
        <x:v>35</x:v>
      </x:c>
    </x:row>
    <x:row r="59">
      <x:c r="A59" s="4" t="s">
        <x:v>199</x:v>
      </x:c>
      <x:c r="B59" s="4" t="s">
        <x:v>200</x:v>
      </x:c>
      <x:c r="C59" s="4" t="s">
        <x:v>201</x:v>
      </x:c>
      <x:c r="D59" s="6"/>
      <x:c r="E59" s="6"/>
      <x:c r="F59" s="8">
        <x:v>1</x:v>
      </x:c>
      <x:c r="G59" s="8">
        <x:v>2</x:v>
      </x:c>
      <x:c r="H59" s="6"/>
      <x:c r="I59" s="8">
        <x:v>1</x:v>
      </x:c>
      <x:c r="J59" s="8">
        <x:v>3</x:v>
      </x:c>
      <x:c r="K59" s="8">
        <x:v>1</x:v>
      </x:c>
      <x:c r="L59" s="8">
        <x:v>2</x:v>
      </x:c>
      <x:c r="M59" s="8">
        <x:v>2</x:v>
      </x:c>
      <x:c r="N59" s="6"/>
      <x:c r="O59" s="8">
        <x:v>1</x:v>
      </x:c>
      <x:c r="P59" s="8">
        <x:v>1</x:v>
      </x:c>
      <x:c r="Q59" s="10">
        <x:v>0</x:v>
      </x:c>
      <x:c r="R59" s="10">
        <x:v>0</x:v>
      </x:c>
      <x:c r="S59" s="10">
        <x:v>0.029</x:v>
      </x:c>
      <x:c r="T59" s="10">
        <x:v>0.0645</x:v>
      </x:c>
      <x:c r="U59" s="10">
        <x:v>0</x:v>
      </x:c>
      <x:c r="V59" s="10">
        <x:v>0.0323</x:v>
      </x:c>
      <x:c r="W59" s="10">
        <x:v>0.121</x:v>
      </x:c>
      <x:c r="X59" s="10">
        <x:v>0.042</x:v>
      </x:c>
      <x:c r="Y59" s="10">
        <x:v>0.0587</x:v>
      </x:c>
      <x:c r="Z59" s="10">
        <x:v>0.0741</x:v>
      </x:c>
      <x:c r="AA59" s="10">
        <x:v>0</x:v>
      </x:c>
      <x:c r="AB59" s="10">
        <x:v>0.029</x:v>
      </x:c>
      <x:c r="AC59" s="13">
        <x:v>0.0323</x:v>
      </x:c>
      <x:c r="AD59" s="10">
        <x:v>0.0376</x:v>
      </x:c>
      <x:c r="AE59" s="10">
        <x:v>0.0376</x:v>
      </x:c>
      <x:c r="AF59" s="2" t="s">
        <x:v>35</x:v>
      </x:c>
    </x:row>
    <x:row r="60">
      <x:c r="A60" s="4" t="s">
        <x:v>202</x:v>
      </x:c>
      <x:c r="B60" s="4" t="s">
        <x:v>203</x:v>
      </x:c>
      <x:c r="C60" s="4" t="s">
        <x:v>204</x:v>
      </x:c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10">
        <x:v>0</x:v>
      </x:c>
      <x:c r="R60" s="10">
        <x:v>0</x:v>
      </x:c>
      <x:c r="S60" s="10">
        <x:v>0</x:v>
      </x:c>
      <x:c r="T60" s="10">
        <x:v>0</x:v>
      </x:c>
      <x:c r="U60" s="10">
        <x:v>0</x:v>
      </x:c>
      <x:c r="V60" s="10">
        <x:v>0</x:v>
      </x:c>
      <x:c r="W60" s="10">
        <x:v>0</x:v>
      </x:c>
      <x:c r="X60" s="10">
        <x:v>0</x:v>
      </x:c>
      <x:c r="Y60" s="10">
        <x:v>0</x:v>
      </x:c>
      <x:c r="Z60" s="10">
        <x:v>0</x:v>
      </x:c>
      <x:c r="AA60" s="10">
        <x:v>0</x:v>
      </x:c>
      <x:c r="AB60" s="10">
        <x:v>0</x:v>
      </x:c>
      <x:c r="AC60" s="13">
        <x:v>0</x:v>
      </x:c>
      <x:c r="AF60" s="2" t="s">
        <x:v>35</x:v>
      </x:c>
    </x:row>
    <x:row r="61">
      <x:c r="A61" s="4" t="s">
        <x:v>205</x:v>
      </x:c>
      <x:c r="B61" s="4" t="s">
        <x:v>206</x:v>
      </x:c>
      <x:c r="C61" s="4" t="s">
        <x:v>207</x:v>
      </x:c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22">
        <x:v>0</x:v>
      </x:c>
      <x:c r="R61" s="22">
        <x:v>0</x:v>
      </x:c>
      <x:c r="S61" s="22">
        <x:v>0</x:v>
      </x:c>
      <x:c r="T61" s="22">
        <x:v>0</x:v>
      </x:c>
      <x:c r="U61" s="22">
        <x:v>0</x:v>
      </x:c>
      <x:c r="V61" s="22">
        <x:v>0</x:v>
      </x:c>
      <x:c r="W61" s="22">
        <x:v>0</x:v>
      </x:c>
      <x:c r="X61" s="22">
        <x:v>0</x:v>
      </x:c>
      <x:c r="Y61" s="22">
        <x:v>0</x:v>
      </x:c>
      <x:c r="Z61" s="22">
        <x:v>0</x:v>
      </x:c>
      <x:c r="AA61" s="22">
        <x:v>0</x:v>
      </x:c>
      <x:c r="AB61" s="22">
        <x:v>0</x:v>
      </x:c>
      <x:c r="AC61" s="16">
        <x:v>0</x:v>
      </x:c>
      <x:c r="AF61" s="2" t="s">
        <x:v>35</x:v>
      </x:c>
    </x:row>
    <x:row r="62">
      <x:c r="A62" s="4" t="s">
        <x:v>208</x:v>
      </x:c>
      <x:c r="B62" s="4" t="s">
        <x:v>209</x:v>
      </x:c>
      <x:c r="C62" s="4" t="s">
        <x:v>210</x:v>
      </x:c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10">
        <x:v>0</x:v>
      </x:c>
      <x:c r="R62" s="10">
        <x:v>0</x:v>
      </x:c>
      <x:c r="S62" s="10">
        <x:v>0</x:v>
      </x:c>
      <x:c r="T62" s="10">
        <x:v>0</x:v>
      </x:c>
      <x:c r="U62" s="10">
        <x:v>0</x:v>
      </x:c>
      <x:c r="V62" s="10">
        <x:v>0</x:v>
      </x:c>
      <x:c r="W62" s="10">
        <x:v>0</x:v>
      </x:c>
      <x:c r="X62" s="10">
        <x:v>0</x:v>
      </x:c>
      <x:c r="Y62" s="10">
        <x:v>0</x:v>
      </x:c>
      <x:c r="Z62" s="10">
        <x:v>0</x:v>
      </x:c>
      <x:c r="AA62" s="10">
        <x:v>0</x:v>
      </x:c>
      <x:c r="AB62" s="10">
        <x:v>0</x:v>
      </x:c>
      <x:c r="AC62" s="13">
        <x:v>0</x:v>
      </x:c>
      <x:c r="AF62" s="2" t="s">
        <x:v>35</x:v>
      </x:c>
    </x:row>
    <x:row r="63">
      <x:c r="A63" s="4" t="s">
        <x:v>211</x:v>
      </x:c>
      <x:c r="B63" s="4" t="s">
        <x:v>212</x:v>
      </x:c>
      <x:c r="C63" s="4" t="s">
        <x:v>213</x:v>
      </x:c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22">
        <x:v>0</x:v>
      </x:c>
      <x:c r="R63" s="22">
        <x:v>0</x:v>
      </x:c>
      <x:c r="S63" s="22">
        <x:v>0</x:v>
      </x:c>
      <x:c r="T63" s="22">
        <x:v>0</x:v>
      </x:c>
      <x:c r="U63" s="22">
        <x:v>0</x:v>
      </x:c>
      <x:c r="V63" s="22">
        <x:v>0</x:v>
      </x:c>
      <x:c r="W63" s="22">
        <x:v>0</x:v>
      </x:c>
      <x:c r="X63" s="22">
        <x:v>0</x:v>
      </x:c>
      <x:c r="Y63" s="22">
        <x:v>0</x:v>
      </x:c>
      <x:c r="Z63" s="22">
        <x:v>0</x:v>
      </x:c>
      <x:c r="AA63" s="22">
        <x:v>0</x:v>
      </x:c>
      <x:c r="AB63" s="22">
        <x:v>0</x:v>
      </x:c>
      <x:c r="AC63" s="16">
        <x:v>0</x:v>
      </x:c>
      <x:c r="AF63" s="2" t="s">
        <x:v>51</x:v>
      </x:c>
    </x:row>
    <x:row r="64">
      <x:c r="A64" s="4" t="s">
        <x:v>214</x:v>
      </x:c>
      <x:c r="B64" s="4" t="s">
        <x:v>215</x:v>
      </x:c>
      <x:c r="C64" s="4" t="s">
        <x:v>216</x:v>
      </x:c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22">
        <x:v>0</x:v>
      </x:c>
      <x:c r="R64" s="22">
        <x:v>0</x:v>
      </x:c>
      <x:c r="S64" s="22">
        <x:v>0</x:v>
      </x:c>
      <x:c r="T64" s="22">
        <x:v>0</x:v>
      </x:c>
      <x:c r="U64" s="22">
        <x:v>0</x:v>
      </x:c>
      <x:c r="V64" s="22">
        <x:v>0</x:v>
      </x:c>
      <x:c r="W64" s="22">
        <x:v>0</x:v>
      </x:c>
      <x:c r="X64" s="22">
        <x:v>0</x:v>
      </x:c>
      <x:c r="Y64" s="22">
        <x:v>0</x:v>
      </x:c>
      <x:c r="Z64" s="22">
        <x:v>0</x:v>
      </x:c>
      <x:c r="AA64" s="22">
        <x:v>0</x:v>
      </x:c>
      <x:c r="AB64" s="22">
        <x:v>0</x:v>
      </x:c>
      <x:c r="AC64" s="16">
        <x:v>0</x:v>
      </x:c>
      <x:c r="AF64" s="2" t="s">
        <x:v>35</x:v>
      </x:c>
    </x:row>
    <x:row r="65">
      <x:c r="A65" s="4" t="s">
        <x:v>217</x:v>
      </x:c>
      <x:c r="B65" s="4" t="s">
        <x:v>218</x:v>
      </x:c>
      <x:c r="C65" s="4" t="s">
        <x:v>219</x:v>
      </x:c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22">
        <x:v>0</x:v>
      </x:c>
      <x:c r="R65" s="22">
        <x:v>0</x:v>
      </x:c>
      <x:c r="S65" s="22">
        <x:v>0</x:v>
      </x:c>
      <x:c r="T65" s="22">
        <x:v>0</x:v>
      </x:c>
      <x:c r="U65" s="22">
        <x:v>0</x:v>
      </x:c>
      <x:c r="V65" s="22">
        <x:v>0</x:v>
      </x:c>
      <x:c r="W65" s="22">
        <x:v>0</x:v>
      </x:c>
      <x:c r="X65" s="22">
        <x:v>0</x:v>
      </x:c>
      <x:c r="Y65" s="22">
        <x:v>0</x:v>
      </x:c>
      <x:c r="Z65" s="22">
        <x:v>0</x:v>
      </x:c>
      <x:c r="AA65" s="22">
        <x:v>0</x:v>
      </x:c>
      <x:c r="AB65" s="22">
        <x:v>0</x:v>
      </x:c>
      <x:c r="AC65" s="16">
        <x:v>0</x:v>
      </x:c>
      <x:c r="AF65" s="2" t="s">
        <x:v>35</x:v>
      </x:c>
    </x:row>
    <x:row r="66">
      <x:c r="A66" s="4" t="s">
        <x:v>220</x:v>
      </x:c>
      <x:c r="B66" s="4" t="s">
        <x:v>221</x:v>
      </x:c>
      <x:c r="C66" s="4" t="s">
        <x:v>222</x:v>
      </x:c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22">
        <x:v>0</x:v>
      </x:c>
      <x:c r="R66" s="22">
        <x:v>0</x:v>
      </x:c>
      <x:c r="S66" s="22">
        <x:v>0</x:v>
      </x:c>
      <x:c r="T66" s="22">
        <x:v>0</x:v>
      </x:c>
      <x:c r="U66" s="22">
        <x:v>0</x:v>
      </x:c>
      <x:c r="V66" s="22">
        <x:v>0</x:v>
      </x:c>
      <x:c r="W66" s="22">
        <x:v>0</x:v>
      </x:c>
      <x:c r="X66" s="22">
        <x:v>0</x:v>
      </x:c>
      <x:c r="Y66" s="22">
        <x:v>0</x:v>
      </x:c>
      <x:c r="Z66" s="22">
        <x:v>0</x:v>
      </x:c>
      <x:c r="AA66" s="22">
        <x:v>0</x:v>
      </x:c>
      <x:c r="AB66" s="22">
        <x:v>0</x:v>
      </x:c>
      <x:c r="AC66" s="16">
        <x:v>0</x:v>
      </x:c>
      <x:c r="AF66" s="2" t="s">
        <x:v>51</x:v>
      </x:c>
    </x:row>
    <x:row r="67">
      <x:c r="A67" s="4" t="s">
        <x:v>223</x:v>
      </x:c>
      <x:c r="B67" s="4" t="s">
        <x:v>224</x:v>
      </x:c>
      <x:c r="C67" s="4" t="s">
        <x:v>225</x:v>
      </x:c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22">
        <x:v>0</x:v>
      </x:c>
      <x:c r="R67" s="22">
        <x:v>0</x:v>
      </x:c>
      <x:c r="S67" s="22">
        <x:v>0</x:v>
      </x:c>
      <x:c r="T67" s="22">
        <x:v>0</x:v>
      </x:c>
      <x:c r="U67" s="22">
        <x:v>0</x:v>
      </x:c>
      <x:c r="V67" s="22">
        <x:v>0</x:v>
      </x:c>
      <x:c r="W67" s="22">
        <x:v>0</x:v>
      </x:c>
      <x:c r="X67" s="22">
        <x:v>0</x:v>
      </x:c>
      <x:c r="Y67" s="22">
        <x:v>0</x:v>
      </x:c>
      <x:c r="Z67" s="22">
        <x:v>0</x:v>
      </x:c>
      <x:c r="AA67" s="22">
        <x:v>0</x:v>
      </x:c>
      <x:c r="AB67" s="22">
        <x:v>0</x:v>
      </x:c>
      <x:c r="AC67" s="16">
        <x:v>0</x:v>
      </x:c>
      <x:c r="AF67" s="2" t="s">
        <x:v>35</x:v>
      </x:c>
    </x:row>
    <x:row r="68">
      <x:c r="A68" s="4" t="s">
        <x:v>226</x:v>
      </x:c>
      <x:c r="B68" s="4" t="s">
        <x:v>227</x:v>
      </x:c>
      <x:c r="C68" s="4" t="s">
        <x:v>228</x:v>
      </x:c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10">
        <x:v>0</x:v>
      </x:c>
      <x:c r="R68" s="10">
        <x:v>0</x:v>
      </x:c>
      <x:c r="S68" s="10">
        <x:v>0</x:v>
      </x:c>
      <x:c r="T68" s="10">
        <x:v>0</x:v>
      </x:c>
      <x:c r="U68" s="10">
        <x:v>0</x:v>
      </x:c>
      <x:c r="V68" s="10">
        <x:v>0</x:v>
      </x:c>
      <x:c r="W68" s="10">
        <x:v>0</x:v>
      </x:c>
      <x:c r="X68" s="10">
        <x:v>0</x:v>
      </x:c>
      <x:c r="Y68" s="10">
        <x:v>0</x:v>
      </x:c>
      <x:c r="Z68" s="10">
        <x:v>0</x:v>
      </x:c>
      <x:c r="AA68" s="10">
        <x:v>0</x:v>
      </x:c>
      <x:c r="AB68" s="10">
        <x:v>0</x:v>
      </x:c>
      <x:c r="AC68" s="13">
        <x:v>0</x:v>
      </x:c>
      <x:c r="AF68" s="2" t="s">
        <x:v>51</x:v>
      </x:c>
    </x:row>
    <x:row r="69">
      <x:c r="A69" s="4" t="s">
        <x:v>229</x:v>
      </x:c>
      <x:c r="B69" s="4" t="s">
        <x:v>230</x:v>
      </x:c>
      <x:c r="C69" s="4" t="s">
        <x:v>231</x:v>
      </x:c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22">
        <x:v>0</x:v>
      </x:c>
      <x:c r="R69" s="22">
        <x:v>0</x:v>
      </x:c>
      <x:c r="S69" s="22">
        <x:v>0</x:v>
      </x:c>
      <x:c r="T69" s="22">
        <x:v>0</x:v>
      </x:c>
      <x:c r="U69" s="22">
        <x:v>0</x:v>
      </x:c>
      <x:c r="V69" s="22">
        <x:v>0</x:v>
      </x:c>
      <x:c r="W69" s="22">
        <x:v>0</x:v>
      </x:c>
      <x:c r="X69" s="22">
        <x:v>0</x:v>
      </x:c>
      <x:c r="Y69" s="22">
        <x:v>0</x:v>
      </x:c>
      <x:c r="Z69" s="22">
        <x:v>0</x:v>
      </x:c>
      <x:c r="AA69" s="22">
        <x:v>0</x:v>
      </x:c>
      <x:c r="AB69" s="22">
        <x:v>0</x:v>
      </x:c>
      <x:c r="AC69" s="16">
        <x:v>0</x:v>
      </x:c>
      <x:c r="AF69" s="2" t="s">
        <x:v>35</x:v>
      </x:c>
    </x:row>
    <x:row r="70">
      <x:c r="A70" s="4" t="s">
        <x:v>232</x:v>
      </x:c>
      <x:c r="B70" s="4" t="s">
        <x:v>233</x:v>
      </x:c>
      <x:c r="C70" s="4" t="s">
        <x:v>234</x:v>
      </x:c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22">
        <x:v>0</x:v>
      </x:c>
      <x:c r="R70" s="22">
        <x:v>0</x:v>
      </x:c>
      <x:c r="S70" s="22">
        <x:v>0</x:v>
      </x:c>
      <x:c r="T70" s="22">
        <x:v>0</x:v>
      </x:c>
      <x:c r="U70" s="22">
        <x:v>0</x:v>
      </x:c>
      <x:c r="V70" s="22">
        <x:v>0</x:v>
      </x:c>
      <x:c r="W70" s="22">
        <x:v>0</x:v>
      </x:c>
      <x:c r="X70" s="22">
        <x:v>0</x:v>
      </x:c>
      <x:c r="Y70" s="22">
        <x:v>0</x:v>
      </x:c>
      <x:c r="Z70" s="22">
        <x:v>0</x:v>
      </x:c>
      <x:c r="AA70" s="22">
        <x:v>0</x:v>
      </x:c>
      <x:c r="AB70" s="22">
        <x:v>0</x:v>
      </x:c>
      <x:c r="AC70" s="16">
        <x:v>0</x:v>
      </x:c>
      <x:c r="AF70" s="2" t="s">
        <x:v>35</x:v>
      </x:c>
    </x:row>
    <x:row r="71">
      <x:c r="A71" s="4" t="s">
        <x:v>235</x:v>
      </x:c>
      <x:c r="B71" s="4" t="s">
        <x:v>236</x:v>
      </x:c>
      <x:c r="C71" s="4" t="s">
        <x:v>237</x:v>
      </x:c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3">
        <x:v>0</x:v>
      </x:c>
      <x:c r="AF71" s="2" t="s">
        <x:v>35</x:v>
      </x:c>
    </x:row>
    <x:row r="72">
      <x:c r="A72" s="4" t="s">
        <x:v>238</x:v>
      </x:c>
      <x:c r="B72" s="4" t="s">
        <x:v>239</x:v>
      </x:c>
      <x:c r="C72" s="4" t="s">
        <x:v>240</x:v>
      </x:c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10">
        <x:v>0</x:v>
      </x:c>
      <x:c r="R72" s="10">
        <x:v>0</x:v>
      </x:c>
      <x:c r="S72" s="10">
        <x:v>0</x:v>
      </x:c>
      <x:c r="T72" s="10">
        <x:v>0</x:v>
      </x:c>
      <x:c r="U72" s="10">
        <x:v>0</x:v>
      </x:c>
      <x:c r="V72" s="10">
        <x:v>0</x:v>
      </x:c>
      <x:c r="W72" s="10">
        <x:v>0</x:v>
      </x:c>
      <x:c r="X72" s="10">
        <x:v>0</x:v>
      </x:c>
      <x:c r="Y72" s="10">
        <x:v>0</x:v>
      </x:c>
      <x:c r="Z72" s="10">
        <x:v>0</x:v>
      </x:c>
      <x:c r="AA72" s="10">
        <x:v>0</x:v>
      </x:c>
      <x:c r="AB72" s="10">
        <x:v>0</x:v>
      </x:c>
      <x:c r="AC72" s="13">
        <x:v>0</x:v>
      </x:c>
      <x:c r="AF72" s="2" t="s">
        <x:v>35</x:v>
      </x:c>
    </x:row>
    <x:row r="73">
      <x:c r="A73" s="4" t="s">
        <x:v>241</x:v>
      </x:c>
      <x:c r="B73" s="4" t="s">
        <x:v>242</x:v>
      </x:c>
      <x:c r="C73" s="4" t="s">
        <x:v>243</x:v>
      </x:c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3">
        <x:v>0</x:v>
      </x:c>
      <x:c r="AF73" s="2" t="s">
        <x:v>35</x:v>
      </x:c>
    </x:row>
    <x:row r="74">
      <x:c r="A74" s="4" t="s">
        <x:v>244</x:v>
      </x:c>
      <x:c r="B74" s="4" t="s">
        <x:v>245</x:v>
      </x:c>
      <x:c r="C74" s="4" t="s">
        <x:v>246</x:v>
      </x:c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22">
        <x:v>0</x:v>
      </x:c>
      <x:c r="R74" s="22">
        <x:v>0</x:v>
      </x:c>
      <x:c r="S74" s="22">
        <x:v>0</x:v>
      </x:c>
      <x:c r="T74" s="22">
        <x:v>0</x:v>
      </x:c>
      <x:c r="U74" s="22">
        <x:v>0</x:v>
      </x:c>
      <x:c r="V74" s="22">
        <x:v>0</x:v>
      </x:c>
      <x:c r="W74" s="22">
        <x:v>0</x:v>
      </x:c>
      <x:c r="X74" s="22">
        <x:v>0</x:v>
      </x:c>
      <x:c r="Y74" s="22">
        <x:v>0</x:v>
      </x:c>
      <x:c r="Z74" s="22">
        <x:v>0</x:v>
      </x:c>
      <x:c r="AA74" s="22">
        <x:v>0</x:v>
      </x:c>
      <x:c r="AB74" s="22">
        <x:v>0</x:v>
      </x:c>
      <x:c r="AC74" s="16">
        <x:v>0</x:v>
      </x:c>
      <x:c r="AF74" s="2" t="s">
        <x:v>35</x:v>
      </x:c>
    </x:row>
    <x:row r="75">
      <x:c r="A75" s="4" t="s">
        <x:v>247</x:v>
      </x:c>
      <x:c r="B75" s="4" t="s">
        <x:v>248</x:v>
      </x:c>
      <x:c r="C75" s="4" t="s">
        <x:v>249</x:v>
      </x:c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22">
        <x:v>0</x:v>
      </x:c>
      <x:c r="R75" s="22">
        <x:v>0</x:v>
      </x:c>
      <x:c r="S75" s="22">
        <x:v>0</x:v>
      </x:c>
      <x:c r="T75" s="22">
        <x:v>0</x:v>
      </x:c>
      <x:c r="U75" s="22">
        <x:v>0</x:v>
      </x:c>
      <x:c r="V75" s="22">
        <x:v>0</x:v>
      </x:c>
      <x:c r="W75" s="22">
        <x:v>0</x:v>
      </x:c>
      <x:c r="X75" s="22">
        <x:v>0</x:v>
      </x:c>
      <x:c r="Y75" s="22">
        <x:v>0</x:v>
      </x:c>
      <x:c r="Z75" s="22">
        <x:v>0</x:v>
      </x:c>
      <x:c r="AA75" s="22">
        <x:v>0</x:v>
      </x:c>
      <x:c r="AB75" s="22">
        <x:v>0</x:v>
      </x:c>
      <x:c r="AC75" s="16">
        <x:v>0</x:v>
      </x:c>
      <x:c r="AF75" s="2" t="s">
        <x:v>35</x:v>
      </x:c>
    </x:row>
    <x:row r="76">
      <x:c r="A76" s="4" t="s">
        <x:v>250</x:v>
      </x:c>
      <x:c r="B76" s="4" t="s">
        <x:v>251</x:v>
      </x:c>
      <x:c r="C76" s="4" t="s">
        <x:v>252</x:v>
      </x:c>
      <x:c r="D76" s="8">
        <x:v>17</x:v>
      </x:c>
      <x:c r="E76" s="8">
        <x:v>10</x:v>
      </x:c>
      <x:c r="F76" s="8">
        <x:v>14</x:v>
      </x:c>
      <x:c r="G76" s="8">
        <x:v>23</x:v>
      </x:c>
      <x:c r="H76" s="8">
        <x:v>13</x:v>
      </x:c>
      <x:c r="I76" s="8">
        <x:v>6</x:v>
      </x:c>
      <x:c r="J76" s="8">
        <x:v>-3</x:v>
      </x:c>
      <x:c r="K76" s="8">
        <x:v>21</x:v>
      </x:c>
      <x:c r="L76" s="8">
        <x:v>11</x:v>
      </x:c>
      <x:c r="M76" s="8">
        <x:v>9</x:v>
      </x:c>
      <x:c r="N76" s="8">
        <x:v>12</x:v>
      </x:c>
      <x:c r="O76" s="8">
        <x:v>21</x:v>
      </x:c>
      <x:c r="P76" s="8">
        <x:v>13</x:v>
      </x:c>
      <x:c r="Q76" s="10">
        <x:v>0.5484</x:v>
      </x:c>
      <x:c r="R76" s="10">
        <x:v>0.3226</x:v>
      </x:c>
      <x:c r="S76" s="10">
        <x:v>0.4058</x:v>
      </x:c>
      <x:c r="T76" s="10">
        <x:v>0.7419</x:v>
      </x:c>
      <x:c r="U76" s="10">
        <x:v>0.4333</x:v>
      </x:c>
      <x:c r="V76" s="10">
        <x:v>0.1935</x:v>
      </x:c>
      <x:c r="W76" s="10">
        <x:v>-0.121</x:v>
      </x:c>
      <x:c r="X76" s="10">
        <x:v>0.8824</x:v>
      </x:c>
      <x:c r="Y76" s="10">
        <x:v>0.3226</x:v>
      </x:c>
      <x:c r="Z76" s="10">
        <x:v>0.3333</x:v>
      </x:c>
      <x:c r="AA76" s="10">
        <x:v>0.3687</x:v>
      </x:c>
      <x:c r="AB76" s="10">
        <x:v>0.6087</x:v>
      </x:c>
      <x:c r="AC76" s="13">
        <x:v>0.4194</x:v>
      </x:c>
      <x:c r="AD76" s="10">
        <x:v>0.42</x:v>
      </x:c>
      <x:c r="AE76" s="10">
        <x:v>0.42</x:v>
      </x:c>
      <x:c r="AF76" s="2" t="s">
        <x:v>35</x:v>
      </x:c>
    </x:row>
    <x:row r="77">
      <x:c r="A77" s="4" t="s">
        <x:v>253</x:v>
      </x:c>
      <x:c r="B77" s="4" t="s">
        <x:v>254</x:v>
      </x:c>
      <x:c r="C77" s="4" t="s">
        <x:v>255</x:v>
      </x:c>
      <x:c r="D77" s="6"/>
      <x:c r="E77" s="8">
        <x:v>1</x:v>
      </x:c>
      <x:c r="F77" s="6"/>
      <x:c r="G77" s="6"/>
      <x:c r="H77" s="8">
        <x:v>1</x:v>
      </x:c>
      <x:c r="I77" s="6"/>
      <x:c r="J77" s="6"/>
      <x:c r="K77" s="6"/>
      <x:c r="L77" s="8">
        <x:v>2</x:v>
      </x:c>
      <x:c r="M77" s="6"/>
      <x:c r="N77" s="6"/>
      <x:c r="O77" s="8">
        <x:v>1</x:v>
      </x:c>
      <x:c r="P77" s="6"/>
      <x:c r="Q77" s="10">
        <x:v>0</x:v>
      </x:c>
      <x:c r="R77" s="10">
        <x:v>0.0323</x:v>
      </x:c>
      <x:c r="S77" s="10">
        <x:v>0</x:v>
      </x:c>
      <x:c r="T77" s="10">
        <x:v>0</x:v>
      </x:c>
      <x:c r="U77" s="10">
        <x:v>0.0333</x:v>
      </x:c>
      <x:c r="V77" s="10">
        <x:v>0</x:v>
      </x:c>
      <x:c r="W77" s="10">
        <x:v>0</x:v>
      </x:c>
      <x:c r="X77" s="10">
        <x:v>0</x:v>
      </x:c>
      <x:c r="Y77" s="10">
        <x:v>0.0587</x:v>
      </x:c>
      <x:c r="Z77" s="10">
        <x:v>0</x:v>
      </x:c>
      <x:c r="AA77" s="10">
        <x:v>0</x:v>
      </x:c>
      <x:c r="AB77" s="10">
        <x:v>0.029</x:v>
      </x:c>
      <x:c r="AC77" s="13">
        <x:v>0</x:v>
      </x:c>
      <x:c r="AD77" s="10">
        <x:v>0.0128</x:v>
      </x:c>
      <x:c r="AE77" s="10">
        <x:v>0.0128</x:v>
      </x:c>
      <x:c r="AF77" s="2" t="s">
        <x:v>51</x:v>
      </x:c>
    </x:row>
    <x:row r="78">
      <x:c r="A78" s="25" t="s">
        <x:v>256</x:v>
      </x:c>
      <x:c r="B78" s="4" t="s">
        <x:v>257</x:v>
      </x:c>
      <x:c r="C78" s="4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22">
        <x:v>0</x:v>
      </x:c>
      <x:c r="R78" s="22">
        <x:v>0</x:v>
      </x:c>
      <x:c r="S78" s="22">
        <x:v>0</x:v>
      </x:c>
      <x:c r="T78" s="22">
        <x:v>0</x:v>
      </x:c>
      <x:c r="U78" s="22">
        <x:v>0</x:v>
      </x:c>
      <x:c r="V78" s="22">
        <x:v>0</x:v>
      </x:c>
      <x:c r="W78" s="22">
        <x:v>0</x:v>
      </x:c>
      <x:c r="X78" s="22">
        <x:v>0</x:v>
      </x:c>
      <x:c r="Y78" s="22">
        <x:v>0</x:v>
      </x:c>
      <x:c r="Z78" s="22">
        <x:v>0</x:v>
      </x:c>
      <x:c r="AA78" s="22">
        <x:v>0</x:v>
      </x:c>
      <x:c r="AB78" s="22">
        <x:v>0</x:v>
      </x:c>
      <x:c r="AC78" s="16">
        <x:v>0</x:v>
      </x:c>
      <x:c r="AF78" s="2" t="s">
        <x:v>51</x:v>
      </x:c>
    </x:row>
    <x:row r="79">
      <x:c r="A79" s="4" t="s">
        <x:v>258</x:v>
      </x:c>
      <x:c r="B79" s="4" t="s">
        <x:v>259</x:v>
      </x:c>
      <x:c r="C79" s="4" t="s">
        <x:v>260</x:v>
      </x:c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8">
        <x:v>1</x:v>
      </x:c>
      <x:c r="P79" s="6"/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0.029</x:v>
      </x:c>
      <x:c r="AC79" s="13">
        <x:v>0</x:v>
      </x:c>
      <x:c r="AD79" s="10">
        <x:v>0.0024</x:v>
      </x:c>
      <x:c r="AE79" s="10">
        <x:v>0.0024</x:v>
      </x:c>
      <x:c r="AF79" s="2" t="s">
        <x:v>51</x:v>
      </x:c>
    </x:row>
    <x:row r="80">
      <x:c r="A80" s="4" t="s">
        <x:v>261</x:v>
      </x:c>
      <x:c r="B80" s="4" t="s">
        <x:v>262</x:v>
      </x:c>
      <x:c r="C80" s="4" t="s">
        <x:v>263</x:v>
      </x:c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22">
        <x:v>0</x:v>
      </x:c>
      <x:c r="R80" s="22">
        <x:v>0</x:v>
      </x:c>
      <x:c r="S80" s="22">
        <x:v>0</x:v>
      </x:c>
      <x:c r="T80" s="22">
        <x:v>0</x:v>
      </x:c>
      <x:c r="U80" s="22">
        <x:v>0</x:v>
      </x:c>
      <x:c r="V80" s="22">
        <x:v>0</x:v>
      </x:c>
      <x:c r="W80" s="22">
        <x:v>0</x:v>
      </x:c>
      <x:c r="X80" s="22">
        <x:v>0</x:v>
      </x:c>
      <x:c r="Y80" s="22">
        <x:v>0</x:v>
      </x:c>
      <x:c r="Z80" s="22">
        <x:v>0</x:v>
      </x:c>
      <x:c r="AA80" s="22">
        <x:v>0</x:v>
      </x:c>
      <x:c r="AB80" s="22">
        <x:v>0</x:v>
      </x:c>
      <x:c r="AC80" s="16">
        <x:v>0</x:v>
      </x:c>
      <x:c r="AF80" s="2" t="s">
        <x:v>51</x:v>
      </x:c>
    </x:row>
    <x:row r="81">
      <x:c r="A81" s="4" t="s">
        <x:v>264</x:v>
      </x:c>
      <x:c r="B81" s="4" t="s">
        <x:v>265</x:v>
      </x:c>
      <x:c r="C81" s="4" t="s">
        <x:v>266</x:v>
      </x:c>
      <x:c r="D81" s="8">
        <x:v>3</x:v>
      </x:c>
      <x:c r="E81" s="8">
        <x:v>4</x:v>
      </x:c>
      <x:c r="F81" s="8">
        <x:v>7</x:v>
      </x:c>
      <x:c r="G81" s="8">
        <x:v>8</x:v>
      </x:c>
      <x:c r="H81" s="8">
        <x:v>5</x:v>
      </x:c>
      <x:c r="I81" s="8">
        <x:v>9</x:v>
      </x:c>
      <x:c r="J81" s="6"/>
      <x:c r="K81" s="8">
        <x:v>2</x:v>
      </x:c>
      <x:c r="L81" s="8">
        <x:v>1</x:v>
      </x:c>
      <x:c r="M81" s="8">
        <x:v>5</x:v>
      </x:c>
      <x:c r="N81" s="8">
        <x:v>5</x:v>
      </x:c>
      <x:c r="O81" s="8">
        <x:v>3</x:v>
      </x:c>
      <x:c r="P81" s="8">
        <x:v>1</x:v>
      </x:c>
      <x:c r="Q81" s="10">
        <x:v>0.0968</x:v>
      </x:c>
      <x:c r="R81" s="10">
        <x:v>0.129</x:v>
      </x:c>
      <x:c r="S81" s="10">
        <x:v>0.2029</x:v>
      </x:c>
      <x:c r="T81" s="10">
        <x:v>0.2581</x:v>
      </x:c>
      <x:c r="U81" s="10">
        <x:v>0.1667</x:v>
      </x:c>
      <x:c r="V81" s="10">
        <x:v>0.2903</x:v>
      </x:c>
      <x:c r="W81" s="10">
        <x:v>0</x:v>
      </x:c>
      <x:c r="X81" s="10">
        <x:v>0.084</x:v>
      </x:c>
      <x:c r="Y81" s="10">
        <x:v>0.0293</x:v>
      </x:c>
      <x:c r="Z81" s="10">
        <x:v>0.1852</x:v>
      </x:c>
      <x:c r="AA81" s="10">
        <x:v>0.1536</x:v>
      </x:c>
      <x:c r="AB81" s="10">
        <x:v>0.087</x:v>
      </x:c>
      <x:c r="AC81" s="13">
        <x:v>0.0323</x:v>
      </x:c>
      <x:c r="AD81" s="10">
        <x:v>0.1402</x:v>
      </x:c>
      <x:c r="AE81" s="10">
        <x:v>0.1402</x:v>
      </x:c>
      <x:c r="AF81" s="2" t="s">
        <x:v>35</x:v>
      </x:c>
    </x:row>
    <x:row r="82">
      <x:c r="A82" s="4" t="s">
        <x:v>267</x:v>
      </x:c>
      <x:c r="B82" s="4" t="s">
        <x:v>268</x:v>
      </x:c>
      <x:c r="C82" s="4" t="s">
        <x:v>269</x:v>
      </x:c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22">
        <x:v>0</x:v>
      </x:c>
      <x:c r="R82" s="22">
        <x:v>0</x:v>
      </x:c>
      <x:c r="S82" s="22">
        <x:v>0</x:v>
      </x:c>
      <x:c r="T82" s="22">
        <x:v>0</x:v>
      </x:c>
      <x:c r="U82" s="22">
        <x:v>0</x:v>
      </x:c>
      <x:c r="V82" s="22">
        <x:v>0</x:v>
      </x:c>
      <x:c r="W82" s="22">
        <x:v>0</x:v>
      </x:c>
      <x:c r="X82" s="22">
        <x:v>0</x:v>
      </x:c>
      <x:c r="Y82" s="22">
        <x:v>0</x:v>
      </x:c>
      <x:c r="Z82" s="22">
        <x:v>0</x:v>
      </x:c>
      <x:c r="AA82" s="22">
        <x:v>0</x:v>
      </x:c>
      <x:c r="AB82" s="22">
        <x:v>0</x:v>
      </x:c>
      <x:c r="AC82" s="16">
        <x:v>0</x:v>
      </x:c>
      <x:c r="AF82" s="2" t="s">
        <x:v>35</x:v>
      </x:c>
    </x:row>
    <x:row r="83">
      <x:c r="A83" s="4" t="s">
        <x:v>270</x:v>
      </x:c>
      <x:c r="B83" s="4" t="s">
        <x:v>271</x:v>
      </x:c>
      <x:c r="C83" s="4" t="s">
        <x:v>272</x:v>
      </x:c>
      <x:c r="D83" s="6"/>
      <x:c r="E83" s="6"/>
      <x:c r="F83" s="8">
        <x:v>1</x:v>
      </x:c>
      <x:c r="G83" s="6"/>
      <x:c r="H83" s="6"/>
      <x:c r="I83" s="8">
        <x:v>3</x:v>
      </x:c>
      <x:c r="J83" s="6"/>
      <x:c r="K83" s="6"/>
      <x:c r="L83" s="8">
        <x:v>4</x:v>
      </x:c>
      <x:c r="M83" s="8">
        <x:v>1</x:v>
      </x:c>
      <x:c r="N83" s="8">
        <x:v>3</x:v>
      </x:c>
      <x:c r="O83" s="6"/>
      <x:c r="P83" s="6"/>
      <x:c r="Q83" s="19">
        <x:v>0</x:v>
      </x:c>
      <x:c r="R83" s="10">
        <x:v>0</x:v>
      </x:c>
      <x:c r="S83" s="10">
        <x:v>0.029</x:v>
      </x:c>
      <x:c r="T83" s="10">
        <x:v>0</x:v>
      </x:c>
      <x:c r="U83" s="10">
        <x:v>0</x:v>
      </x:c>
      <x:c r="V83" s="10">
        <x:v>0.0968</x:v>
      </x:c>
      <x:c r="W83" s="10">
        <x:v>0</x:v>
      </x:c>
      <x:c r="X83" s="10">
        <x:v>0</x:v>
      </x:c>
      <x:c r="Y83" s="10">
        <x:v>0.1173</x:v>
      </x:c>
      <x:c r="Z83" s="10">
        <x:v>0.037</x:v>
      </x:c>
      <x:c r="AA83" s="19">
        <x:v>0.1143</x:v>
      </x:c>
      <x:c r="AB83" s="22">
        <x:v>0</x:v>
      </x:c>
      <x:c r="AC83" s="16">
        <x:v>0</x:v>
      </x:c>
      <x:c r="AD83" s="10">
        <x:v>0.0311</x:v>
      </x:c>
      <x:c r="AE83" s="10">
        <x:v>0.0311</x:v>
      </x:c>
      <x:c r="AF83" s="2" t="s">
        <x:v>35</x:v>
      </x:c>
    </x:row>
    <x:row r="84">
      <x:c r="A84" s="4" t="s">
        <x:v>273</x:v>
      </x:c>
      <x:c r="B84" s="4" t="s">
        <x:v>274</x:v>
      </x:c>
      <x:c r="C84" s="4" t="s">
        <x:v>275</x:v>
      </x:c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10">
        <x:v>0</x:v>
      </x:c>
      <x:c r="R84" s="10">
        <x:v>0</x:v>
      </x:c>
      <x:c r="S84" s="10">
        <x:v>0</x:v>
      </x:c>
      <x:c r="T84" s="10">
        <x:v>0</x:v>
      </x:c>
      <x:c r="U84" s="10">
        <x:v>0</x:v>
      </x:c>
      <x:c r="V84" s="10">
        <x:v>0</x:v>
      </x:c>
      <x:c r="W84" s="10">
        <x:v>0</x:v>
      </x:c>
      <x:c r="X84" s="10">
        <x:v>0</x:v>
      </x:c>
      <x:c r="Y84" s="10">
        <x:v>0</x:v>
      </x:c>
      <x:c r="Z84" s="10">
        <x:v>0</x:v>
      </x:c>
      <x:c r="AA84" s="10">
        <x:v>0</x:v>
      </x:c>
      <x:c r="AB84" s="10">
        <x:v>0</x:v>
      </x:c>
      <x:c r="AC84" s="13">
        <x:v>0</x:v>
      </x:c>
      <x:c r="AF84" s="2" t="s">
        <x:v>35</x:v>
      </x:c>
    </x:row>
    <x:row r="85">
      <x:c r="A85" s="4" t="s">
        <x:v>276</x:v>
      </x:c>
      <x:c r="B85" s="4" t="s">
        <x:v>277</x:v>
      </x:c>
      <x:c r="C85" s="4" t="s">
        <x:v>278</x:v>
      </x:c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22">
        <x:v>0</x:v>
      </x:c>
      <x:c r="R85" s="22">
        <x:v>0</x:v>
      </x:c>
      <x:c r="S85" s="22">
        <x:v>0</x:v>
      </x:c>
      <x:c r="T85" s="22">
        <x:v>0</x:v>
      </x:c>
      <x:c r="U85" s="22">
        <x:v>0</x:v>
      </x:c>
      <x:c r="V85" s="22">
        <x:v>0</x:v>
      </x:c>
      <x:c r="W85" s="22">
        <x:v>0</x:v>
      </x:c>
      <x:c r="X85" s="22">
        <x:v>0</x:v>
      </x:c>
      <x:c r="Y85" s="22">
        <x:v>0</x:v>
      </x:c>
      <x:c r="Z85" s="22">
        <x:v>0</x:v>
      </x:c>
      <x:c r="AA85" s="22">
        <x:v>0</x:v>
      </x:c>
      <x:c r="AB85" s="22">
        <x:v>0</x:v>
      </x:c>
      <x:c r="AC85" s="16">
        <x:v>0</x:v>
      </x:c>
      <x:c r="AF85" s="2" t="s">
        <x:v>35</x:v>
      </x:c>
    </x:row>
    <x:row r="86">
      <x:c r="A86" s="4" t="s">
        <x:v>279</x:v>
      </x:c>
      <x:c r="B86" s="4" t="s">
        <x:v>280</x:v>
      </x:c>
      <x:c r="C86" s="4" t="s">
        <x:v>281</x:v>
      </x:c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10">
        <x:v>0</x:v>
      </x:c>
      <x:c r="R86" s="10">
        <x:v>0</x:v>
      </x:c>
      <x:c r="S86" s="10">
        <x:v>0</x:v>
      </x:c>
      <x:c r="T86" s="10">
        <x:v>0</x:v>
      </x:c>
      <x:c r="U86" s="10">
        <x:v>0</x:v>
      </x:c>
      <x:c r="V86" s="10">
        <x:v>0</x:v>
      </x:c>
      <x:c r="W86" s="10">
        <x:v>0</x:v>
      </x:c>
      <x:c r="X86" s="10">
        <x:v>0</x:v>
      </x:c>
      <x:c r="Y86" s="10">
        <x:v>0</x:v>
      </x:c>
      <x:c r="Z86" s="10">
        <x:v>0</x:v>
      </x:c>
      <x:c r="AA86" s="10">
        <x:v>0</x:v>
      </x:c>
      <x:c r="AB86" s="10">
        <x:v>0</x:v>
      </x:c>
      <x:c r="AC86" s="13">
        <x:v>0</x:v>
      </x:c>
      <x:c r="AF86" s="2" t="s">
        <x:v>35</x:v>
      </x:c>
    </x:row>
    <x:row r="87">
      <x:c r="A87" s="4" t="s">
        <x:v>282</x:v>
      </x:c>
      <x:c r="B87" s="4" t="s">
        <x:v>283</x:v>
      </x:c>
      <x:c r="C87" s="4" t="s">
        <x:v>284</x:v>
      </x:c>
      <x:c r="D87" s="6"/>
      <x:c r="E87" s="6"/>
      <x:c r="F87" s="8">
        <x:v>1</x:v>
      </x:c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10">
        <x:v>0</x:v>
      </x:c>
      <x:c r="R87" s="10">
        <x:v>0</x:v>
      </x:c>
      <x:c r="S87" s="10">
        <x:v>0.029</x:v>
      </x:c>
      <x:c r="T87" s="10">
        <x:v>0</x:v>
      </x:c>
      <x:c r="U87" s="10">
        <x:v>0</x:v>
      </x:c>
      <x:c r="V87" s="10">
        <x:v>0</x:v>
      </x:c>
      <x:c r="W87" s="10">
        <x:v>0</x:v>
      </x:c>
      <x:c r="X87" s="10">
        <x:v>0</x:v>
      </x:c>
      <x:c r="Y87" s="10">
        <x:v>0</x:v>
      </x:c>
      <x:c r="Z87" s="10">
        <x:v>0</x:v>
      </x:c>
      <x:c r="AA87" s="10">
        <x:v>0</x:v>
      </x:c>
      <x:c r="AB87" s="10">
        <x:v>0</x:v>
      </x:c>
      <x:c r="AC87" s="13">
        <x:v>0</x:v>
      </x:c>
      <x:c r="AD87" s="10">
        <x:v>0.0024</x:v>
      </x:c>
      <x:c r="AE87" s="10">
        <x:v>0.0024</x:v>
      </x:c>
      <x:c r="AF87" s="2" t="s">
        <x:v>35</x:v>
      </x:c>
    </x:row>
    <x:row r="88">
      <x:c r="A88" s="4" t="s">
        <x:v>285</x:v>
      </x:c>
      <x:c r="B88" s="4" t="s">
        <x:v>286</x:v>
      </x:c>
      <x:c r="C88" s="4" t="s">
        <x:v>287</x:v>
      </x:c>
      <x:c r="D88" s="8">
        <x:v>7</x:v>
      </x:c>
      <x:c r="E88" s="8">
        <x:v>15</x:v>
      </x:c>
      <x:c r="F88" s="8">
        <x:v>2</x:v>
      </x:c>
      <x:c r="G88" s="8">
        <x:v>15</x:v>
      </x:c>
      <x:c r="H88" s="8">
        <x:v>17</x:v>
      </x:c>
      <x:c r="I88" s="8">
        <x:v>7</x:v>
      </x:c>
      <x:c r="J88" s="8">
        <x:v>15</x:v>
      </x:c>
      <x:c r="K88" s="6"/>
      <x:c r="L88" s="8">
        <x:v>33</x:v>
      </x:c>
      <x:c r="M88" s="6"/>
      <x:c r="N88" s="8">
        <x:v>23</x:v>
      </x:c>
      <x:c r="O88" s="8">
        <x:v>4</x:v>
      </x:c>
      <x:c r="P88" s="8">
        <x:v>11</x:v>
      </x:c>
      <x:c r="Q88" s="10">
        <x:v>0.2258</x:v>
      </x:c>
      <x:c r="R88" s="10">
        <x:v>0.4839</x:v>
      </x:c>
      <x:c r="S88" s="10">
        <x:v>0.058</x:v>
      </x:c>
      <x:c r="T88" s="10">
        <x:v>0.4839</x:v>
      </x:c>
      <x:c r="U88" s="10">
        <x:v>0.5667</x:v>
      </x:c>
      <x:c r="V88" s="10">
        <x:v>0.2258</x:v>
      </x:c>
      <x:c r="W88" s="10">
        <x:v>0.6048</x:v>
      </x:c>
      <x:c r="X88" s="10">
        <x:v>0</x:v>
      </x:c>
      <x:c r="Y88" s="10">
        <x:v>0.9677</x:v>
      </x:c>
      <x:c r="Z88" s="10">
        <x:v>0</x:v>
      </x:c>
      <x:c r="AA88" s="10">
        <x:v>0.7066</x:v>
      </x:c>
      <x:c r="AB88" s="10">
        <x:v>0.1159</x:v>
      </x:c>
      <x:c r="AC88" s="13">
        <x:v>0.3548</x:v>
      </x:c>
      <x:c r="AD88" s="10">
        <x:v>0.3699</x:v>
      </x:c>
      <x:c r="AE88" s="10">
        <x:v>0.3699</x:v>
      </x:c>
      <x:c r="AF88" s="2" t="s">
        <x:v>35</x:v>
      </x:c>
    </x:row>
    <x:row r="89">
      <x:c r="A89" s="4" t="s">
        <x:v>288</x:v>
      </x:c>
      <x:c r="B89" s="4" t="s">
        <x:v>289</x:v>
      </x:c>
      <x:c r="C89" s="4" t="s">
        <x:v>290</x:v>
      </x:c>
      <x:c r="D89" s="6"/>
      <x:c r="E89" s="8">
        <x:v>1</x:v>
      </x:c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22">
        <x:v>0</x:v>
      </x:c>
      <x:c r="R89" s="22">
        <x:v>0</x:v>
      </x:c>
      <x:c r="S89" s="22">
        <x:v>0</x:v>
      </x:c>
      <x:c r="T89" s="22">
        <x:v>0</x:v>
      </x:c>
      <x:c r="U89" s="22">
        <x:v>0</x:v>
      </x:c>
      <x:c r="V89" s="22">
        <x:v>0</x:v>
      </x:c>
      <x:c r="W89" s="22">
        <x:v>0</x:v>
      </x:c>
      <x:c r="X89" s="22">
        <x:v>0</x:v>
      </x:c>
      <x:c r="Y89" s="22">
        <x:v>0</x:v>
      </x:c>
      <x:c r="Z89" s="22">
        <x:v>0</x:v>
      </x:c>
      <x:c r="AA89" s="22">
        <x:v>0</x:v>
      </x:c>
      <x:c r="AB89" s="22">
        <x:v>0</x:v>
      </x:c>
      <x:c r="AC89" s="16">
        <x:v>0</x:v>
      </x:c>
      <x:c r="AF89" s="2" t="s">
        <x:v>35</x:v>
      </x:c>
    </x:row>
    <x:row r="90">
      <x:c r="A90" s="4" t="s">
        <x:v>291</x:v>
      </x:c>
      <x:c r="B90" s="4" t="s">
        <x:v>292</x:v>
      </x:c>
      <x:c r="C90" s="4" t="s">
        <x:v>293</x:v>
      </x:c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22">
        <x:v>0</x:v>
      </x:c>
      <x:c r="R90" s="22">
        <x:v>0</x:v>
      </x:c>
      <x:c r="S90" s="22">
        <x:v>0</x:v>
      </x:c>
      <x:c r="T90" s="22">
        <x:v>0</x:v>
      </x:c>
      <x:c r="U90" s="22">
        <x:v>0</x:v>
      </x:c>
      <x:c r="V90" s="22">
        <x:v>0</x:v>
      </x:c>
      <x:c r="W90" s="22">
        <x:v>0</x:v>
      </x:c>
      <x:c r="X90" s="22">
        <x:v>0</x:v>
      </x:c>
      <x:c r="Y90" s="22">
        <x:v>0</x:v>
      </x:c>
      <x:c r="Z90" s="22">
        <x:v>0</x:v>
      </x:c>
      <x:c r="AA90" s="22">
        <x:v>0</x:v>
      </x:c>
      <x:c r="AB90" s="22">
        <x:v>0</x:v>
      </x:c>
      <x:c r="AC90" s="16">
        <x:v>0</x:v>
      </x:c>
      <x:c r="AF90" s="2" t="s">
        <x:v>51</x:v>
      </x:c>
    </x:row>
    <x:row r="91">
      <x:c r="A91" s="4" t="s">
        <x:v>294</x:v>
      </x:c>
      <x:c r="B91" s="4" t="s">
        <x:v>295</x:v>
      </x:c>
      <x:c r="C91" s="4" t="s">
        <x:v>296</x:v>
      </x:c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10">
        <x:v>0</x:v>
      </x:c>
      <x:c r="R91" s="10">
        <x:v>0</x:v>
      </x:c>
      <x:c r="S91" s="10">
        <x:v>0</x:v>
      </x:c>
      <x:c r="T91" s="10">
        <x:v>0</x:v>
      </x:c>
      <x:c r="U91" s="10">
        <x:v>0</x:v>
      </x:c>
      <x:c r="V91" s="10">
        <x:v>0</x:v>
      </x:c>
      <x:c r="W91" s="10">
        <x:v>0</x:v>
      </x:c>
      <x:c r="X91" s="10">
        <x:v>0</x:v>
      </x:c>
      <x:c r="Y91" s="10">
        <x:v>0</x:v>
      </x:c>
      <x:c r="Z91" s="10">
        <x:v>0</x:v>
      </x:c>
      <x:c r="AA91" s="10">
        <x:v>0</x:v>
      </x:c>
      <x:c r="AB91" s="10">
        <x:v>0</x:v>
      </x:c>
      <x:c r="AC91" s="13">
        <x:v>0</x:v>
      </x:c>
      <x:c r="AF91" s="2" t="s">
        <x:v>51</x:v>
      </x:c>
    </x:row>
    <x:row r="92">
      <x:c r="A92" s="4" t="s">
        <x:v>297</x:v>
      </x:c>
      <x:c r="B92" s="4" t="s">
        <x:v>298</x:v>
      </x:c>
      <x:c r="C92" s="4" t="s">
        <x:v>299</x:v>
      </x:c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22">
        <x:v>0</x:v>
      </x:c>
      <x:c r="R92" s="22">
        <x:v>0</x:v>
      </x:c>
      <x:c r="S92" s="22">
        <x:v>0</x:v>
      </x:c>
      <x:c r="T92" s="22">
        <x:v>0</x:v>
      </x:c>
      <x:c r="U92" s="22">
        <x:v>0</x:v>
      </x:c>
      <x:c r="V92" s="22">
        <x:v>0</x:v>
      </x:c>
      <x:c r="W92" s="22">
        <x:v>0</x:v>
      </x:c>
      <x:c r="X92" s="22">
        <x:v>0</x:v>
      </x:c>
      <x:c r="Y92" s="22">
        <x:v>0</x:v>
      </x:c>
      <x:c r="Z92" s="22">
        <x:v>0</x:v>
      </x:c>
      <x:c r="AA92" s="22">
        <x:v>0</x:v>
      </x:c>
      <x:c r="AB92" s="22">
        <x:v>0</x:v>
      </x:c>
      <x:c r="AC92" s="16">
        <x:v>0</x:v>
      </x:c>
      <x:c r="AF92" s="2" t="s">
        <x:v>51</x:v>
      </x:c>
    </x:row>
    <x:row r="93">
      <x:c r="A93" s="4" t="s">
        <x:v>300</x:v>
      </x:c>
      <x:c r="B93" s="4" t="s">
        <x:v>301</x:v>
      </x:c>
      <x:c r="C93" s="4" t="s">
        <x:v>302</x:v>
      </x:c>
      <x:c r="D93" s="8">
        <x:v>2698</x:v>
      </x:c>
      <x:c r="E93" s="8">
        <x:v>1496</x:v>
      </x:c>
      <x:c r="F93" s="8">
        <x:v>2642</x:v>
      </x:c>
      <x:c r="G93" s="8">
        <x:v>1253</x:v>
      </x:c>
      <x:c r="H93" s="8">
        <x:v>1500</x:v>
      </x:c>
      <x:c r="I93" s="8">
        <x:v>1612</x:v>
      </x:c>
      <x:c r="J93" s="8">
        <x:v>1819</x:v>
      </x:c>
      <x:c r="K93" s="8">
        <x:v>1715</x:v>
      </x:c>
      <x:c r="L93" s="8">
        <x:v>2394</x:v>
      </x:c>
      <x:c r="M93" s="8">
        <x:v>2155</x:v>
      </x:c>
      <x:c r="N93" s="8">
        <x:v>1402</x:v>
      </x:c>
      <x:c r="O93" s="8">
        <x:v>2035</x:v>
      </x:c>
      <x:c r="P93" s="8">
        <x:v>1897</x:v>
      </x:c>
      <x:c r="Q93" s="10">
        <x:v>87.0323</x:v>
      </x:c>
      <x:c r="R93" s="10">
        <x:v>48.2581</x:v>
      </x:c>
      <x:c r="S93" s="10">
        <x:v>76.5797</x:v>
      </x:c>
      <x:c r="T93" s="10">
        <x:v>40.4194</x:v>
      </x:c>
      <x:c r="U93" s="10">
        <x:v>50</x:v>
      </x:c>
      <x:c r="V93" s="10">
        <x:v>52</x:v>
      </x:c>
      <x:c r="W93" s="10">
        <x:v>73.3468</x:v>
      </x:c>
      <x:c r="X93" s="10">
        <x:v>72.0588</x:v>
      </x:c>
      <x:c r="Y93" s="10">
        <x:v>70.2053</x:v>
      </x:c>
      <x:c r="Z93" s="10">
        <x:v>79.8148</x:v>
      </x:c>
      <x:c r="AA93" s="10">
        <x:v>43.0722</x:v>
      </x:c>
      <x:c r="AB93" s="10">
        <x:v>58.9855</x:v>
      </x:c>
      <x:c r="AC93" s="13">
        <x:v>61.1935</x:v>
      </x:c>
      <x:c r="AD93" s="10">
        <x:v>62.6477</x:v>
      </x:c>
      <x:c r="AE93" s="10">
        <x:v>62.6477</x:v>
      </x:c>
      <x:c r="AF93" s="2" t="s">
        <x:v>35</x:v>
      </x:c>
    </x:row>
    <x:row r="94">
      <x:c r="A94" s="4" t="s">
        <x:v>303</x:v>
      </x:c>
      <x:c r="B94" s="4" t="s">
        <x:v>304</x:v>
      </x:c>
      <x:c r="C94" s="4" t="s">
        <x:v>305</x:v>
      </x:c>
      <x:c r="D94" s="8">
        <x:v>1</x:v>
      </x:c>
      <x:c r="E94" s="8">
        <x:v>5</x:v>
      </x:c>
      <x:c r="F94" s="6"/>
      <x:c r="G94" s="8">
        <x:v>15</x:v>
      </x:c>
      <x:c r="H94" s="8">
        <x:v>5</x:v>
      </x:c>
      <x:c r="I94" s="8">
        <x:v>1</x:v>
      </x:c>
      <x:c r="J94" s="8">
        <x:v>2</x:v>
      </x:c>
      <x:c r="K94" s="6"/>
      <x:c r="L94" s="8">
        <x:v>1</x:v>
      </x:c>
      <x:c r="M94" s="6"/>
      <x:c r="N94" s="8">
        <x:v>1</x:v>
      </x:c>
      <x:c r="O94" s="6"/>
      <x:c r="P94" s="8">
        <x:v>1</x:v>
      </x:c>
      <x:c r="Q94" s="10">
        <x:v>0.0323</x:v>
      </x:c>
      <x:c r="R94" s="10">
        <x:v>0.1613</x:v>
      </x:c>
      <x:c r="S94" s="10">
        <x:v>0</x:v>
      </x:c>
      <x:c r="T94" s="10">
        <x:v>0.4839</x:v>
      </x:c>
      <x:c r="U94" s="10">
        <x:v>0.1667</x:v>
      </x:c>
      <x:c r="V94" s="10">
        <x:v>0.0323</x:v>
      </x:c>
      <x:c r="W94" s="10">
        <x:v>0.0806</x:v>
      </x:c>
      <x:c r="X94" s="10">
        <x:v>0</x:v>
      </x:c>
      <x:c r="Y94" s="10">
        <x:v>0.0293</x:v>
      </x:c>
      <x:c r="Z94" s="10">
        <x:v>0</x:v>
      </x:c>
      <x:c r="AA94" s="10">
        <x:v>0.0307</x:v>
      </x:c>
      <x:c r="AB94" s="10">
        <x:v>0</x:v>
      </x:c>
      <x:c r="AC94" s="13">
        <x:v>0.0323</x:v>
      </x:c>
      <x:c r="AD94" s="10">
        <x:v>0.0848</x:v>
      </x:c>
      <x:c r="AE94" s="10">
        <x:v>0.0848</x:v>
      </x:c>
      <x:c r="AF94" s="2" t="s">
        <x:v>35</x:v>
      </x:c>
    </x:row>
    <x:row r="95">
      <x:c r="A95" s="4" t="s">
        <x:v>306</x:v>
      </x:c>
      <x:c r="B95" s="4" t="s">
        <x:v>307</x:v>
      </x:c>
      <x:c r="C95" s="4" t="s">
        <x:v>308</x:v>
      </x:c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22">
        <x:v>0</x:v>
      </x:c>
      <x:c r="R95" s="22">
        <x:v>0</x:v>
      </x:c>
      <x:c r="S95" s="22">
        <x:v>0</x:v>
      </x:c>
      <x:c r="T95" s="22">
        <x:v>0</x:v>
      </x:c>
      <x:c r="U95" s="22">
        <x:v>0</x:v>
      </x:c>
      <x:c r="V95" s="22">
        <x:v>0</x:v>
      </x:c>
      <x:c r="W95" s="22">
        <x:v>0</x:v>
      </x:c>
      <x:c r="X95" s="22">
        <x:v>0</x:v>
      </x:c>
      <x:c r="Y95" s="22">
        <x:v>0</x:v>
      </x:c>
      <x:c r="Z95" s="22">
        <x:v>0</x:v>
      </x:c>
      <x:c r="AA95" s="22">
        <x:v>0</x:v>
      </x:c>
      <x:c r="AB95" s="22">
        <x:v>0</x:v>
      </x:c>
      <x:c r="AC95" s="16">
        <x:v>0</x:v>
      </x:c>
      <x:c r="AF95" s="2" t="s">
        <x:v>51</x:v>
      </x:c>
    </x:row>
    <x:row r="96">
      <x:c r="A96" s="4" t="s">
        <x:v>309</x:v>
      </x:c>
      <x:c r="B96" s="4" t="s">
        <x:v>310</x:v>
      </x:c>
      <x:c r="C96" s="4" t="s">
        <x:v>311</x:v>
      </x:c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22">
        <x:v>0</x:v>
      </x:c>
      <x:c r="R96" s="22">
        <x:v>0</x:v>
      </x:c>
      <x:c r="S96" s="22">
        <x:v>0</x:v>
      </x:c>
      <x:c r="T96" s="22">
        <x:v>0</x:v>
      </x:c>
      <x:c r="U96" s="22">
        <x:v>0</x:v>
      </x:c>
      <x:c r="V96" s="22">
        <x:v>0</x:v>
      </x:c>
      <x:c r="W96" s="22">
        <x:v>0</x:v>
      </x:c>
      <x:c r="X96" s="22">
        <x:v>0</x:v>
      </x:c>
      <x:c r="Y96" s="22">
        <x:v>0</x:v>
      </x:c>
      <x:c r="Z96" s="22">
        <x:v>0</x:v>
      </x:c>
      <x:c r="AA96" s="22">
        <x:v>0</x:v>
      </x:c>
      <x:c r="AB96" s="22">
        <x:v>0</x:v>
      </x:c>
      <x:c r="AC96" s="16">
        <x:v>0</x:v>
      </x:c>
      <x:c r="AF96" s="2" t="s">
        <x:v>35</x:v>
      </x:c>
    </x:row>
    <x:row r="97">
      <x:c r="A97" s="4" t="s">
        <x:v>312</x:v>
      </x:c>
      <x:c r="B97" s="4" t="s">
        <x:v>313</x:v>
      </x:c>
      <x:c r="C97" s="4" t="s">
        <x:v>314</x:v>
      </x:c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22">
        <x:v>0</x:v>
      </x:c>
      <x:c r="R97" s="22">
        <x:v>0</x:v>
      </x:c>
      <x:c r="S97" s="22">
        <x:v>0</x:v>
      </x:c>
      <x:c r="T97" s="22">
        <x:v>0</x:v>
      </x:c>
      <x:c r="U97" s="22">
        <x:v>0</x:v>
      </x:c>
      <x:c r="V97" s="22">
        <x:v>0</x:v>
      </x:c>
      <x:c r="W97" s="22">
        <x:v>0</x:v>
      </x:c>
      <x:c r="X97" s="22">
        <x:v>0</x:v>
      </x:c>
      <x:c r="Y97" s="22">
        <x:v>0</x:v>
      </x:c>
      <x:c r="Z97" s="22">
        <x:v>0</x:v>
      </x:c>
      <x:c r="AA97" s="22">
        <x:v>0</x:v>
      </x:c>
      <x:c r="AB97" s="22">
        <x:v>0</x:v>
      </x:c>
      <x:c r="AC97" s="16">
        <x:v>0</x:v>
      </x:c>
      <x:c r="AF97" s="2" t="s">
        <x:v>35</x:v>
      </x:c>
    </x:row>
    <x:row r="98">
      <x:c r="A98" s="4" t="s">
        <x:v>315</x:v>
      </x:c>
      <x:c r="B98" s="4" t="s">
        <x:v>316</x:v>
      </x:c>
      <x:c r="C98" s="4" t="s">
        <x:v>317</x:v>
      </x:c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22">
        <x:v>0</x:v>
      </x:c>
      <x:c r="R98" s="22">
        <x:v>0</x:v>
      </x:c>
      <x:c r="S98" s="22">
        <x:v>0</x:v>
      </x:c>
      <x:c r="T98" s="22">
        <x:v>0</x:v>
      </x:c>
      <x:c r="U98" s="22">
        <x:v>0</x:v>
      </x:c>
      <x:c r="V98" s="22">
        <x:v>0</x:v>
      </x:c>
      <x:c r="W98" s="22">
        <x:v>0</x:v>
      </x:c>
      <x:c r="X98" s="22">
        <x:v>0</x:v>
      </x:c>
      <x:c r="Y98" s="22">
        <x:v>0</x:v>
      </x:c>
      <x:c r="Z98" s="22">
        <x:v>0</x:v>
      </x:c>
      <x:c r="AA98" s="22">
        <x:v>0</x:v>
      </x:c>
      <x:c r="AB98" s="22">
        <x:v>0</x:v>
      </x:c>
      <x:c r="AC98" s="16">
        <x:v>0</x:v>
      </x:c>
      <x:c r="AF98" s="2" t="s">
        <x:v>51</x:v>
      </x:c>
    </x:row>
    <x:row r="99">
      <x:c r="A99" s="4" t="s">
        <x:v>318</x:v>
      </x:c>
      <x:c r="B99" s="4" t="s">
        <x:v>319</x:v>
      </x:c>
      <x:c r="C99" s="4" t="s">
        <x:v>320</x:v>
      </x:c>
      <x:c r="D99" s="6"/>
      <x:c r="E99" s="8">
        <x:v>2</x:v>
      </x:c>
      <x:c r="F99" s="8">
        <x:v>2</x:v>
      </x:c>
      <x:c r="G99" s="6"/>
      <x:c r="H99" s="6"/>
      <x:c r="I99" s="8">
        <x:v>1</x:v>
      </x:c>
      <x:c r="J99" s="6"/>
      <x:c r="K99" s="6"/>
      <x:c r="L99" s="6"/>
      <x:c r="M99" s="6"/>
      <x:c r="N99" s="6"/>
      <x:c r="O99" s="6"/>
      <x:c r="P99" s="6"/>
      <x:c r="Q99" s="10">
        <x:v>0</x:v>
      </x:c>
      <x:c r="R99" s="10">
        <x:v>0.0645</x:v>
      </x:c>
      <x:c r="S99" s="19">
        <x:v>0.2484</x:v>
      </x:c>
      <x:c r="T99" s="22">
        <x:v>0</x:v>
      </x:c>
      <x:c r="U99" s="22">
        <x:v>0</x:v>
      </x:c>
      <x:c r="V99" s="22">
        <x:v>0</x:v>
      </x:c>
      <x:c r="W99" s="22">
        <x:v>0</x:v>
      </x:c>
      <x:c r="X99" s="22">
        <x:v>0</x:v>
      </x:c>
      <x:c r="Y99" s="22">
        <x:v>0</x:v>
      </x:c>
      <x:c r="Z99" s="22">
        <x:v>0</x:v>
      </x:c>
      <x:c r="AA99" s="22">
        <x:v>0</x:v>
      </x:c>
      <x:c r="AB99" s="22">
        <x:v>0</x:v>
      </x:c>
      <x:c r="AC99" s="16">
        <x:v>0</x:v>
      </x:c>
      <x:c r="AD99" s="10">
        <x:v>0.0323</x:v>
      </x:c>
      <x:c r="AE99" s="10">
        <x:v>0.0323</x:v>
      </x:c>
      <x:c r="AF99" s="2" t="s">
        <x:v>35</x:v>
      </x:c>
    </x:row>
    <x:row r="100">
      <x:c r="A100" s="4" t="s">
        <x:v>321</x:v>
      </x:c>
      <x:c r="B100" s="4" t="s">
        <x:v>322</x:v>
      </x:c>
      <x:c r="C100" s="4" t="s">
        <x:v>323</x:v>
      </x:c>
      <x:c r="D100" s="6"/>
      <x:c r="E100" s="8">
        <x:v>2</x:v>
      </x:c>
      <x:c r="F100" s="6"/>
      <x:c r="G100" s="6"/>
      <x:c r="H100" s="6"/>
      <x:c r="I100" s="6"/>
      <x:c r="J100" s="6"/>
      <x:c r="K100" s="6"/>
      <x:c r="L100" s="6"/>
      <x:c r="M100" s="8">
        <x:v>1</x:v>
      </x:c>
      <x:c r="N100" s="6"/>
      <x:c r="O100" s="6"/>
      <x:c r="P100" s="6"/>
      <x:c r="Q100" s="22">
        <x:v>0</x:v>
      </x:c>
      <x:c r="R100" s="22">
        <x:v>0</x:v>
      </x:c>
      <x:c r="S100" s="22">
        <x:v>0</x:v>
      </x:c>
      <x:c r="T100" s="22">
        <x:v>0</x:v>
      </x:c>
      <x:c r="U100" s="22">
        <x:v>0</x:v>
      </x:c>
      <x:c r="V100" s="22">
        <x:v>0</x:v>
      </x:c>
      <x:c r="W100" s="22">
        <x:v>0</x:v>
      </x:c>
      <x:c r="X100" s="22">
        <x:v>0</x:v>
      </x:c>
      <x:c r="Y100" s="22">
        <x:v>0</x:v>
      </x:c>
      <x:c r="Z100" s="22">
        <x:v>0</x:v>
      </x:c>
      <x:c r="AA100" s="22">
        <x:v>0</x:v>
      </x:c>
      <x:c r="AB100" s="22">
        <x:v>0</x:v>
      </x:c>
      <x:c r="AC100" s="16">
        <x:v>0</x:v>
      </x:c>
      <x:c r="AF100" s="2" t="s">
        <x:v>35</x:v>
      </x:c>
    </x:row>
    <x:row r="101">
      <x:c r="A101" s="4" t="s">
        <x:v>324</x:v>
      </x:c>
      <x:c r="B101" s="4" t="s">
        <x:v>325</x:v>
      </x:c>
      <x:c r="C101" s="4" t="s">
        <x:v>326</x:v>
      </x:c>
      <x:c r="D101" s="6"/>
      <x:c r="E101" s="8">
        <x:v>2</x:v>
      </x:c>
      <x:c r="F101" s="6"/>
      <x:c r="G101" s="6"/>
      <x:c r="H101" s="6"/>
      <x:c r="I101" s="6"/>
      <x:c r="J101" s="6"/>
      <x:c r="K101" s="6"/>
      <x:c r="L101" s="8">
        <x:v>1</x:v>
      </x:c>
      <x:c r="M101" s="6"/>
      <x:c r="N101" s="6"/>
      <x:c r="O101" s="6"/>
      <x:c r="P101" s="6"/>
      <x:c r="Q101" s="10">
        <x:v>0</x:v>
      </x:c>
      <x:c r="R101" s="10">
        <x:v>0.0645</x:v>
      </x:c>
      <x:c r="S101" s="10">
        <x:v>0</x:v>
      </x:c>
      <x:c r="T101" s="10">
        <x:v>0</x:v>
      </x:c>
      <x:c r="U101" s="10">
        <x:v>0</x:v>
      </x:c>
      <x:c r="V101" s="10">
        <x:v>0</x:v>
      </x:c>
      <x:c r="W101" s="10">
        <x:v>0</x:v>
      </x:c>
      <x:c r="X101" s="10">
        <x:v>0</x:v>
      </x:c>
      <x:c r="Y101" s="19">
        <x:v>0.0909</x:v>
      </x:c>
      <x:c r="Z101" s="22">
        <x:v>0</x:v>
      </x:c>
      <x:c r="AA101" s="22">
        <x:v>0</x:v>
      </x:c>
      <x:c r="AB101" s="22">
        <x:v>0</x:v>
      </x:c>
      <x:c r="AC101" s="16">
        <x:v>0</x:v>
      </x:c>
      <x:c r="AD101" s="10">
        <x:v>0.0081</x:v>
      </x:c>
      <x:c r="AE101" s="10">
        <x:v>0.0081</x:v>
      </x:c>
      <x:c r="AF101" s="2" t="s">
        <x:v>35</x:v>
      </x:c>
    </x:row>
    <x:row r="102">
      <x:c r="A102" s="4" t="s">
        <x:v>327</x:v>
      </x:c>
      <x:c r="B102" s="4" t="s">
        <x:v>328</x:v>
      </x:c>
      <x:c r="C102" s="4" t="s">
        <x:v>329</x:v>
      </x:c>
      <x:c r="D102" s="6"/>
      <x:c r="E102" s="8">
        <x:v>2</x:v>
      </x:c>
      <x:c r="F102" s="6"/>
      <x:c r="G102" s="6"/>
      <x:c r="H102" s="6"/>
      <x:c r="I102" s="6"/>
      <x:c r="J102" s="6"/>
      <x:c r="K102" s="6"/>
      <x:c r="L102" s="8">
        <x:v>1</x:v>
      </x:c>
      <x:c r="M102" s="6"/>
      <x:c r="N102" s="6"/>
      <x:c r="O102" s="6"/>
      <x:c r="P102" s="6"/>
      <x:c r="Q102" s="10">
        <x:v>0</x:v>
      </x:c>
      <x:c r="R102" s="19">
        <x:v>0.1429</x:v>
      </x:c>
      <x:c r="S102" s="22">
        <x:v>0</x:v>
      </x:c>
      <x:c r="T102" s="22">
        <x:v>0</x:v>
      </x:c>
      <x:c r="U102" s="22">
        <x:v>0</x:v>
      </x:c>
      <x:c r="V102" s="22">
        <x:v>0</x:v>
      </x:c>
      <x:c r="W102" s="22">
        <x:v>0</x:v>
      </x:c>
      <x:c r="X102" s="22">
        <x:v>0</x:v>
      </x:c>
      <x:c r="Y102" s="22">
        <x:v>0</x:v>
      </x:c>
      <x:c r="Z102" s="22">
        <x:v>0</x:v>
      </x:c>
      <x:c r="AA102" s="22">
        <x:v>0</x:v>
      </x:c>
      <x:c r="AB102" s="22">
        <x:v>0</x:v>
      </x:c>
      <x:c r="AC102" s="16">
        <x:v>0</x:v>
      </x:c>
      <x:c r="AF102" s="2" t="s">
        <x:v>35</x:v>
      </x:c>
    </x:row>
    <x:row r="103">
      <x:c r="A103" s="4" t="s">
        <x:v>330</x:v>
      </x:c>
      <x:c r="B103" s="4" t="s">
        <x:v>331</x:v>
      </x:c>
      <x:c r="C103" s="4" t="s">
        <x:v>332</x:v>
      </x:c>
      <x:c r="D103" s="8">
        <x:v>4</x:v>
      </x:c>
      <x:c r="E103" s="8">
        <x:v>8</x:v>
      </x:c>
      <x:c r="F103" s="8">
        <x:v>4</x:v>
      </x:c>
      <x:c r="G103" s="8">
        <x:v>5</x:v>
      </x:c>
      <x:c r="H103" s="8">
        <x:v>1</x:v>
      </x:c>
      <x:c r="I103" s="8">
        <x:v>2</x:v>
      </x:c>
      <x:c r="J103" s="8">
        <x:v>4</x:v>
      </x:c>
      <x:c r="K103" s="8">
        <x:v>4</x:v>
      </x:c>
      <x:c r="L103" s="8">
        <x:v>4</x:v>
      </x:c>
      <x:c r="M103" s="8">
        <x:v>7</x:v>
      </x:c>
      <x:c r="N103" s="8">
        <x:v>8</x:v>
      </x:c>
      <x:c r="O103" s="6"/>
      <x:c r="P103" s="6"/>
      <x:c r="Q103" s="10">
        <x:v>0.129</x:v>
      </x:c>
      <x:c r="R103" s="10">
        <x:v>0.2581</x:v>
      </x:c>
      <x:c r="S103" s="10">
        <x:v>0.1159</x:v>
      </x:c>
      <x:c r="T103" s="10">
        <x:v>0.1613</x:v>
      </x:c>
      <x:c r="U103" s="10">
        <x:v>0.0333</x:v>
      </x:c>
      <x:c r="V103" s="10">
        <x:v>0.0645</x:v>
      </x:c>
      <x:c r="W103" s="10">
        <x:v>0.1613</x:v>
      </x:c>
      <x:c r="X103" s="10">
        <x:v>0.1681</x:v>
      </x:c>
      <x:c r="Y103" s="10">
        <x:v>0.1173</x:v>
      </x:c>
      <x:c r="Z103" s="10">
        <x:v>0.2593</x:v>
      </x:c>
      <x:c r="AA103" s="10">
        <x:v>0.2458</x:v>
      </x:c>
      <x:c r="AB103" s="10">
        <x:v>0</x:v>
      </x:c>
      <x:c r="AC103" s="13">
        <x:v>0</x:v>
      </x:c>
      <x:c r="AD103" s="10">
        <x:v>0.1428</x:v>
      </x:c>
      <x:c r="AE103" s="10">
        <x:v>0.1428</x:v>
      </x:c>
      <x:c r="AF103" s="2" t="s">
        <x:v>35</x:v>
      </x:c>
    </x:row>
    <x:row r="104">
      <x:c r="A104" s="4" t="s">
        <x:v>333</x:v>
      </x:c>
      <x:c r="B104" s="4" t="s">
        <x:v>334</x:v>
      </x:c>
      <x:c r="C104" s="4" t="s">
        <x:v>335</x:v>
      </x:c>
      <x:c r="D104" s="8">
        <x:v>2</x:v>
      </x:c>
      <x:c r="E104" s="8">
        <x:v>7</x:v>
      </x:c>
      <x:c r="F104" s="8">
        <x:v>4</x:v>
      </x:c>
      <x:c r="G104" s="8">
        <x:v>5</x:v>
      </x:c>
      <x:c r="H104" s="8">
        <x:v>2</x:v>
      </x:c>
      <x:c r="I104" s="8">
        <x:v>1</x:v>
      </x:c>
      <x:c r="J104" s="8">
        <x:v>7</x:v>
      </x:c>
      <x:c r="K104" s="8">
        <x:v>2</x:v>
      </x:c>
      <x:c r="L104" s="8">
        <x:v>4</x:v>
      </x:c>
      <x:c r="M104" s="8">
        <x:v>4</x:v>
      </x:c>
      <x:c r="N104" s="8">
        <x:v>7</x:v>
      </x:c>
      <x:c r="O104" s="6"/>
      <x:c r="P104" s="6"/>
      <x:c r="Q104" s="19">
        <x:v>0.1818</x:v>
      </x:c>
      <x:c r="R104" s="10">
        <x:v>0.2258</x:v>
      </x:c>
      <x:c r="S104" s="10">
        <x:v>0.1159</x:v>
      </x:c>
      <x:c r="T104" s="10">
        <x:v>0.1613</x:v>
      </x:c>
      <x:c r="U104" s="10">
        <x:v>0.0667</x:v>
      </x:c>
      <x:c r="V104" s="10">
        <x:v>0.0323</x:v>
      </x:c>
      <x:c r="W104" s="10">
        <x:v>0.2823</x:v>
      </x:c>
      <x:c r="X104" s="10">
        <x:v>0.084</x:v>
      </x:c>
      <x:c r="Y104" s="10">
        <x:v>0.1173</x:v>
      </x:c>
      <x:c r="Z104" s="10">
        <x:v>0.1481</x:v>
      </x:c>
      <x:c r="AA104" s="10">
        <x:v>0.2151</x:v>
      </x:c>
      <x:c r="AB104" s="10">
        <x:v>0</x:v>
      </x:c>
      <x:c r="AC104" s="13">
        <x:v>0</x:v>
      </x:c>
      <x:c r="AD104" s="10">
        <x:v>0.1317</x:v>
      </x:c>
      <x:c r="AE104" s="10">
        <x:v>0.1317</x:v>
      </x:c>
      <x:c r="AF104" s="2" t="s">
        <x:v>35</x:v>
      </x:c>
    </x:row>
    <x:row r="105">
      <x:c r="A105" s="4" t="s">
        <x:v>336</x:v>
      </x:c>
      <x:c r="B105" s="4" t="s">
        <x:v>337</x:v>
      </x:c>
      <x:c r="C105" s="4" t="s">
        <x:v>338</x:v>
      </x:c>
      <x:c r="D105" s="8">
        <x:v>2</x:v>
      </x:c>
      <x:c r="E105" s="8">
        <x:v>8</x:v>
      </x:c>
      <x:c r="F105" s="8">
        <x:v>5</x:v>
      </x:c>
      <x:c r="G105" s="8">
        <x:v>6</x:v>
      </x:c>
      <x:c r="H105" s="8">
        <x:v>3</x:v>
      </x:c>
      <x:c r="I105" s="8">
        <x:v>1</x:v>
      </x:c>
      <x:c r="J105" s="8">
        <x:v>4</x:v>
      </x:c>
      <x:c r="K105" s="8">
        <x:v>2</x:v>
      </x:c>
      <x:c r="L105" s="8">
        <x:v>4</x:v>
      </x:c>
      <x:c r="M105" s="8">
        <x:v>6</x:v>
      </x:c>
      <x:c r="N105" s="8">
        <x:v>8</x:v>
      </x:c>
      <x:c r="O105" s="8">
        <x:v>1</x:v>
      </x:c>
      <x:c r="P105" s="6"/>
      <x:c r="Q105" s="10">
        <x:v>0.0645</x:v>
      </x:c>
      <x:c r="R105" s="10">
        <x:v>0.2581</x:v>
      </x:c>
      <x:c r="S105" s="10">
        <x:v>0.1449</x:v>
      </x:c>
      <x:c r="T105" s="10">
        <x:v>0.1935</x:v>
      </x:c>
      <x:c r="U105" s="10">
        <x:v>0.1</x:v>
      </x:c>
      <x:c r="V105" s="10">
        <x:v>0.0323</x:v>
      </x:c>
      <x:c r="W105" s="10">
        <x:v>0.1613</x:v>
      </x:c>
      <x:c r="X105" s="10">
        <x:v>0.084</x:v>
      </x:c>
      <x:c r="Y105" s="10">
        <x:v>0.1173</x:v>
      </x:c>
      <x:c r="Z105" s="10">
        <x:v>0.2222</x:v>
      </x:c>
      <x:c r="AA105" s="10">
        <x:v>0.2458</x:v>
      </x:c>
      <x:c r="AB105" s="10">
        <x:v>0.029</x:v>
      </x:c>
      <x:c r="AC105" s="13">
        <x:v>0</x:v>
      </x:c>
      <x:c r="AD105" s="10">
        <x:v>0.1377</x:v>
      </x:c>
      <x:c r="AE105" s="10">
        <x:v>0.1377</x:v>
      </x:c>
      <x:c r="AF105" s="2" t="s">
        <x:v>35</x:v>
      </x:c>
    </x:row>
    <x:row r="106">
      <x:c r="A106" s="4" t="s">
        <x:v>339</x:v>
      </x:c>
      <x:c r="B106" s="4" t="s">
        <x:v>340</x:v>
      </x:c>
      <x:c r="C106" s="4" t="s">
        <x:v>341</x:v>
      </x:c>
      <x:c r="D106" s="8">
        <x:v>4</x:v>
      </x:c>
      <x:c r="E106" s="8">
        <x:v>6</x:v>
      </x:c>
      <x:c r="F106" s="8">
        <x:v>4</x:v>
      </x:c>
      <x:c r="G106" s="8">
        <x:v>6</x:v>
      </x:c>
      <x:c r="H106" s="8">
        <x:v>2</x:v>
      </x:c>
      <x:c r="I106" s="8">
        <x:v>2</x:v>
      </x:c>
      <x:c r="J106" s="8">
        <x:v>4</x:v>
      </x:c>
      <x:c r="K106" s="8">
        <x:v>4</x:v>
      </x:c>
      <x:c r="L106" s="8">
        <x:v>5</x:v>
      </x:c>
      <x:c r="M106" s="8">
        <x:v>7</x:v>
      </x:c>
      <x:c r="N106" s="8">
        <x:v>9</x:v>
      </x:c>
      <x:c r="O106" s="8">
        <x:v>1</x:v>
      </x:c>
      <x:c r="P106" s="6"/>
      <x:c r="Q106" s="10">
        <x:v>0.129</x:v>
      </x:c>
      <x:c r="R106" s="10">
        <x:v>0.1935</x:v>
      </x:c>
      <x:c r="S106" s="10">
        <x:v>0.1159</x:v>
      </x:c>
      <x:c r="T106" s="10">
        <x:v>0.1935</x:v>
      </x:c>
      <x:c r="U106" s="10">
        <x:v>0.0667</x:v>
      </x:c>
      <x:c r="V106" s="10">
        <x:v>0.0645</x:v>
      </x:c>
      <x:c r="W106" s="10">
        <x:v>0.1613</x:v>
      </x:c>
      <x:c r="X106" s="10">
        <x:v>0.1681</x:v>
      </x:c>
      <x:c r="Y106" s="10">
        <x:v>0.1466</x:v>
      </x:c>
      <x:c r="Z106" s="10">
        <x:v>0.2593</x:v>
      </x:c>
      <x:c r="AA106" s="10">
        <x:v>0.2765</x:v>
      </x:c>
      <x:c r="AB106" s="10">
        <x:v>0.029</x:v>
      </x:c>
      <x:c r="AC106" s="13">
        <x:v>0</x:v>
      </x:c>
      <x:c r="AD106" s="10">
        <x:v>0.1503</x:v>
      </x:c>
      <x:c r="AE106" s="10">
        <x:v>0.1503</x:v>
      </x:c>
      <x:c r="AF106" s="2" t="s">
        <x:v>35</x:v>
      </x:c>
    </x:row>
    <x:row r="107">
      <x:c r="A107" s="4" t="s">
        <x:v>342</x:v>
      </x:c>
      <x:c r="B107" s="4" t="s">
        <x:v>343</x:v>
      </x:c>
      <x:c r="C107" s="4" t="s">
        <x:v>344</x:v>
      </x:c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22">
        <x:v>0</x:v>
      </x:c>
      <x:c r="R107" s="22">
        <x:v>0</x:v>
      </x:c>
      <x:c r="S107" s="22">
        <x:v>0</x:v>
      </x:c>
      <x:c r="T107" s="22">
        <x:v>0</x:v>
      </x:c>
      <x:c r="U107" s="22">
        <x:v>0</x:v>
      </x:c>
      <x:c r="V107" s="22">
        <x:v>0</x:v>
      </x:c>
      <x:c r="W107" s="22">
        <x:v>0</x:v>
      </x:c>
      <x:c r="X107" s="22">
        <x:v>0</x:v>
      </x:c>
      <x:c r="Y107" s="22">
        <x:v>0</x:v>
      </x:c>
      <x:c r="Z107" s="22">
        <x:v>0</x:v>
      </x:c>
      <x:c r="AA107" s="22">
        <x:v>0</x:v>
      </x:c>
      <x:c r="AB107" s="22">
        <x:v>0</x:v>
      </x:c>
      <x:c r="AC107" s="16">
        <x:v>0</x:v>
      </x:c>
      <x:c r="AF107" s="2" t="s">
        <x:v>51</x:v>
      </x:c>
    </x:row>
    <x:row r="108">
      <x:c r="A108" s="4" t="s">
        <x:v>345</x:v>
      </x:c>
      <x:c r="B108" s="4" t="s">
        <x:v>346</x:v>
      </x:c>
      <x:c r="C108" s="4" t="s">
        <x:v>347</x:v>
      </x:c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22">
        <x:v>0</x:v>
      </x:c>
      <x:c r="R108" s="22">
        <x:v>0</x:v>
      </x:c>
      <x:c r="S108" s="22">
        <x:v>0</x:v>
      </x:c>
      <x:c r="T108" s="22">
        <x:v>0</x:v>
      </x:c>
      <x:c r="U108" s="22">
        <x:v>0</x:v>
      </x:c>
      <x:c r="V108" s="22">
        <x:v>0</x:v>
      </x:c>
      <x:c r="W108" s="22">
        <x:v>0</x:v>
      </x:c>
      <x:c r="X108" s="22">
        <x:v>0</x:v>
      </x:c>
      <x:c r="Y108" s="22">
        <x:v>0</x:v>
      </x:c>
      <x:c r="Z108" s="22">
        <x:v>0</x:v>
      </x:c>
      <x:c r="AA108" s="22">
        <x:v>0</x:v>
      </x:c>
      <x:c r="AB108" s="22">
        <x:v>0</x:v>
      </x:c>
      <x:c r="AC108" s="16">
        <x:v>0</x:v>
      </x:c>
      <x:c r="AF108" s="2" t="s">
        <x:v>51</x:v>
      </x:c>
    </x:row>
    <x:row r="109">
      <x:c r="A109" s="4" t="s">
        <x:v>348</x:v>
      </x:c>
      <x:c r="B109" s="4" t="s">
        <x:v>349</x:v>
      </x:c>
      <x:c r="C109" s="4" t="s">
        <x:v>350</x:v>
      </x:c>
      <x:c r="D109" s="8">
        <x:v>128</x:v>
      </x:c>
      <x:c r="E109" s="8">
        <x:v>150</x:v>
      </x:c>
      <x:c r="F109" s="8">
        <x:v>91</x:v>
      </x:c>
      <x:c r="G109" s="8">
        <x:v>65</x:v>
      </x:c>
      <x:c r="H109" s="8">
        <x:v>104</x:v>
      </x:c>
      <x:c r="I109" s="8">
        <x:v>100</x:v>
      </x:c>
      <x:c r="J109" s="8">
        <x:v>98</x:v>
      </x:c>
      <x:c r="K109" s="8">
        <x:v>86</x:v>
      </x:c>
      <x:c r="L109" s="8">
        <x:v>129</x:v>
      </x:c>
      <x:c r="M109" s="8">
        <x:v>52</x:v>
      </x:c>
      <x:c r="N109" s="8">
        <x:v>52</x:v>
      </x:c>
      <x:c r="O109" s="8">
        <x:v>104</x:v>
      </x:c>
      <x:c r="P109" s="8">
        <x:v>52</x:v>
      </x:c>
      <x:c r="Q109" s="10">
        <x:v>4.129</x:v>
      </x:c>
      <x:c r="R109" s="10">
        <x:v>4.8387</x:v>
      </x:c>
      <x:c r="S109" s="10">
        <x:v>2.6377</x:v>
      </x:c>
      <x:c r="T109" s="10">
        <x:v>2.0968</x:v>
      </x:c>
      <x:c r="U109" s="10">
        <x:v>3.4667</x:v>
      </x:c>
      <x:c r="V109" s="10">
        <x:v>3.2258</x:v>
      </x:c>
      <x:c r="W109" s="10">
        <x:v>3.9516</x:v>
      </x:c>
      <x:c r="X109" s="10">
        <x:v>3.6134</x:v>
      </x:c>
      <x:c r="Y109" s="10">
        <x:v>3.783</x:v>
      </x:c>
      <x:c r="Z109" s="10">
        <x:v>1.9259</x:v>
      </x:c>
      <x:c r="AA109" s="10">
        <x:v>1.5975</x:v>
      </x:c>
      <x:c r="AB109" s="10">
        <x:v>3.0145</x:v>
      </x:c>
      <x:c r="AC109" s="13">
        <x:v>1.6774</x:v>
      </x:c>
      <x:c r="AD109" s="10">
        <x:v>3.1901</x:v>
      </x:c>
      <x:c r="AE109" s="10">
        <x:v>3.1901</x:v>
      </x:c>
      <x:c r="AF109" s="2" t="s">
        <x:v>35</x:v>
      </x:c>
    </x:row>
    <x:row r="110">
      <x:c r="A110" s="4" t="s">
        <x:v>351</x:v>
      </x:c>
      <x:c r="B110" s="4" t="s">
        <x:v>352</x:v>
      </x:c>
      <x:c r="C110" s="4" t="s">
        <x:v>353</x:v>
      </x:c>
      <x:c r="D110" s="8">
        <x:v>10</x:v>
      </x:c>
      <x:c r="E110" s="8">
        <x:v>7</x:v>
      </x:c>
      <x:c r="F110" s="8">
        <x:v>6</x:v>
      </x:c>
      <x:c r="G110" s="8">
        <x:v>22</x:v>
      </x:c>
      <x:c r="H110" s="8">
        <x:v>6</x:v>
      </x:c>
      <x:c r="I110" s="8">
        <x:v>10</x:v>
      </x:c>
      <x:c r="J110" s="8">
        <x:v>8</x:v>
      </x:c>
      <x:c r="K110" s="6"/>
      <x:c r="L110" s="8">
        <x:v>4</x:v>
      </x:c>
      <x:c r="M110" s="8">
        <x:v>14</x:v>
      </x:c>
      <x:c r="N110" s="8">
        <x:v>7</x:v>
      </x:c>
      <x:c r="O110" s="8">
        <x:v>6</x:v>
      </x:c>
      <x:c r="P110" s="8">
        <x:v>4</x:v>
      </x:c>
      <x:c r="Q110" s="10">
        <x:v>0.3226</x:v>
      </x:c>
      <x:c r="R110" s="10">
        <x:v>0.2258</x:v>
      </x:c>
      <x:c r="S110" s="10">
        <x:v>0.1739</x:v>
      </x:c>
      <x:c r="T110" s="10">
        <x:v>0.7097</x:v>
      </x:c>
      <x:c r="U110" s="10">
        <x:v>0.2</x:v>
      </x:c>
      <x:c r="V110" s="10">
        <x:v>0.3226</x:v>
      </x:c>
      <x:c r="W110" s="10">
        <x:v>0.3226</x:v>
      </x:c>
      <x:c r="X110" s="10">
        <x:v>0</x:v>
      </x:c>
      <x:c r="Y110" s="10">
        <x:v>0.1173</x:v>
      </x:c>
      <x:c r="Z110" s="10">
        <x:v>0.5185</x:v>
      </x:c>
      <x:c r="AA110" s="10">
        <x:v>0.2151</x:v>
      </x:c>
      <x:c r="AB110" s="10">
        <x:v>0.1739</x:v>
      </x:c>
      <x:c r="AC110" s="13">
        <x:v>0.129</x:v>
      </x:c>
      <x:c r="AD110" s="10">
        <x:v>0.2752</x:v>
      </x:c>
      <x:c r="AE110" s="10">
        <x:v>0.2752</x:v>
      </x:c>
      <x:c r="AF110" s="2" t="s">
        <x:v>35</x:v>
      </x:c>
    </x:row>
    <x:row r="111">
      <x:c r="A111" s="4" t="s">
        <x:v>354</x:v>
      </x:c>
      <x:c r="B111" s="4" t="s">
        <x:v>355</x:v>
      </x:c>
      <x:c r="C111" s="4" t="s">
        <x:v>356</x:v>
      </x:c>
      <x:c r="D111" s="8">
        <x:v>223</x:v>
      </x:c>
      <x:c r="E111" s="8">
        <x:v>194</x:v>
      </x:c>
      <x:c r="F111" s="8">
        <x:v>496</x:v>
      </x:c>
      <x:c r="G111" s="8">
        <x:v>309</x:v>
      </x:c>
      <x:c r="H111" s="8">
        <x:v>168</x:v>
      </x:c>
      <x:c r="I111" s="8">
        <x:v>323</x:v>
      </x:c>
      <x:c r="J111" s="8">
        <x:v>170</x:v>
      </x:c>
      <x:c r="K111" s="8">
        <x:v>188</x:v>
      </x:c>
      <x:c r="L111" s="8">
        <x:v>308</x:v>
      </x:c>
      <x:c r="M111" s="8">
        <x:v>217</x:v>
      </x:c>
      <x:c r="N111" s="8">
        <x:v>160</x:v>
      </x:c>
      <x:c r="O111" s="8">
        <x:v>254</x:v>
      </x:c>
      <x:c r="P111" s="8">
        <x:v>281</x:v>
      </x:c>
      <x:c r="Q111" s="10">
        <x:v>7.1935</x:v>
      </x:c>
      <x:c r="R111" s="10">
        <x:v>6.2581</x:v>
      </x:c>
      <x:c r="S111" s="10">
        <x:v>14.3768</x:v>
      </x:c>
      <x:c r="T111" s="10">
        <x:v>9.9677</x:v>
      </x:c>
      <x:c r="U111" s="10">
        <x:v>5.6</x:v>
      </x:c>
      <x:c r="V111" s="10">
        <x:v>10.4194</x:v>
      </x:c>
      <x:c r="W111" s="10">
        <x:v>6.8548</x:v>
      </x:c>
      <x:c r="X111" s="10">
        <x:v>7.8992</x:v>
      </x:c>
      <x:c r="Y111" s="10">
        <x:v>9.0323</x:v>
      </x:c>
      <x:c r="Z111" s="10">
        <x:v>8.037</x:v>
      </x:c>
      <x:c r="AA111" s="10">
        <x:v>4.9155</x:v>
      </x:c>
      <x:c r="AB111" s="10">
        <x:v>7.3623</x:v>
      </x:c>
      <x:c r="AC111" s="13">
        <x:v>9.0645</x:v>
      </x:c>
      <x:c r="AD111" s="10">
        <x:v>8.1597</x:v>
      </x:c>
      <x:c r="AE111" s="10">
        <x:v>8.1597</x:v>
      </x:c>
      <x:c r="AF111" s="2" t="s">
        <x:v>35</x:v>
      </x:c>
    </x:row>
    <x:row r="112">
      <x:c r="A112" s="4" t="s">
        <x:v>357</x:v>
      </x:c>
      <x:c r="B112" s="4" t="s">
        <x:v>358</x:v>
      </x:c>
      <x:c r="C112" s="4" t="s">
        <x:v>359</x:v>
      </x:c>
      <x:c r="D112" s="8">
        <x:v>1</x:v>
      </x:c>
      <x:c r="E112" s="6"/>
      <x:c r="F112" s="8">
        <x:v>2</x:v>
      </x:c>
      <x:c r="G112" s="6"/>
      <x:c r="H112" s="8">
        <x:v>6</x:v>
      </x:c>
      <x:c r="I112" s="8">
        <x:v>4</x:v>
      </x:c>
      <x:c r="J112" s="6"/>
      <x:c r="K112" s="6"/>
      <x:c r="L112" s="8">
        <x:v>2</x:v>
      </x:c>
      <x:c r="M112" s="8">
        <x:v>9</x:v>
      </x:c>
      <x:c r="N112" s="8">
        <x:v>3</x:v>
      </x:c>
      <x:c r="O112" s="6"/>
      <x:c r="P112" s="8">
        <x:v>5</x:v>
      </x:c>
      <x:c r="Q112" s="10">
        <x:v>0.0323</x:v>
      </x:c>
      <x:c r="R112" s="10">
        <x:v>0</x:v>
      </x:c>
      <x:c r="S112" s="10">
        <x:v>0.058</x:v>
      </x:c>
      <x:c r="T112" s="10">
        <x:v>0</x:v>
      </x:c>
      <x:c r="U112" s="10">
        <x:v>0.2</x:v>
      </x:c>
      <x:c r="V112" s="10">
        <x:v>0.129</x:v>
      </x:c>
      <x:c r="W112" s="10">
        <x:v>0</x:v>
      </x:c>
      <x:c r="X112" s="10">
        <x:v>0</x:v>
      </x:c>
      <x:c r="Y112" s="10">
        <x:v>0.0587</x:v>
      </x:c>
      <x:c r="Z112" s="10">
        <x:v>0.3333</x:v>
      </x:c>
      <x:c r="AA112" s="19">
        <x:v>0.2857</x:v>
      </x:c>
      <x:c r="AB112" s="22">
        <x:v>0</x:v>
      </x:c>
      <x:c r="AC112" s="16">
        <x:v>0.2778</x:v>
      </x:c>
      <x:c r="AD112" s="10">
        <x:v>0.0811</x:v>
      </x:c>
      <x:c r="AE112" s="10">
        <x:v>0.0811</x:v>
      </x:c>
      <x:c r="AF112" s="2" t="s">
        <x:v>35</x:v>
      </x:c>
    </x:row>
    <x:row r="113">
      <x:c r="A113" s="4" t="s">
        <x:v>360</x:v>
      </x:c>
      <x:c r="B113" s="4" t="s">
        <x:v>361</x:v>
      </x:c>
      <x:c r="C113" s="4" t="s">
        <x:v>362</x:v>
      </x:c>
      <x:c r="D113" s="8">
        <x:v>2</x:v>
      </x:c>
      <x:c r="E113" s="6"/>
      <x:c r="F113" s="6"/>
      <x:c r="G113" s="6"/>
      <x:c r="H113" s="6"/>
      <x:c r="I113" s="6"/>
      <x:c r="J113" s="8">
        <x:v>1</x:v>
      </x:c>
      <x:c r="K113" s="8">
        <x:v>2</x:v>
      </x:c>
      <x:c r="L113" s="8">
        <x:v>2</x:v>
      </x:c>
      <x:c r="M113" s="8">
        <x:v>2</x:v>
      </x:c>
      <x:c r="N113" s="6"/>
      <x:c r="O113" s="6"/>
      <x:c r="P113" s="6"/>
      <x:c r="Q113" s="10">
        <x:v>0.0645</x:v>
      </x:c>
      <x:c r="R113" s="10">
        <x:v>0</x:v>
      </x:c>
      <x:c r="S113" s="10">
        <x:v>0</x:v>
      </x:c>
      <x:c r="T113" s="10">
        <x:v>0</x:v>
      </x:c>
      <x:c r="U113" s="10">
        <x:v>0</x:v>
      </x:c>
      <x:c r="V113" s="10">
        <x:v>0</x:v>
      </x:c>
      <x:c r="W113" s="10">
        <x:v>0.0403</x:v>
      </x:c>
      <x:c r="X113" s="10">
        <x:v>0.084</x:v>
      </x:c>
      <x:c r="Y113" s="10">
        <x:v>0.0587</x:v>
      </x:c>
      <x:c r="Z113" s="10">
        <x:v>0.0741</x:v>
      </x:c>
      <x:c r="AA113" s="10">
        <x:v>0</x:v>
      </x:c>
      <x:c r="AB113" s="10">
        <x:v>0</x:v>
      </x:c>
      <x:c r="AC113" s="13">
        <x:v>0</x:v>
      </x:c>
      <x:c r="AD113" s="10">
        <x:v>0.0268</x:v>
      </x:c>
      <x:c r="AE113" s="10">
        <x:v>0.0268</x:v>
      </x:c>
      <x:c r="AF113" s="2" t="s">
        <x:v>35</x:v>
      </x:c>
    </x:row>
    <x:row r="114">
      <x:c r="A114" s="4" t="s">
        <x:v>363</x:v>
      </x:c>
      <x:c r="B114" s="4" t="s">
        <x:v>364</x:v>
      </x:c>
      <x:c r="C114" s="4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22">
        <x:v>0</x:v>
      </x:c>
      <x:c r="R114" s="22">
        <x:v>0</x:v>
      </x:c>
      <x:c r="S114" s="22">
        <x:v>0</x:v>
      </x:c>
      <x:c r="T114" s="22">
        <x:v>0</x:v>
      </x:c>
      <x:c r="U114" s="22">
        <x:v>0</x:v>
      </x:c>
      <x:c r="V114" s="22">
        <x:v>0</x:v>
      </x:c>
      <x:c r="W114" s="22">
        <x:v>0</x:v>
      </x:c>
      <x:c r="X114" s="22">
        <x:v>0</x:v>
      </x:c>
      <x:c r="Y114" s="22">
        <x:v>0</x:v>
      </x:c>
      <x:c r="Z114" s="22">
        <x:v>0</x:v>
      </x:c>
      <x:c r="AA114" s="22">
        <x:v>0</x:v>
      </x:c>
      <x:c r="AB114" s="22">
        <x:v>0</x:v>
      </x:c>
      <x:c r="AC114" s="16">
        <x:v>0</x:v>
      </x:c>
      <x:c r="AF114" s="2" t="s">
        <x:v>51</x:v>
      </x:c>
    </x:row>
    <x:row r="115">
      <x:c r="A115" s="4" t="s">
        <x:v>365</x:v>
      </x:c>
      <x:c r="B115" s="4" t="s">
        <x:v>366</x:v>
      </x:c>
      <x:c r="C115" s="4" t="s">
        <x:v>367</x:v>
      </x:c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22">
        <x:v>0</x:v>
      </x:c>
      <x:c r="R115" s="22">
        <x:v>0</x:v>
      </x:c>
      <x:c r="S115" s="22">
        <x:v>0</x:v>
      </x:c>
      <x:c r="T115" s="22">
        <x:v>0</x:v>
      </x:c>
      <x:c r="U115" s="22">
        <x:v>0</x:v>
      </x:c>
      <x:c r="V115" s="22">
        <x:v>0</x:v>
      </x:c>
      <x:c r="W115" s="22">
        <x:v>0</x:v>
      </x:c>
      <x:c r="X115" s="22">
        <x:v>0</x:v>
      </x:c>
      <x:c r="Y115" s="22">
        <x:v>0</x:v>
      </x:c>
      <x:c r="Z115" s="22">
        <x:v>0</x:v>
      </x:c>
      <x:c r="AA115" s="22">
        <x:v>0</x:v>
      </x:c>
      <x:c r="AB115" s="22">
        <x:v>0</x:v>
      </x:c>
      <x:c r="AC115" s="16">
        <x:v>0</x:v>
      </x:c>
      <x:c r="AF115" s="2" t="s">
        <x:v>35</x:v>
      </x:c>
    </x:row>
    <x:row r="116">
      <x:c r="A116" s="4" t="s">
        <x:v>368</x:v>
      </x:c>
      <x:c r="B116" s="4" t="s">
        <x:v>369</x:v>
      </x:c>
      <x:c r="C116" s="4" t="s">
        <x:v>370</x:v>
      </x:c>
      <x:c r="D116" s="6"/>
      <x:c r="E116" s="6"/>
      <x:c r="F116" s="6"/>
      <x:c r="G116" s="8">
        <x:v>5</x:v>
      </x:c>
      <x:c r="H116" s="6"/>
      <x:c r="I116" s="6"/>
      <x:c r="J116" s="6"/>
      <x:c r="K116" s="6"/>
      <x:c r="L116" s="6"/>
      <x:c r="M116" s="6"/>
      <x:c r="N116" s="6"/>
      <x:c r="O116" s="6"/>
      <x:c r="P116" s="8">
        <x:v>1</x:v>
      </x:c>
      <x:c r="Q116" s="10">
        <x:v>0</x:v>
      </x:c>
      <x:c r="R116" s="10">
        <x:v>0</x:v>
      </x:c>
      <x:c r="S116" s="10">
        <x:v>0</x:v>
      </x:c>
      <x:c r="T116" s="10">
        <x:v>0.1613</x:v>
      </x:c>
      <x:c r="U116" s="10">
        <x:v>0</x:v>
      </x:c>
      <x:c r="V116" s="10">
        <x:v>0</x:v>
      </x:c>
      <x:c r="W116" s="10">
        <x:v>0</x:v>
      </x:c>
      <x:c r="X116" s="10">
        <x:v>0</x:v>
      </x:c>
      <x:c r="Y116" s="10">
        <x:v>0</x:v>
      </x:c>
      <x:c r="Z116" s="10">
        <x:v>0</x:v>
      </x:c>
      <x:c r="AA116" s="10">
        <x:v>0</x:v>
      </x:c>
      <x:c r="AB116" s="10">
        <x:v>0</x:v>
      </x:c>
      <x:c r="AC116" s="13">
        <x:v>0.0323</x:v>
      </x:c>
      <x:c r="AD116" s="10">
        <x:v>0.0134</x:v>
      </x:c>
      <x:c r="AE116" s="10">
        <x:v>0.0134</x:v>
      </x:c>
      <x:c r="AF116" s="2" t="s">
        <x:v>35</x:v>
      </x:c>
    </x:row>
    <x:row r="117">
      <x:c r="A117" s="4" t="s">
        <x:v>371</x:v>
      </x:c>
      <x:c r="B117" s="4" t="s">
        <x:v>372</x:v>
      </x:c>
      <x:c r="C117" s="4" t="s">
        <x:v>373</x:v>
      </x:c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22">
        <x:v>0</x:v>
      </x:c>
      <x:c r="R117" s="22">
        <x:v>0</x:v>
      </x:c>
      <x:c r="S117" s="22">
        <x:v>0</x:v>
      </x:c>
      <x:c r="T117" s="22">
        <x:v>0</x:v>
      </x:c>
      <x:c r="U117" s="22">
        <x:v>0</x:v>
      </x:c>
      <x:c r="V117" s="22">
        <x:v>0</x:v>
      </x:c>
      <x:c r="W117" s="22">
        <x:v>0</x:v>
      </x:c>
      <x:c r="X117" s="22">
        <x:v>0</x:v>
      </x:c>
      <x:c r="Y117" s="22">
        <x:v>0</x:v>
      </x:c>
      <x:c r="Z117" s="22">
        <x:v>0</x:v>
      </x:c>
      <x:c r="AA117" s="22">
        <x:v>0</x:v>
      </x:c>
      <x:c r="AB117" s="22">
        <x:v>0</x:v>
      </x:c>
      <x:c r="AC117" s="16">
        <x:v>0</x:v>
      </x:c>
      <x:c r="AF117" s="2" t="s">
        <x:v>35</x:v>
      </x:c>
    </x:row>
    <x:row r="118">
      <x:c r="A118" s="4" t="s">
        <x:v>374</x:v>
      </x:c>
      <x:c r="B118" s="4" t="s">
        <x:v>375</x:v>
      </x:c>
      <x:c r="C118" s="4" t="s">
        <x:v>376</x:v>
      </x:c>
      <x:c r="D118" s="6"/>
      <x:c r="E118" s="6"/>
      <x:c r="F118" s="6"/>
      <x:c r="G118" s="8">
        <x:v>5</x:v>
      </x:c>
      <x:c r="H118" s="6"/>
      <x:c r="I118" s="6"/>
      <x:c r="J118" s="6"/>
      <x:c r="K118" s="6"/>
      <x:c r="L118" s="6"/>
      <x:c r="M118" s="6"/>
      <x:c r="N118" s="6"/>
      <x:c r="O118" s="6"/>
      <x:c r="P118" s="6"/>
      <x:c r="Q118" s="10">
        <x:v>0</x:v>
      </x:c>
      <x:c r="R118" s="10">
        <x:v>0</x:v>
      </x:c>
      <x:c r="S118" s="10">
        <x:v>0</x:v>
      </x:c>
      <x:c r="T118" s="19">
        <x:v>0.1923</x:v>
      </x:c>
      <x:c r="U118" s="22">
        <x:v>0</x:v>
      </x:c>
      <x:c r="V118" s="22">
        <x:v>0</x:v>
      </x:c>
      <x:c r="W118" s="22">
        <x:v>0</x:v>
      </x:c>
      <x:c r="X118" s="22">
        <x:v>0</x:v>
      </x:c>
      <x:c r="Y118" s="22">
        <x:v>0</x:v>
      </x:c>
      <x:c r="Z118" s="22">
        <x:v>0</x:v>
      </x:c>
      <x:c r="AA118" s="22">
        <x:v>0</x:v>
      </x:c>
      <x:c r="AB118" s="22">
        <x:v>0</x:v>
      </x:c>
      <x:c r="AC118" s="16">
        <x:v>0</x:v>
      </x:c>
      <x:c r="AF118" s="2" t="s">
        <x:v>35</x:v>
      </x:c>
    </x:row>
    <x:row r="119">
      <x:c r="A119" s="4" t="s">
        <x:v>377</x:v>
      </x:c>
      <x:c r="B119" s="4" t="s">
        <x:v>378</x:v>
      </x:c>
      <x:c r="C119" s="4" t="s">
        <x:v>379</x:v>
      </x:c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22">
        <x:v>0</x:v>
      </x:c>
      <x:c r="R119" s="22">
        <x:v>0</x:v>
      </x:c>
      <x:c r="S119" s="22">
        <x:v>0</x:v>
      </x:c>
      <x:c r="T119" s="22">
        <x:v>0</x:v>
      </x:c>
      <x:c r="U119" s="22">
        <x:v>0</x:v>
      </x:c>
      <x:c r="V119" s="22">
        <x:v>0</x:v>
      </x:c>
      <x:c r="W119" s="22">
        <x:v>0</x:v>
      </x:c>
      <x:c r="X119" s="22">
        <x:v>0</x:v>
      </x:c>
      <x:c r="Y119" s="22">
        <x:v>0</x:v>
      </x:c>
      <x:c r="Z119" s="22">
        <x:v>0</x:v>
      </x:c>
      <x:c r="AA119" s="22">
        <x:v>0</x:v>
      </x:c>
      <x:c r="AB119" s="22">
        <x:v>0</x:v>
      </x:c>
      <x:c r="AC119" s="16">
        <x:v>0</x:v>
      </x:c>
      <x:c r="AF119" s="2" t="s">
        <x:v>35</x:v>
      </x:c>
    </x:row>
    <x:row r="120">
      <x:c r="A120" s="4" t="s">
        <x:v>380</x:v>
      </x:c>
      <x:c r="B120" s="4" t="s">
        <x:v>381</x:v>
      </x:c>
      <x:c r="C120" s="4" t="s">
        <x:v>382</x:v>
      </x:c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22">
        <x:v>0</x:v>
      </x:c>
      <x:c r="R120" s="22">
        <x:v>0</x:v>
      </x:c>
      <x:c r="S120" s="22">
        <x:v>0</x:v>
      </x:c>
      <x:c r="T120" s="22">
        <x:v>0</x:v>
      </x:c>
      <x:c r="U120" s="22">
        <x:v>0</x:v>
      </x:c>
      <x:c r="V120" s="22">
        <x:v>0</x:v>
      </x:c>
      <x:c r="W120" s="22">
        <x:v>0</x:v>
      </x:c>
      <x:c r="X120" s="22">
        <x:v>0</x:v>
      </x:c>
      <x:c r="Y120" s="22">
        <x:v>0</x:v>
      </x:c>
      <x:c r="Z120" s="22">
        <x:v>0</x:v>
      </x:c>
      <x:c r="AA120" s="22">
        <x:v>0</x:v>
      </x:c>
      <x:c r="AB120" s="22">
        <x:v>0</x:v>
      </x:c>
      <x:c r="AC120" s="16">
        <x:v>0</x:v>
      </x:c>
      <x:c r="AF120" s="2" t="s">
        <x:v>51</x:v>
      </x:c>
    </x:row>
    <x:row r="121">
      <x:c r="A121" s="4" t="s">
        <x:v>383</x:v>
      </x:c>
      <x:c r="B121" s="4" t="s">
        <x:v>384</x:v>
      </x:c>
      <x:c r="C121" s="4" t="s">
        <x:v>385</x:v>
      </x:c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10">
        <x:v>0</x:v>
      </x:c>
      <x:c r="R121" s="10">
        <x:v>0</x:v>
      </x:c>
      <x:c r="S121" s="10">
        <x:v>0</x:v>
      </x:c>
      <x:c r="T121" s="10">
        <x:v>0</x:v>
      </x:c>
      <x:c r="U121" s="10">
        <x:v>0</x:v>
      </x:c>
      <x:c r="V121" s="10">
        <x:v>0</x:v>
      </x:c>
      <x:c r="W121" s="10">
        <x:v>0</x:v>
      </x:c>
      <x:c r="X121" s="10">
        <x:v>0</x:v>
      </x:c>
      <x:c r="Y121" s="10">
        <x:v>0</x:v>
      </x:c>
      <x:c r="Z121" s="10">
        <x:v>0</x:v>
      </x:c>
      <x:c r="AA121" s="10">
        <x:v>0</x:v>
      </x:c>
      <x:c r="AB121" s="10">
        <x:v>0</x:v>
      </x:c>
      <x:c r="AC121" s="13">
        <x:v>0</x:v>
      </x:c>
      <x:c r="AF121" s="2" t="s">
        <x:v>35</x:v>
      </x:c>
    </x:row>
    <x:row r="122">
      <x:c r="A122" s="4" t="s">
        <x:v>386</x:v>
      </x:c>
      <x:c r="B122" s="4" t="s">
        <x:v>387</x:v>
      </x:c>
      <x:c r="C122" s="4" t="s">
        <x:v>388</x:v>
      </x:c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22">
        <x:v>0</x:v>
      </x:c>
      <x:c r="R122" s="22">
        <x:v>0</x:v>
      </x:c>
      <x:c r="S122" s="22">
        <x:v>0</x:v>
      </x:c>
      <x:c r="T122" s="22">
        <x:v>0</x:v>
      </x:c>
      <x:c r="U122" s="22">
        <x:v>0</x:v>
      </x:c>
      <x:c r="V122" s="22">
        <x:v>0</x:v>
      </x:c>
      <x:c r="W122" s="22">
        <x:v>0</x:v>
      </x:c>
      <x:c r="X122" s="22">
        <x:v>0</x:v>
      </x:c>
      <x:c r="Y122" s="22">
        <x:v>0</x:v>
      </x:c>
      <x:c r="Z122" s="22">
        <x:v>0</x:v>
      </x:c>
      <x:c r="AA122" s="22">
        <x:v>0</x:v>
      </x:c>
      <x:c r="AB122" s="22">
        <x:v>0</x:v>
      </x:c>
      <x:c r="AC122" s="16">
        <x:v>0</x:v>
      </x:c>
      <x:c r="AF122" s="2" t="s">
        <x:v>51</x:v>
      </x:c>
    </x:row>
    <x:row r="123">
      <x:c r="A123" s="4" t="s">
        <x:v>389</x:v>
      </x:c>
      <x:c r="B123" s="4" t="s">
        <x:v>390</x:v>
      </x:c>
      <x:c r="C123" s="4" t="s">
        <x:v>391</x:v>
      </x:c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22">
        <x:v>0</x:v>
      </x:c>
      <x:c r="R123" s="22">
        <x:v>0</x:v>
      </x:c>
      <x:c r="S123" s="22">
        <x:v>0</x:v>
      </x:c>
      <x:c r="T123" s="22">
        <x:v>0</x:v>
      </x:c>
      <x:c r="U123" s="22">
        <x:v>0</x:v>
      </x:c>
      <x:c r="V123" s="22">
        <x:v>0</x:v>
      </x:c>
      <x:c r="W123" s="22">
        <x:v>0</x:v>
      </x:c>
      <x:c r="X123" s="22">
        <x:v>0</x:v>
      </x:c>
      <x:c r="Y123" s="22">
        <x:v>0</x:v>
      </x:c>
      <x:c r="Z123" s="22">
        <x:v>0</x:v>
      </x:c>
      <x:c r="AA123" s="22">
        <x:v>0</x:v>
      </x:c>
      <x:c r="AB123" s="22">
        <x:v>0</x:v>
      </x:c>
      <x:c r="AC123" s="16">
        <x:v>0</x:v>
      </x:c>
      <x:c r="AF123" s="2" t="s">
        <x:v>51</x:v>
      </x:c>
    </x:row>
    <x:row r="124">
      <x:c r="A124" s="4" t="s">
        <x:v>392</x:v>
      </x:c>
      <x:c r="B124" s="4" t="s">
        <x:v>393</x:v>
      </x:c>
      <x:c r="C124" s="4" t="s">
        <x:v>394</x:v>
      </x:c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22">
        <x:v>0</x:v>
      </x:c>
      <x:c r="R124" s="22">
        <x:v>0</x:v>
      </x:c>
      <x:c r="S124" s="22">
        <x:v>0</x:v>
      </x:c>
      <x:c r="T124" s="22">
        <x:v>0</x:v>
      </x:c>
      <x:c r="U124" s="22">
        <x:v>0</x:v>
      </x:c>
      <x:c r="V124" s="22">
        <x:v>0</x:v>
      </x:c>
      <x:c r="W124" s="22">
        <x:v>0</x:v>
      </x:c>
      <x:c r="X124" s="22">
        <x:v>0</x:v>
      </x:c>
      <x:c r="Y124" s="22">
        <x:v>0</x:v>
      </x:c>
      <x:c r="Z124" s="22">
        <x:v>0</x:v>
      </x:c>
      <x:c r="AA124" s="22">
        <x:v>0</x:v>
      </x:c>
      <x:c r="AB124" s="22">
        <x:v>0</x:v>
      </x:c>
      <x:c r="AC124" s="16">
        <x:v>0</x:v>
      </x:c>
      <x:c r="AF124" s="2" t="s">
        <x:v>51</x:v>
      </x:c>
    </x:row>
    <x:row r="125">
      <x:c r="A125" s="4" t="s">
        <x:v>395</x:v>
      </x:c>
      <x:c r="B125" s="4" t="s">
        <x:v>396</x:v>
      </x:c>
      <x:c r="C125" s="4" t="s">
        <x:v>397</x:v>
      </x:c>
      <x:c r="D125" s="8">
        <x:v>717</x:v>
      </x:c>
      <x:c r="E125" s="8">
        <x:v>601</x:v>
      </x:c>
      <x:c r="F125" s="8">
        <x:v>974</x:v>
      </x:c>
      <x:c r="G125" s="8">
        <x:v>691</x:v>
      </x:c>
      <x:c r="H125" s="8">
        <x:v>376</x:v>
      </x:c>
      <x:c r="I125" s="8">
        <x:v>432</x:v>
      </x:c>
      <x:c r="J125" s="8">
        <x:v>679</x:v>
      </x:c>
      <x:c r="K125" s="8">
        <x:v>324</x:v>
      </x:c>
      <x:c r="L125" s="8">
        <x:v>574</x:v>
      </x:c>
      <x:c r="M125" s="8">
        <x:v>471</x:v>
      </x:c>
      <x:c r="N125" s="8">
        <x:v>606</x:v>
      </x:c>
      <x:c r="O125" s="8">
        <x:v>628</x:v>
      </x:c>
      <x:c r="P125" s="8">
        <x:v>420</x:v>
      </x:c>
      <x:c r="Q125" s="10">
        <x:v>23.129</x:v>
      </x:c>
      <x:c r="R125" s="10">
        <x:v>19.3871</x:v>
      </x:c>
      <x:c r="S125" s="10">
        <x:v>28.2319</x:v>
      </x:c>
      <x:c r="T125" s="10">
        <x:v>22.2903</x:v>
      </x:c>
      <x:c r="U125" s="10">
        <x:v>12.5333</x:v>
      </x:c>
      <x:c r="V125" s="10">
        <x:v>13.9355</x:v>
      </x:c>
      <x:c r="W125" s="10">
        <x:v>27.379</x:v>
      </x:c>
      <x:c r="X125" s="10">
        <x:v>13.6134</x:v>
      </x:c>
      <x:c r="Y125" s="10">
        <x:v>16.8328</x:v>
      </x:c>
      <x:c r="Z125" s="10">
        <x:v>17.4444</x:v>
      </x:c>
      <x:c r="AA125" s="10">
        <x:v>18.6175</x:v>
      </x:c>
      <x:c r="AB125" s="10">
        <x:v>18.2029</x:v>
      </x:c>
      <x:c r="AC125" s="13">
        <x:v>13.5484</x:v>
      </x:c>
      <x:c r="AD125" s="10">
        <x:v>19.2998</x:v>
      </x:c>
      <x:c r="AE125" s="10">
        <x:v>19.2998</x:v>
      </x:c>
      <x:c r="AF125" s="2" t="s">
        <x:v>35</x:v>
      </x:c>
    </x:row>
    <x:row r="126">
      <x:c r="A126" s="4" t="s">
        <x:v>398</x:v>
      </x:c>
      <x:c r="B126" s="4" t="s">
        <x:v>399</x:v>
      </x:c>
      <x:c r="C126" s="4" t="s">
        <x:v>400</x:v>
      </x:c>
      <x:c r="D126" s="8">
        <x:v>15</x:v>
      </x:c>
      <x:c r="E126" s="8">
        <x:v>11</x:v>
      </x:c>
      <x:c r="F126" s="8">
        <x:v>23</x:v>
      </x:c>
      <x:c r="G126" s="8">
        <x:v>24</x:v>
      </x:c>
      <x:c r="H126" s="8">
        <x:v>27</x:v>
      </x:c>
      <x:c r="I126" s="8">
        <x:v>8</x:v>
      </x:c>
      <x:c r="J126" s="8">
        <x:v>2</x:v>
      </x:c>
      <x:c r="K126" s="8">
        <x:v>25</x:v>
      </x:c>
      <x:c r="L126" s="8">
        <x:v>24</x:v>
      </x:c>
      <x:c r="M126" s="8">
        <x:v>32</x:v>
      </x:c>
      <x:c r="N126" s="8">
        <x:v>18</x:v>
      </x:c>
      <x:c r="O126" s="8">
        <x:v>8</x:v>
      </x:c>
      <x:c r="P126" s="8">
        <x:v>14</x:v>
      </x:c>
      <x:c r="Q126" s="10">
        <x:v>0.4839</x:v>
      </x:c>
      <x:c r="R126" s="10">
        <x:v>0.3548</x:v>
      </x:c>
      <x:c r="S126" s="10">
        <x:v>0.6667</x:v>
      </x:c>
      <x:c r="T126" s="10">
        <x:v>0.7742</x:v>
      </x:c>
      <x:c r="U126" s="10">
        <x:v>0.9</x:v>
      </x:c>
      <x:c r="V126" s="10">
        <x:v>0.2581</x:v>
      </x:c>
      <x:c r="W126" s="10">
        <x:v>0.0806</x:v>
      </x:c>
      <x:c r="X126" s="10">
        <x:v>1.0504</x:v>
      </x:c>
      <x:c r="Y126" s="10">
        <x:v>0.7038</x:v>
      </x:c>
      <x:c r="Z126" s="10">
        <x:v>1.1852</x:v>
      </x:c>
      <x:c r="AA126" s="10">
        <x:v>0.553</x:v>
      </x:c>
      <x:c r="AB126" s="10">
        <x:v>0.2319</x:v>
      </x:c>
      <x:c r="AC126" s="13">
        <x:v>0.4516</x:v>
      </x:c>
      <x:c r="AD126" s="10">
        <x:v>0.6036</x:v>
      </x:c>
      <x:c r="AE126" s="10">
        <x:v>0.6036</x:v>
      </x:c>
      <x:c r="AF126" s="2" t="s">
        <x:v>35</x:v>
      </x:c>
    </x:row>
    <x:row r="127">
      <x:c r="A127" s="25" t="s">
        <x:v>401</x:v>
      </x:c>
      <x:c r="B127" s="4" t="s">
        <x:v>402</x:v>
      </x:c>
      <x:c r="C127" s="4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22">
        <x:v>0</x:v>
      </x:c>
      <x:c r="R127" s="22">
        <x:v>0</x:v>
      </x:c>
      <x:c r="S127" s="22">
        <x:v>0</x:v>
      </x:c>
      <x:c r="T127" s="22">
        <x:v>0</x:v>
      </x:c>
      <x:c r="U127" s="22">
        <x:v>0</x:v>
      </x:c>
      <x:c r="V127" s="22">
        <x:v>0</x:v>
      </x:c>
      <x:c r="W127" s="22">
        <x:v>0</x:v>
      </x:c>
      <x:c r="X127" s="22">
        <x:v>0</x:v>
      </x:c>
      <x:c r="Y127" s="22">
        <x:v>0</x:v>
      </x:c>
      <x:c r="Z127" s="22">
        <x:v>0</x:v>
      </x:c>
      <x:c r="AA127" s="22">
        <x:v>0</x:v>
      </x:c>
      <x:c r="AB127" s="22">
        <x:v>0</x:v>
      </x:c>
      <x:c r="AC127" s="16">
        <x:v>0</x:v>
      </x:c>
      <x:c r="AF127" s="2" t="s">
        <x:v>51</x:v>
      </x:c>
    </x:row>
    <x:row r="128">
      <x:c r="A128" s="4" t="s">
        <x:v>403</x:v>
      </x:c>
      <x:c r="B128" s="4" t="s">
        <x:v>404</x:v>
      </x:c>
      <x:c r="C128" s="4" t="s">
        <x:v>405</x:v>
      </x:c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22">
        <x:v>0</x:v>
      </x:c>
      <x:c r="R128" s="22">
        <x:v>0</x:v>
      </x:c>
      <x:c r="S128" s="22">
        <x:v>0</x:v>
      </x:c>
      <x:c r="T128" s="22">
        <x:v>0</x:v>
      </x:c>
      <x:c r="U128" s="22">
        <x:v>0</x:v>
      </x:c>
      <x:c r="V128" s="22">
        <x:v>0</x:v>
      </x:c>
      <x:c r="W128" s="22">
        <x:v>0</x:v>
      </x:c>
      <x:c r="X128" s="22">
        <x:v>0</x:v>
      </x:c>
      <x:c r="Y128" s="22">
        <x:v>0</x:v>
      </x:c>
      <x:c r="Z128" s="22">
        <x:v>0</x:v>
      </x:c>
      <x:c r="AA128" s="22">
        <x:v>0</x:v>
      </x:c>
      <x:c r="AB128" s="22">
        <x:v>0</x:v>
      </x:c>
      <x:c r="AC128" s="16">
        <x:v>0</x:v>
      </x:c>
      <x:c r="AF128" s="2" t="s">
        <x:v>51</x:v>
      </x:c>
    </x:row>
    <x:row r="129">
      <x:c r="A129" s="4" t="s">
        <x:v>406</x:v>
      </x:c>
      <x:c r="B129" s="4" t="s">
        <x:v>407</x:v>
      </x:c>
      <x:c r="C129" s="4" t="s">
        <x:v>408</x:v>
      </x:c>
      <x:c r="D129" s="8">
        <x:v>1</x:v>
      </x:c>
      <x:c r="E129" s="8">
        <x:v>1</x:v>
      </x:c>
      <x:c r="F129" s="6"/>
      <x:c r="G129" s="8">
        <x:v>5</x:v>
      </x:c>
      <x:c r="H129" s="6"/>
      <x:c r="I129" s="8">
        <x:v>6</x:v>
      </x:c>
      <x:c r="J129" s="8">
        <x:v>1</x:v>
      </x:c>
      <x:c r="K129" s="6"/>
      <x:c r="L129" s="6"/>
      <x:c r="M129" s="8">
        <x:v>6</x:v>
      </x:c>
      <x:c r="N129" s="6"/>
      <x:c r="O129" s="8">
        <x:v>2</x:v>
      </x:c>
      <x:c r="P129" s="6"/>
      <x:c r="Q129" s="10">
        <x:v>0.0323</x:v>
      </x:c>
      <x:c r="R129" s="10">
        <x:v>0.0323</x:v>
      </x:c>
      <x:c r="S129" s="10">
        <x:v>0</x:v>
      </x:c>
      <x:c r="T129" s="10">
        <x:v>0.1613</x:v>
      </x:c>
      <x:c r="U129" s="10">
        <x:v>0</x:v>
      </x:c>
      <x:c r="V129" s="10">
        <x:v>0.1935</x:v>
      </x:c>
      <x:c r="W129" s="10">
        <x:v>0.0403</x:v>
      </x:c>
      <x:c r="X129" s="10">
        <x:v>0</x:v>
      </x:c>
      <x:c r="Y129" s="10">
        <x:v>0</x:v>
      </x:c>
      <x:c r="Z129" s="19">
        <x:v>0.2899</x:v>
      </x:c>
      <x:c r="AA129" s="19">
        <x:v>0</x:v>
      </x:c>
      <x:c r="AB129" s="19">
        <x:v>0.1242</x:v>
      </x:c>
      <x:c r="AC129" s="16">
        <x:v>0</x:v>
      </x:c>
      <x:c r="AD129" s="10">
        <x:v>0.0511</x:v>
      </x:c>
      <x:c r="AE129" s="10">
        <x:v>0.0511</x:v>
      </x:c>
      <x:c r="AF129" s="2" t="s">
        <x:v>35</x:v>
      </x:c>
    </x:row>
    <x:row r="130">
      <x:c r="A130" s="4" t="s">
        <x:v>409</x:v>
      </x:c>
      <x:c r="B130" s="4" t="s">
        <x:v>410</x:v>
      </x:c>
      <x:c r="C130" s="4" t="s">
        <x:v>411</x:v>
      </x:c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22">
        <x:v>0</x:v>
      </x:c>
      <x:c r="R130" s="22">
        <x:v>0</x:v>
      </x:c>
      <x:c r="S130" s="22">
        <x:v>0</x:v>
      </x:c>
      <x:c r="T130" s="22">
        <x:v>0</x:v>
      </x:c>
      <x:c r="U130" s="22">
        <x:v>0</x:v>
      </x:c>
      <x:c r="V130" s="22">
        <x:v>0</x:v>
      </x:c>
      <x:c r="W130" s="22">
        <x:v>0</x:v>
      </x:c>
      <x:c r="X130" s="22">
        <x:v>0</x:v>
      </x:c>
      <x:c r="Y130" s="22">
        <x:v>0</x:v>
      </x:c>
      <x:c r="Z130" s="22">
        <x:v>0</x:v>
      </x:c>
      <x:c r="AA130" s="22">
        <x:v>0</x:v>
      </x:c>
      <x:c r="AB130" s="22">
        <x:v>0</x:v>
      </x:c>
      <x:c r="AC130" s="16">
        <x:v>0</x:v>
      </x:c>
      <x:c r="AF130" s="2" t="s">
        <x:v>51</x:v>
      </x:c>
    </x:row>
    <x:row r="131">
      <x:c r="A131" s="4" t="s">
        <x:v>412</x:v>
      </x:c>
      <x:c r="B131" s="4" t="s">
        <x:v>413</x:v>
      </x:c>
      <x:c r="C131" s="4" t="s">
        <x:v>414</x:v>
      </x:c>
      <x:c r="D131" s="8">
        <x:v>31</x:v>
      </x:c>
      <x:c r="E131" s="8">
        <x:v>12</x:v>
      </x:c>
      <x:c r="F131" s="8">
        <x:v>10</x:v>
      </x:c>
      <x:c r="G131" s="8">
        <x:v>15</x:v>
      </x:c>
      <x:c r="H131" s="8">
        <x:v>9</x:v>
      </x:c>
      <x:c r="I131" s="8">
        <x:v>17</x:v>
      </x:c>
      <x:c r="J131" s="8">
        <x:v>9</x:v>
      </x:c>
      <x:c r="K131" s="8">
        <x:v>9</x:v>
      </x:c>
      <x:c r="L131" s="8">
        <x:v>20</x:v>
      </x:c>
      <x:c r="M131" s="8">
        <x:v>11</x:v>
      </x:c>
      <x:c r="N131" s="8">
        <x:v>17</x:v>
      </x:c>
      <x:c r="O131" s="8">
        <x:v>11</x:v>
      </x:c>
      <x:c r="P131" s="8">
        <x:v>22</x:v>
      </x:c>
      <x:c r="Q131" s="10">
        <x:v>1</x:v>
      </x:c>
      <x:c r="R131" s="10">
        <x:v>0.3871</x:v>
      </x:c>
      <x:c r="S131" s="10">
        <x:v>0.2899</x:v>
      </x:c>
      <x:c r="T131" s="10">
        <x:v>0.4839</x:v>
      </x:c>
      <x:c r="U131" s="10">
        <x:v>0.3</x:v>
      </x:c>
      <x:c r="V131" s="10">
        <x:v>0.5484</x:v>
      </x:c>
      <x:c r="W131" s="10">
        <x:v>0.3629</x:v>
      </x:c>
      <x:c r="X131" s="10">
        <x:v>0.3782</x:v>
      </x:c>
      <x:c r="Y131" s="10">
        <x:v>0.5865</x:v>
      </x:c>
      <x:c r="Z131" s="10">
        <x:v>0.4074</x:v>
      </x:c>
      <x:c r="AA131" s="10">
        <x:v>0.5223</x:v>
      </x:c>
      <x:c r="AB131" s="10">
        <x:v>0.3188</x:v>
      </x:c>
      <x:c r="AC131" s="13">
        <x:v>0.7097</x:v>
      </x:c>
      <x:c r="AD131" s="10">
        <x:v>0.4655</x:v>
      </x:c>
      <x:c r="AE131" s="10">
        <x:v>0.4655</x:v>
      </x:c>
      <x:c r="AF131" s="2" t="s">
        <x:v>35</x:v>
      </x:c>
    </x:row>
    <x:row r="132">
      <x:c r="A132" s="4" t="s">
        <x:v>415</x:v>
      </x:c>
      <x:c r="B132" s="4" t="s">
        <x:v>416</x:v>
      </x:c>
      <x:c r="C132" s="4" t="s">
        <x:v>417</x:v>
      </x:c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22">
        <x:v>0</x:v>
      </x:c>
      <x:c r="R132" s="22">
        <x:v>0</x:v>
      </x:c>
      <x:c r="S132" s="22">
        <x:v>0</x:v>
      </x:c>
      <x:c r="T132" s="22">
        <x:v>0</x:v>
      </x:c>
      <x:c r="U132" s="22">
        <x:v>0</x:v>
      </x:c>
      <x:c r="V132" s="22">
        <x:v>0</x:v>
      </x:c>
      <x:c r="W132" s="22">
        <x:v>0</x:v>
      </x:c>
      <x:c r="X132" s="22">
        <x:v>0</x:v>
      </x:c>
      <x:c r="Y132" s="22">
        <x:v>0</x:v>
      </x:c>
      <x:c r="Z132" s="22">
        <x:v>0</x:v>
      </x:c>
      <x:c r="AA132" s="22">
        <x:v>0</x:v>
      </x:c>
      <x:c r="AB132" s="22">
        <x:v>0</x:v>
      </x:c>
      <x:c r="AC132" s="16">
        <x:v>0</x:v>
      </x:c>
      <x:c r="AF132" s="2" t="s">
        <x:v>35</x:v>
      </x:c>
    </x:row>
    <x:row r="133">
      <x:c r="A133" s="4" t="s">
        <x:v>418</x:v>
      </x:c>
      <x:c r="B133" s="4" t="s">
        <x:v>419</x:v>
      </x:c>
      <x:c r="C133" s="4" t="s">
        <x:v>420</x:v>
      </x:c>
      <x:c r="D133" s="8">
        <x:v>68</x:v>
      </x:c>
      <x:c r="E133" s="8">
        <x:v>82</x:v>
      </x:c>
      <x:c r="F133" s="8">
        <x:v>127</x:v>
      </x:c>
      <x:c r="G133" s="8">
        <x:v>52</x:v>
      </x:c>
      <x:c r="H133" s="8">
        <x:v>62</x:v>
      </x:c>
      <x:c r="I133" s="8">
        <x:v>33</x:v>
      </x:c>
      <x:c r="J133" s="8">
        <x:v>112</x:v>
      </x:c>
      <x:c r="K133" s="8">
        <x:v>62</x:v>
      </x:c>
      <x:c r="L133" s="8">
        <x:v>70</x:v>
      </x:c>
      <x:c r="M133" s="8">
        <x:v>54</x:v>
      </x:c>
      <x:c r="N133" s="8">
        <x:v>77</x:v>
      </x:c>
      <x:c r="O133" s="8">
        <x:v>62</x:v>
      </x:c>
      <x:c r="P133" s="8">
        <x:v>99</x:v>
      </x:c>
      <x:c r="Q133" s="10">
        <x:v>2.1935</x:v>
      </x:c>
      <x:c r="R133" s="10">
        <x:v>2.6452</x:v>
      </x:c>
      <x:c r="S133" s="10">
        <x:v>3.6812</x:v>
      </x:c>
      <x:c r="T133" s="10">
        <x:v>1.6774</x:v>
      </x:c>
      <x:c r="U133" s="10">
        <x:v>2.0667</x:v>
      </x:c>
      <x:c r="V133" s="10">
        <x:v>1.0645</x:v>
      </x:c>
      <x:c r="W133" s="10">
        <x:v>4.5161</x:v>
      </x:c>
      <x:c r="X133" s="10">
        <x:v>2.605</x:v>
      </x:c>
      <x:c r="Y133" s="10">
        <x:v>2.0528</x:v>
      </x:c>
      <x:c r="Z133" s="10">
        <x:v>2</x:v>
      </x:c>
      <x:c r="AA133" s="10">
        <x:v>2.3656</x:v>
      </x:c>
      <x:c r="AB133" s="10">
        <x:v>1.7971</x:v>
      </x:c>
      <x:c r="AC133" s="13">
        <x:v>3.1935</x:v>
      </x:c>
      <x:c r="AD133" s="10">
        <x:v>2.3888</x:v>
      </x:c>
      <x:c r="AE133" s="10">
        <x:v>2.3888</x:v>
      </x:c>
      <x:c r="AF133" s="2" t="s">
        <x:v>35</x:v>
      </x:c>
    </x:row>
    <x:row r="134">
      <x:c r="A134" s="4" t="s">
        <x:v>421</x:v>
      </x:c>
      <x:c r="B134" s="4" t="s">
        <x:v>422</x:v>
      </x:c>
      <x:c r="C134" s="4" t="s">
        <x:v>423</x:v>
      </x:c>
      <x:c r="D134" s="6"/>
      <x:c r="E134" s="6"/>
      <x:c r="F134" s="8">
        <x:v>1</x:v>
      </x:c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22">
        <x:v>0</x:v>
      </x:c>
      <x:c r="R134" s="22">
        <x:v>0</x:v>
      </x:c>
      <x:c r="S134" s="22">
        <x:v>0</x:v>
      </x:c>
      <x:c r="T134" s="22">
        <x:v>0</x:v>
      </x:c>
      <x:c r="U134" s="22">
        <x:v>0</x:v>
      </x:c>
      <x:c r="V134" s="22">
        <x:v>0</x:v>
      </x:c>
      <x:c r="W134" s="22">
        <x:v>0</x:v>
      </x:c>
      <x:c r="X134" s="22">
        <x:v>0</x:v>
      </x:c>
      <x:c r="Y134" s="22">
        <x:v>0</x:v>
      </x:c>
      <x:c r="Z134" s="22">
        <x:v>0</x:v>
      </x:c>
      <x:c r="AA134" s="22">
        <x:v>0</x:v>
      </x:c>
      <x:c r="AB134" s="22">
        <x:v>0</x:v>
      </x:c>
      <x:c r="AC134" s="16">
        <x:v>0</x:v>
      </x:c>
      <x:c r="AF134" s="2" t="s">
        <x:v>51</x:v>
      </x:c>
    </x:row>
    <x:row r="135">
      <x:c r="A135" s="4" t="s">
        <x:v>424</x:v>
      </x:c>
      <x:c r="B135" s="4" t="s">
        <x:v>425</x:v>
      </x:c>
      <x:c r="C135" s="4" t="s">
        <x:v>426</x:v>
      </x:c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22">
        <x:v>0</x:v>
      </x:c>
      <x:c r="R135" s="22">
        <x:v>0</x:v>
      </x:c>
      <x:c r="S135" s="22">
        <x:v>0</x:v>
      </x:c>
      <x:c r="T135" s="22">
        <x:v>0</x:v>
      </x:c>
      <x:c r="U135" s="22">
        <x:v>0</x:v>
      </x:c>
      <x:c r="V135" s="22">
        <x:v>0</x:v>
      </x:c>
      <x:c r="W135" s="22">
        <x:v>0</x:v>
      </x:c>
      <x:c r="X135" s="22">
        <x:v>0</x:v>
      </x:c>
      <x:c r="Y135" s="22">
        <x:v>0</x:v>
      </x:c>
      <x:c r="Z135" s="22">
        <x:v>0</x:v>
      </x:c>
      <x:c r="AA135" s="22">
        <x:v>0</x:v>
      </x:c>
      <x:c r="AB135" s="22">
        <x:v>0</x:v>
      </x:c>
      <x:c r="AC135" s="16">
        <x:v>0</x:v>
      </x:c>
      <x:c r="AF135" s="2" t="s">
        <x:v>51</x:v>
      </x:c>
    </x:row>
    <x:row r="136">
      <x:c r="A136" s="4" t="s">
        <x:v>427</x:v>
      </x:c>
      <x:c r="B136" s="4" t="s">
        <x:v>428</x:v>
      </x:c>
      <x:c r="C136" s="4" t="s">
        <x:v>429</x:v>
      </x:c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8">
        <x:v>1</x:v>
      </x:c>
      <x:c r="O136" s="6"/>
      <x:c r="P136" s="6"/>
      <x:c r="Q136" s="10">
        <x:v>0</x:v>
      </x:c>
      <x:c r="R136" s="10">
        <x:v>0</x:v>
      </x:c>
      <x:c r="S136" s="10">
        <x:v>0</x:v>
      </x:c>
      <x:c r="T136" s="10">
        <x:v>0</x:v>
      </x:c>
      <x:c r="U136" s="10">
        <x:v>0</x:v>
      </x:c>
      <x:c r="V136" s="10">
        <x:v>0</x:v>
      </x:c>
      <x:c r="W136" s="10">
        <x:v>0</x:v>
      </x:c>
      <x:c r="X136" s="10">
        <x:v>0</x:v>
      </x:c>
      <x:c r="Y136" s="10">
        <x:v>0</x:v>
      </x:c>
      <x:c r="Z136" s="10">
        <x:v>0</x:v>
      </x:c>
      <x:c r="AA136" s="10">
        <x:v>0.0307</x:v>
      </x:c>
      <x:c r="AB136" s="10">
        <x:v>0</x:v>
      </x:c>
      <x:c r="AC136" s="13">
        <x:v>0</x:v>
      </x:c>
      <x:c r="AD136" s="10">
        <x:v>0.0026</x:v>
      </x:c>
      <x:c r="AE136" s="10">
        <x:v>0.0026</x:v>
      </x:c>
      <x:c r="AF136" s="2" t="s">
        <x:v>35</x:v>
      </x:c>
    </x:row>
    <x:row r="137">
      <x:c r="A137" s="4" t="s">
        <x:v>430</x:v>
      </x:c>
      <x:c r="B137" s="4" t="s">
        <x:v>431</x:v>
      </x:c>
      <x:c r="C137" s="4" t="s">
        <x:v>432</x:v>
      </x:c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8">
        <x:v>1</x:v>
      </x:c>
      <x:c r="O137" s="6"/>
      <x:c r="P137" s="6"/>
      <x:c r="Q137" s="22">
        <x:v>0</x:v>
      </x:c>
      <x:c r="R137" s="22">
        <x:v>0</x:v>
      </x:c>
      <x:c r="S137" s="22">
        <x:v>0</x:v>
      </x:c>
      <x:c r="T137" s="22">
        <x:v>0</x:v>
      </x:c>
      <x:c r="U137" s="22">
        <x:v>0</x:v>
      </x:c>
      <x:c r="V137" s="22">
        <x:v>0</x:v>
      </x:c>
      <x:c r="W137" s="22">
        <x:v>0</x:v>
      </x:c>
      <x:c r="X137" s="22">
        <x:v>0</x:v>
      </x:c>
      <x:c r="Y137" s="22">
        <x:v>0</x:v>
      </x:c>
      <x:c r="Z137" s="22">
        <x:v>0</x:v>
      </x:c>
      <x:c r="AA137" s="22">
        <x:v>0</x:v>
      </x:c>
      <x:c r="AB137" s="22">
        <x:v>0</x:v>
      </x:c>
      <x:c r="AC137" s="16">
        <x:v>0</x:v>
      </x:c>
      <x:c r="AF137" s="2" t="s">
        <x:v>35</x:v>
      </x:c>
    </x:row>
    <x:row r="138">
      <x:c r="A138" s="4" t="s">
        <x:v>433</x:v>
      </x:c>
      <x:c r="B138" s="4" t="s">
        <x:v>434</x:v>
      </x:c>
      <x:c r="C138" s="4" t="s">
        <x:v>435</x:v>
      </x:c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8">
        <x:v>1</x:v>
      </x:c>
      <x:c r="O138" s="6"/>
      <x:c r="P138" s="6"/>
      <x:c r="Q138" s="10">
        <x:v>0</x:v>
      </x:c>
      <x:c r="R138" s="10">
        <x:v>0</x:v>
      </x:c>
      <x:c r="S138" s="10">
        <x:v>0</x:v>
      </x:c>
      <x:c r="T138" s="10">
        <x:v>0</x:v>
      </x:c>
      <x:c r="U138" s="10">
        <x:v>0</x:v>
      </x:c>
      <x:c r="V138" s="10">
        <x:v>0</x:v>
      </x:c>
      <x:c r="W138" s="10">
        <x:v>0</x:v>
      </x:c>
      <x:c r="X138" s="10">
        <x:v>0</x:v>
      </x:c>
      <x:c r="Y138" s="10">
        <x:v>0</x:v>
      </x:c>
      <x:c r="Z138" s="10">
        <x:v>0</x:v>
      </x:c>
      <x:c r="AA138" s="10">
        <x:v>0.0307</x:v>
      </x:c>
      <x:c r="AB138" s="10">
        <x:v>0</x:v>
      </x:c>
      <x:c r="AC138" s="13">
        <x:v>0</x:v>
      </x:c>
      <x:c r="AD138" s="10">
        <x:v>0.0026</x:v>
      </x:c>
      <x:c r="AE138" s="10">
        <x:v>0.0026</x:v>
      </x:c>
      <x:c r="AF138" s="2" t="s">
        <x:v>35</x:v>
      </x:c>
    </x:row>
    <x:row r="139">
      <x:c r="A139" s="4" t="s">
        <x:v>436</x:v>
      </x:c>
      <x:c r="B139" s="4" t="s">
        <x:v>437</x:v>
      </x:c>
      <x:c r="C139" s="4" t="s">
        <x:v>438</x:v>
      </x:c>
      <x:c r="D139" s="8">
        <x:v>6</x:v>
      </x:c>
      <x:c r="E139" s="8">
        <x:v>3</x:v>
      </x:c>
      <x:c r="F139" s="8">
        <x:v>4</x:v>
      </x:c>
      <x:c r="G139" s="6"/>
      <x:c r="H139" s="8">
        <x:v>10</x:v>
      </x:c>
      <x:c r="I139" s="8">
        <x:v>6</x:v>
      </x:c>
      <x:c r="J139" s="8">
        <x:v>6</x:v>
      </x:c>
      <x:c r="K139" s="6"/>
      <x:c r="L139" s="8">
        <x:v>4</x:v>
      </x:c>
      <x:c r="M139" s="8">
        <x:v>7</x:v>
      </x:c>
      <x:c r="N139" s="8">
        <x:v>4</x:v>
      </x:c>
      <x:c r="O139" s="8">
        <x:v>19</x:v>
      </x:c>
      <x:c r="P139" s="8">
        <x:v>13</x:v>
      </x:c>
      <x:c r="Q139" s="19">
        <x:v>0.5455</x:v>
      </x:c>
      <x:c r="R139" s="10">
        <x:v>0.0968</x:v>
      </x:c>
      <x:c r="S139" s="10">
        <x:v>0.1159</x:v>
      </x:c>
      <x:c r="T139" s="10">
        <x:v>0</x:v>
      </x:c>
      <x:c r="U139" s="10">
        <x:v>0.3333</x:v>
      </x:c>
      <x:c r="V139" s="10">
        <x:v>0.1935</x:v>
      </x:c>
      <x:c r="W139" s="10">
        <x:v>0.2419</x:v>
      </x:c>
      <x:c r="X139" s="10">
        <x:v>0</x:v>
      </x:c>
      <x:c r="Y139" s="10">
        <x:v>0.1173</x:v>
      </x:c>
      <x:c r="Z139" s="10">
        <x:v>0.2593</x:v>
      </x:c>
      <x:c r="AA139" s="10">
        <x:v>0.1229</x:v>
      </x:c>
      <x:c r="AB139" s="10">
        <x:v>0.5507</x:v>
      </x:c>
      <x:c r="AC139" s="13">
        <x:v>0.4194</x:v>
      </x:c>
      <x:c r="AD139" s="10">
        <x:v>0.1847</x:v>
      </x:c>
      <x:c r="AE139" s="10">
        <x:v>0.1847</x:v>
      </x:c>
      <x:c r="AF139" s="2" t="s">
        <x:v>35</x:v>
      </x:c>
    </x:row>
    <x:row r="140">
      <x:c r="A140" s="4" t="s">
        <x:v>439</x:v>
      </x:c>
      <x:c r="B140" s="4" t="s">
        <x:v>440</x:v>
      </x:c>
      <x:c r="C140" s="4" t="s">
        <x:v>441</x:v>
      </x:c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8">
        <x:v>1</x:v>
      </x:c>
      <x:c r="P140" s="6"/>
      <x:c r="Q140" s="22">
        <x:v>0</x:v>
      </x:c>
      <x:c r="R140" s="22">
        <x:v>0</x:v>
      </x:c>
      <x:c r="S140" s="22">
        <x:v>0</x:v>
      </x:c>
      <x:c r="T140" s="22">
        <x:v>0</x:v>
      </x:c>
      <x:c r="U140" s="22">
        <x:v>0</x:v>
      </x:c>
      <x:c r="V140" s="22">
        <x:v>0</x:v>
      </x:c>
      <x:c r="W140" s="22">
        <x:v>0</x:v>
      </x:c>
      <x:c r="X140" s="22">
        <x:v>0</x:v>
      </x:c>
      <x:c r="Y140" s="22">
        <x:v>0</x:v>
      </x:c>
      <x:c r="Z140" s="22">
        <x:v>0</x:v>
      </x:c>
      <x:c r="AA140" s="22">
        <x:v>0</x:v>
      </x:c>
      <x:c r="AB140" s="22">
        <x:v>0</x:v>
      </x:c>
      <x:c r="AC140" s="16">
        <x:v>0</x:v>
      </x:c>
      <x:c r="AF140" s="2" t="s">
        <x:v>35</x:v>
      </x:c>
    </x:row>
    <x:row r="141">
      <x:c r="A141" s="4" t="s">
        <x:v>442</x:v>
      </x:c>
      <x:c r="B141" s="4" t="s">
        <x:v>443</x:v>
      </x:c>
      <x:c r="C141" s="4" t="s">
        <x:v>444</x:v>
      </x:c>
      <x:c r="D141" s="8">
        <x:v>1</x:v>
      </x:c>
      <x:c r="E141" s="6"/>
      <x:c r="F141" s="8">
        <x:v>1</x:v>
      </x:c>
      <x:c r="G141" s="6"/>
      <x:c r="H141" s="6"/>
      <x:c r="I141" s="6"/>
      <x:c r="J141" s="6"/>
      <x:c r="K141" s="8">
        <x:v>3</x:v>
      </x:c>
      <x:c r="L141" s="8">
        <x:v>1</x:v>
      </x:c>
      <x:c r="M141" s="6"/>
      <x:c r="N141" s="8">
        <x:v>3</x:v>
      </x:c>
      <x:c r="O141" s="8">
        <x:v>1</x:v>
      </x:c>
      <x:c r="P141" s="6"/>
      <x:c r="Q141" s="22">
        <x:v>0</x:v>
      </x:c>
      <x:c r="R141" s="22">
        <x:v>0</x:v>
      </x:c>
      <x:c r="S141" s="22">
        <x:v>0</x:v>
      </x:c>
      <x:c r="T141" s="19">
        <x:v>0</x:v>
      </x:c>
      <x:c r="U141" s="10">
        <x:v>0</x:v>
      </x:c>
      <x:c r="V141" s="10">
        <x:v>0</x:v>
      </x:c>
      <x:c r="W141" s="10">
        <x:v>0</x:v>
      </x:c>
      <x:c r="X141" s="10">
        <x:v>0.1261</x:v>
      </x:c>
      <x:c r="Y141" s="10">
        <x:v>0.0293</x:v>
      </x:c>
      <x:c r="Z141" s="10">
        <x:v>0</x:v>
      </x:c>
      <x:c r="AA141" s="10">
        <x:v>0.0922</x:v>
      </x:c>
      <x:c r="AB141" s="10">
        <x:v>0.029</x:v>
      </x:c>
      <x:c r="AC141" s="13">
        <x:v>0</x:v>
      </x:c>
      <x:c r="AD141" s="10">
        <x:v>0.0346</x:v>
      </x:c>
      <x:c r="AE141" s="10">
        <x:v>0.0346</x:v>
      </x:c>
      <x:c r="AF141" s="2" t="s">
        <x:v>35</x:v>
      </x:c>
    </x:row>
    <x:row r="142">
      <x:c r="A142" s="4" t="s">
        <x:v>445</x:v>
      </x:c>
      <x:c r="B142" s="4" t="s">
        <x:v>446</x:v>
      </x:c>
      <x:c r="C142" s="4" t="s">
        <x:v>447</x:v>
      </x:c>
      <x:c r="D142" s="8">
        <x:v>13</x:v>
      </x:c>
      <x:c r="E142" s="8">
        <x:v>2</x:v>
      </x:c>
      <x:c r="F142" s="8">
        <x:v>14</x:v>
      </x:c>
      <x:c r="G142" s="8">
        <x:v>16</x:v>
      </x:c>
      <x:c r="H142" s="8">
        <x:v>16</x:v>
      </x:c>
      <x:c r="I142" s="8">
        <x:v>6</x:v>
      </x:c>
      <x:c r="J142" s="8">
        <x:v>11</x:v>
      </x:c>
      <x:c r="K142" s="8">
        <x:v>2</x:v>
      </x:c>
      <x:c r="L142" s="8">
        <x:v>2</x:v>
      </x:c>
      <x:c r="M142" s="8">
        <x:v>3</x:v>
      </x:c>
      <x:c r="N142" s="8">
        <x:v>4</x:v>
      </x:c>
      <x:c r="O142" s="8">
        <x:v>8</x:v>
      </x:c>
      <x:c r="P142" s="8">
        <x:v>2</x:v>
      </x:c>
      <x:c r="Q142" s="10">
        <x:v>0.4194</x:v>
      </x:c>
      <x:c r="R142" s="10">
        <x:v>0.0645</x:v>
      </x:c>
      <x:c r="S142" s="10">
        <x:v>0.4058</x:v>
      </x:c>
      <x:c r="T142" s="10">
        <x:v>0.5161</x:v>
      </x:c>
      <x:c r="U142" s="10">
        <x:v>0.5333</x:v>
      </x:c>
      <x:c r="V142" s="10">
        <x:v>0.1935</x:v>
      </x:c>
      <x:c r="W142" s="10">
        <x:v>0.4435</x:v>
      </x:c>
      <x:c r="X142" s="10">
        <x:v>0.084</x:v>
      </x:c>
      <x:c r="Y142" s="10">
        <x:v>0.0587</x:v>
      </x:c>
      <x:c r="Z142" s="10">
        <x:v>0.1111</x:v>
      </x:c>
      <x:c r="AA142" s="10">
        <x:v>0.1229</x:v>
      </x:c>
      <x:c r="AB142" s="10">
        <x:v>0.2319</x:v>
      </x:c>
      <x:c r="AC142" s="13">
        <x:v>0.0645</x:v>
      </x:c>
      <x:c r="AD142" s="10">
        <x:v>0.2654</x:v>
      </x:c>
      <x:c r="AE142" s="10">
        <x:v>0.2654</x:v>
      </x:c>
      <x:c r="AF142" s="2" t="s">
        <x:v>35</x:v>
      </x:c>
    </x:row>
    <x:row r="143">
      <x:c r="A143" s="4" t="s">
        <x:v>448</x:v>
      </x:c>
      <x:c r="B143" s="4" t="s">
        <x:v>449</x:v>
      </x:c>
      <x:c r="C143" s="4" t="s">
        <x:v>450</x:v>
      </x:c>
      <x:c r="D143" s="6"/>
      <x:c r="E143" s="6"/>
      <x:c r="F143" s="6"/>
      <x:c r="G143" s="6"/>
      <x:c r="H143" s="6"/>
      <x:c r="I143" s="6"/>
      <x:c r="J143" s="6"/>
      <x:c r="K143" s="6"/>
      <x:c r="L143" s="8">
        <x:v>1</x:v>
      </x:c>
      <x:c r="M143" s="6"/>
      <x:c r="N143" s="6"/>
      <x:c r="O143" s="6"/>
      <x:c r="P143" s="6"/>
      <x:c r="Q143" s="22">
        <x:v>0</x:v>
      </x:c>
      <x:c r="R143" s="22">
        <x:v>0</x:v>
      </x:c>
      <x:c r="S143" s="22">
        <x:v>0</x:v>
      </x:c>
      <x:c r="T143" s="22">
        <x:v>0</x:v>
      </x:c>
      <x:c r="U143" s="22">
        <x:v>0</x:v>
      </x:c>
      <x:c r="V143" s="22">
        <x:v>0</x:v>
      </x:c>
      <x:c r="W143" s="22">
        <x:v>0</x:v>
      </x:c>
      <x:c r="X143" s="22">
        <x:v>0</x:v>
      </x:c>
      <x:c r="Y143" s="22">
        <x:v>0</x:v>
      </x:c>
      <x:c r="Z143" s="22">
        <x:v>0</x:v>
      </x:c>
      <x:c r="AA143" s="22">
        <x:v>0</x:v>
      </x:c>
      <x:c r="AB143" s="22">
        <x:v>0</x:v>
      </x:c>
      <x:c r="AC143" s="16">
        <x:v>0</x:v>
      </x:c>
      <x:c r="AF143" s="2" t="s">
        <x:v>35</x:v>
      </x:c>
    </x:row>
    <x:row r="144">
      <x:c r="A144" s="4" t="s">
        <x:v>451</x:v>
      </x:c>
      <x:c r="B144" s="4" t="s">
        <x:v>452</x:v>
      </x:c>
      <x:c r="C144" s="4" t="s">
        <x:v>453</x:v>
      </x:c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22">
        <x:v>0</x:v>
      </x:c>
      <x:c r="R144" s="22">
        <x:v>0</x:v>
      </x:c>
      <x:c r="S144" s="22">
        <x:v>0</x:v>
      </x:c>
      <x:c r="T144" s="22">
        <x:v>0</x:v>
      </x:c>
      <x:c r="U144" s="22">
        <x:v>0</x:v>
      </x:c>
      <x:c r="V144" s="22">
        <x:v>0</x:v>
      </x:c>
      <x:c r="W144" s="22">
        <x:v>0</x:v>
      </x:c>
      <x:c r="X144" s="22">
        <x:v>0</x:v>
      </x:c>
      <x:c r="Y144" s="22">
        <x:v>0</x:v>
      </x:c>
      <x:c r="Z144" s="22">
        <x:v>0</x:v>
      </x:c>
      <x:c r="AA144" s="22">
        <x:v>0</x:v>
      </x:c>
      <x:c r="AB144" s="22">
        <x:v>0</x:v>
      </x:c>
      <x:c r="AC144" s="16">
        <x:v>0</x:v>
      </x:c>
      <x:c r="AF144" s="2" t="s">
        <x:v>51</x:v>
      </x:c>
    </x:row>
    <x:row r="145">
      <x:c r="A145" s="4" t="s">
        <x:v>454</x:v>
      </x:c>
      <x:c r="B145" s="4" t="s">
        <x:v>455</x:v>
      </x:c>
      <x:c r="C145" s="4" t="s">
        <x:v>456</x:v>
      </x:c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22">
        <x:v>0</x:v>
      </x:c>
      <x:c r="R145" s="22">
        <x:v>0</x:v>
      </x:c>
      <x:c r="S145" s="22">
        <x:v>0</x:v>
      </x:c>
      <x:c r="T145" s="22">
        <x:v>0</x:v>
      </x:c>
      <x:c r="U145" s="22">
        <x:v>0</x:v>
      </x:c>
      <x:c r="V145" s="22">
        <x:v>0</x:v>
      </x:c>
      <x:c r="W145" s="22">
        <x:v>0</x:v>
      </x:c>
      <x:c r="X145" s="22">
        <x:v>0</x:v>
      </x:c>
      <x:c r="Y145" s="22">
        <x:v>0</x:v>
      </x:c>
      <x:c r="Z145" s="22">
        <x:v>0</x:v>
      </x:c>
      <x:c r="AA145" s="22">
        <x:v>0</x:v>
      </x:c>
      <x:c r="AB145" s="22">
        <x:v>0</x:v>
      </x:c>
      <x:c r="AC145" s="16">
        <x:v>0</x:v>
      </x:c>
      <x:c r="AF145" s="2" t="s">
        <x:v>51</x:v>
      </x:c>
    </x:row>
    <x:row r="146">
      <x:c r="A146" s="4" t="s">
        <x:v>457</x:v>
      </x:c>
      <x:c r="B146" s="4" t="s">
        <x:v>458</x:v>
      </x:c>
      <x:c r="C146" s="4" t="s">
        <x:v>459</x:v>
      </x:c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22">
        <x:v>0</x:v>
      </x:c>
      <x:c r="R146" s="22">
        <x:v>0</x:v>
      </x:c>
      <x:c r="S146" s="22">
        <x:v>0</x:v>
      </x:c>
      <x:c r="T146" s="22">
        <x:v>0</x:v>
      </x:c>
      <x:c r="U146" s="22">
        <x:v>0</x:v>
      </x:c>
      <x:c r="V146" s="22">
        <x:v>0</x:v>
      </x:c>
      <x:c r="W146" s="22">
        <x:v>0</x:v>
      </x:c>
      <x:c r="X146" s="22">
        <x:v>0</x:v>
      </x:c>
      <x:c r="Y146" s="22">
        <x:v>0</x:v>
      </x:c>
      <x:c r="Z146" s="22">
        <x:v>0</x:v>
      </x:c>
      <x:c r="AA146" s="22">
        <x:v>0</x:v>
      </x:c>
      <x:c r="AB146" s="22">
        <x:v>0</x:v>
      </x:c>
      <x:c r="AC146" s="16">
        <x:v>0</x:v>
      </x:c>
      <x:c r="AF146" s="2" t="s">
        <x:v>51</x:v>
      </x:c>
    </x:row>
    <x:row r="147">
      <x:c r="A147" s="4" t="s">
        <x:v>460</x:v>
      </x:c>
      <x:c r="B147" s="4" t="s">
        <x:v>461</x:v>
      </x:c>
      <x:c r="C147" s="4" t="s">
        <x:v>462</x:v>
      </x:c>
      <x:c r="D147" s="6"/>
      <x:c r="E147" s="6"/>
      <x:c r="F147" s="6"/>
      <x:c r="G147" s="6"/>
      <x:c r="H147" s="6"/>
      <x:c r="I147" s="8">
        <x:v>2</x:v>
      </x:c>
      <x:c r="J147" s="6"/>
      <x:c r="K147" s="6"/>
      <x:c r="L147" s="8">
        <x:v>1</x:v>
      </x:c>
      <x:c r="M147" s="6"/>
      <x:c r="N147" s="6"/>
      <x:c r="O147" s="6"/>
      <x:c r="P147" s="8">
        <x:v>1</x:v>
      </x:c>
      <x:c r="Q147" s="22">
        <x:v>0</x:v>
      </x:c>
      <x:c r="R147" s="22">
        <x:v>0</x:v>
      </x:c>
      <x:c r="S147" s="22">
        <x:v>0</x:v>
      </x:c>
      <x:c r="T147" s="22">
        <x:v>0</x:v>
      </x:c>
      <x:c r="U147" s="22">
        <x:v>0</x:v>
      </x:c>
      <x:c r="V147" s="22">
        <x:v>0</x:v>
      </x:c>
      <x:c r="W147" s="19">
        <x:v>0</x:v>
      </x:c>
      <x:c r="X147" s="10">
        <x:v>0</x:v>
      </x:c>
      <x:c r="Y147" s="10">
        <x:v>0.0293</x:v>
      </x:c>
      <x:c r="Z147" s="10">
        <x:v>0</x:v>
      </x:c>
      <x:c r="AA147" s="10">
        <x:v>0</x:v>
      </x:c>
      <x:c r="AB147" s="10">
        <x:v>0</x:v>
      </x:c>
      <x:c r="AC147" s="13">
        <x:v>0.0323</x:v>
      </x:c>
      <x:c r="AD147" s="10">
        <x:v>0.0059</x:v>
      </x:c>
      <x:c r="AE147" s="10">
        <x:v>0.0059</x:v>
      </x:c>
      <x:c r="AF147" s="2" t="s">
        <x:v>35</x:v>
      </x:c>
    </x:row>
    <x:row r="148">
      <x:c r="A148" s="4" t="s">
        <x:v>463</x:v>
      </x:c>
      <x:c r="B148" s="4" t="s">
        <x:v>464</x:v>
      </x:c>
      <x:c r="C148" s="4" t="s">
        <x:v>465</x:v>
      </x:c>
      <x:c r="D148" s="6"/>
      <x:c r="E148" s="8">
        <x:v>1</x:v>
      </x:c>
      <x:c r="F148" s="6"/>
      <x:c r="G148" s="6"/>
      <x:c r="H148" s="6"/>
      <x:c r="I148" s="8">
        <x:v>2</x:v>
      </x:c>
      <x:c r="J148" s="6"/>
      <x:c r="K148" s="6"/>
      <x:c r="L148" s="8">
        <x:v>2</x:v>
      </x:c>
      <x:c r="M148" s="6"/>
      <x:c r="N148" s="8">
        <x:v>1</x:v>
      </x:c>
      <x:c r="O148" s="8">
        <x:v>-1</x:v>
      </x:c>
      <x:c r="P148" s="8">
        <x:v>1</x:v>
      </x:c>
      <x:c r="Q148" s="10">
        <x:v>0</x:v>
      </x:c>
      <x:c r="R148" s="10">
        <x:v>0.0323</x:v>
      </x:c>
      <x:c r="S148" s="10">
        <x:v>0</x:v>
      </x:c>
      <x:c r="T148" s="10">
        <x:v>0</x:v>
      </x:c>
      <x:c r="U148" s="10">
        <x:v>0</x:v>
      </x:c>
      <x:c r="V148" s="10">
        <x:v>0.0645</x:v>
      </x:c>
      <x:c r="W148" s="10">
        <x:v>0</x:v>
      </x:c>
      <x:c r="X148" s="10">
        <x:v>0</x:v>
      </x:c>
      <x:c r="Y148" s="19">
        <x:v>0.0727</x:v>
      </x:c>
      <x:c r="Z148" s="22">
        <x:v>0</x:v>
      </x:c>
      <x:c r="AA148" s="22">
        <x:v>0</x:v>
      </x:c>
      <x:c r="AB148" s="22">
        <x:v>0</x:v>
      </x:c>
      <x:c r="AC148" s="16">
        <x:v>1</x:v>
      </x:c>
      <x:c r="AD148" s="10">
        <x:v>0.0121</x:v>
      </x:c>
      <x:c r="AE148" s="10">
        <x:v>0.0121</x:v>
      </x:c>
      <x:c r="AF148" s="2" t="s">
        <x:v>35</x:v>
      </x:c>
    </x:row>
    <x:row r="149">
      <x:c r="A149" s="4" t="s">
        <x:v>466</x:v>
      </x:c>
      <x:c r="B149" s="4" t="s">
        <x:v>467</x:v>
      </x:c>
      <x:c r="C149" s="4" t="s">
        <x:v>468</x:v>
      </x:c>
      <x:c r="D149" s="6"/>
      <x:c r="E149" s="6"/>
      <x:c r="F149" s="6"/>
      <x:c r="G149" s="6"/>
      <x:c r="H149" s="6"/>
      <x:c r="I149" s="8">
        <x:v>2</x:v>
      </x:c>
      <x:c r="J149" s="6"/>
      <x:c r="K149" s="6"/>
      <x:c r="L149" s="6"/>
      <x:c r="M149" s="6"/>
      <x:c r="N149" s="6"/>
      <x:c r="O149" s="6"/>
      <x:c r="P149" s="6"/>
      <x:c r="Q149" s="22">
        <x:v>0</x:v>
      </x:c>
      <x:c r="R149" s="22">
        <x:v>0</x:v>
      </x:c>
      <x:c r="S149" s="22">
        <x:v>0</x:v>
      </x:c>
      <x:c r="T149" s="22">
        <x:v>0</x:v>
      </x:c>
      <x:c r="U149" s="22">
        <x:v>0</x:v>
      </x:c>
      <x:c r="V149" s="22">
        <x:v>0</x:v>
      </x:c>
      <x:c r="W149" s="22">
        <x:v>0</x:v>
      </x:c>
      <x:c r="X149" s="22">
        <x:v>0</x:v>
      </x:c>
      <x:c r="Y149" s="22">
        <x:v>0</x:v>
      </x:c>
      <x:c r="Z149" s="22">
        <x:v>0</x:v>
      </x:c>
      <x:c r="AA149" s="22">
        <x:v>0</x:v>
      </x:c>
      <x:c r="AB149" s="22">
        <x:v>0</x:v>
      </x:c>
      <x:c r="AC149" s="16">
        <x:v>0</x:v>
      </x:c>
      <x:c r="AF149" s="2" t="s">
        <x:v>35</x:v>
      </x:c>
    </x:row>
    <x:row r="150">
      <x:c r="A150" s="4" t="s">
        <x:v>469</x:v>
      </x:c>
      <x:c r="B150" s="4" t="s">
        <x:v>470</x:v>
      </x:c>
      <x:c r="C150" s="4" t="s">
        <x:v>471</x:v>
      </x:c>
      <x:c r="D150" s="8">
        <x:v>1</x:v>
      </x:c>
      <x:c r="E150" s="6"/>
      <x:c r="F150" s="6"/>
      <x:c r="G150" s="6"/>
      <x:c r="H150" s="6"/>
      <x:c r="I150" s="8">
        <x:v>3</x:v>
      </x:c>
      <x:c r="J150" s="6"/>
      <x:c r="K150" s="6"/>
      <x:c r="L150" s="6"/>
      <x:c r="M150" s="6"/>
      <x:c r="N150" s="6"/>
      <x:c r="O150" s="6"/>
      <x:c r="P150" s="6"/>
      <x:c r="Q150" s="19">
        <x:v>0.037</x:v>
      </x:c>
      <x:c r="R150" s="22">
        <x:v>0</x:v>
      </x:c>
      <x:c r="S150" s="22">
        <x:v>0</x:v>
      </x:c>
      <x:c r="T150" s="22">
        <x:v>0</x:v>
      </x:c>
      <x:c r="U150" s="22">
        <x:v>0</x:v>
      </x:c>
      <x:c r="V150" s="22">
        <x:v>0</x:v>
      </x:c>
      <x:c r="W150" s="22">
        <x:v>0</x:v>
      </x:c>
      <x:c r="X150" s="22">
        <x:v>0</x:v>
      </x:c>
      <x:c r="Y150" s="22">
        <x:v>0</x:v>
      </x:c>
      <x:c r="Z150" s="22">
        <x:v>0</x:v>
      </x:c>
      <x:c r="AA150" s="22">
        <x:v>0</x:v>
      </x:c>
      <x:c r="AB150" s="22">
        <x:v>0</x:v>
      </x:c>
      <x:c r="AC150" s="16">
        <x:v>0</x:v>
      </x:c>
      <x:c r="AF150" s="2" t="s">
        <x:v>35</x:v>
      </x:c>
    </x:row>
    <x:row r="151">
      <x:c r="A151" s="4" t="s">
        <x:v>472</x:v>
      </x:c>
      <x:c r="B151" s="4" t="s">
        <x:v>473</x:v>
      </x:c>
      <x:c r="C151" s="4" t="s">
        <x:v>474</x:v>
      </x:c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22">
        <x:v>0</x:v>
      </x:c>
      <x:c r="R151" s="22">
        <x:v>0</x:v>
      </x:c>
      <x:c r="S151" s="22">
        <x:v>0</x:v>
      </x:c>
      <x:c r="T151" s="22">
        <x:v>0</x:v>
      </x:c>
      <x:c r="U151" s="22">
        <x:v>0</x:v>
      </x:c>
      <x:c r="V151" s="22">
        <x:v>0</x:v>
      </x:c>
      <x:c r="W151" s="22">
        <x:v>0</x:v>
      </x:c>
      <x:c r="X151" s="22">
        <x:v>0</x:v>
      </x:c>
      <x:c r="Y151" s="22">
        <x:v>0</x:v>
      </x:c>
      <x:c r="Z151" s="22">
        <x:v>0</x:v>
      </x:c>
      <x:c r="AA151" s="22">
        <x:v>0</x:v>
      </x:c>
      <x:c r="AB151" s="22">
        <x:v>0</x:v>
      </x:c>
      <x:c r="AC151" s="16">
        <x:v>0</x:v>
      </x:c>
      <x:c r="AF151" s="2" t="s">
        <x:v>35</x:v>
      </x:c>
    </x:row>
    <x:row r="152">
      <x:c r="A152" s="4" t="s">
        <x:v>475</x:v>
      </x:c>
      <x:c r="B152" s="4" t="s">
        <x:v>476</x:v>
      </x:c>
      <x:c r="C152" s="4" t="s">
        <x:v>477</x:v>
      </x:c>
      <x:c r="D152" s="8">
        <x:v>1</x:v>
      </x:c>
      <x:c r="E152" s="8">
        <x:v>1</x:v>
      </x:c>
      <x:c r="F152" s="8">
        <x:v>1</x:v>
      </x:c>
      <x:c r="G152" s="8">
        <x:v>2</x:v>
      </x:c>
      <x:c r="H152" s="6"/>
      <x:c r="I152" s="6"/>
      <x:c r="J152" s="6"/>
      <x:c r="K152" s="6"/>
      <x:c r="L152" s="6"/>
      <x:c r="M152" s="8">
        <x:v>1</x:v>
      </x:c>
      <x:c r="N152" s="8">
        <x:v>1</x:v>
      </x:c>
      <x:c r="O152" s="6"/>
      <x:c r="P152" s="6"/>
      <x:c r="Q152" s="10">
        <x:v>0.0323</x:v>
      </x:c>
      <x:c r="R152" s="10">
        <x:v>0.0323</x:v>
      </x:c>
      <x:c r="S152" s="10">
        <x:v>0.029</x:v>
      </x:c>
      <x:c r="T152" s="10">
        <x:v>0.0645</x:v>
      </x:c>
      <x:c r="U152" s="10">
        <x:v>0</x:v>
      </x:c>
      <x:c r="V152" s="10">
        <x:v>0</x:v>
      </x:c>
      <x:c r="W152" s="10">
        <x:v>0</x:v>
      </x:c>
      <x:c r="X152" s="10">
        <x:v>0</x:v>
      </x:c>
      <x:c r="Y152" s="10">
        <x:v>0</x:v>
      </x:c>
      <x:c r="Z152" s="10">
        <x:v>0.037</x:v>
      </x:c>
      <x:c r="AA152" s="10">
        <x:v>0.0307</x:v>
      </x:c>
      <x:c r="AB152" s="10">
        <x:v>0</x:v>
      </x:c>
      <x:c r="AC152" s="13">
        <x:v>0</x:v>
      </x:c>
      <x:c r="AD152" s="10">
        <x:v>0.0188</x:v>
      </x:c>
      <x:c r="AE152" s="10">
        <x:v>0.0188</x:v>
      </x:c>
      <x:c r="AF152" s="2" t="s">
        <x:v>35</x:v>
      </x:c>
    </x:row>
    <x:row r="153">
      <x:c r="A153" s="4" t="s">
        <x:v>478</x:v>
      </x:c>
      <x:c r="B153" s="4" t="s">
        <x:v>479</x:v>
      </x:c>
      <x:c r="C153" s="4" t="s">
        <x:v>480</x:v>
      </x:c>
      <x:c r="D153" s="8">
        <x:v>19</x:v>
      </x:c>
      <x:c r="E153" s="8">
        <x:v>6</x:v>
      </x:c>
      <x:c r="F153" s="8">
        <x:v>66</x:v>
      </x:c>
      <x:c r="G153" s="8">
        <x:v>2</x:v>
      </x:c>
      <x:c r="H153" s="8">
        <x:v>10</x:v>
      </x:c>
      <x:c r="I153" s="8">
        <x:v>20</x:v>
      </x:c>
      <x:c r="J153" s="8">
        <x:v>6</x:v>
      </x:c>
      <x:c r="K153" s="8">
        <x:v>10</x:v>
      </x:c>
      <x:c r="L153" s="8">
        <x:v>12</x:v>
      </x:c>
      <x:c r="M153" s="8">
        <x:v>11</x:v>
      </x:c>
      <x:c r="N153" s="8">
        <x:v>6</x:v>
      </x:c>
      <x:c r="O153" s="8">
        <x:v>11</x:v>
      </x:c>
      <x:c r="P153" s="8">
        <x:v>27</x:v>
      </x:c>
      <x:c r="Q153" s="10">
        <x:v>0.6129</x:v>
      </x:c>
      <x:c r="R153" s="10">
        <x:v>0.1935</x:v>
      </x:c>
      <x:c r="S153" s="10">
        <x:v>1.913</x:v>
      </x:c>
      <x:c r="T153" s="10">
        <x:v>0.0645</x:v>
      </x:c>
      <x:c r="U153" s="10">
        <x:v>0.3333</x:v>
      </x:c>
      <x:c r="V153" s="10">
        <x:v>0.6452</x:v>
      </x:c>
      <x:c r="W153" s="10">
        <x:v>0.2419</x:v>
      </x:c>
      <x:c r="X153" s="10">
        <x:v>0.4202</x:v>
      </x:c>
      <x:c r="Y153" s="10">
        <x:v>0.3519</x:v>
      </x:c>
      <x:c r="Z153" s="10">
        <x:v>0.4074</x:v>
      </x:c>
      <x:c r="AA153" s="10">
        <x:v>0.1843</x:v>
      </x:c>
      <x:c r="AB153" s="10">
        <x:v>0.3188</x:v>
      </x:c>
      <x:c r="AC153" s="13">
        <x:v>0.871</x:v>
      </x:c>
      <x:c r="AD153" s="10">
        <x:v>0.4739</x:v>
      </x:c>
      <x:c r="AE153" s="10">
        <x:v>0.4739</x:v>
      </x:c>
      <x:c r="AF153" s="2" t="s">
        <x:v>35</x:v>
      </x:c>
    </x:row>
    <x:row r="154">
      <x:c r="A154" s="4" t="s">
        <x:v>481</x:v>
      </x:c>
      <x:c r="B154" s="4" t="s">
        <x:v>482</x:v>
      </x:c>
      <x:c r="C154" s="4" t="s">
        <x:v>483</x:v>
      </x:c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22">
        <x:v>0</x:v>
      </x:c>
      <x:c r="R154" s="22">
        <x:v>0</x:v>
      </x:c>
      <x:c r="S154" s="22">
        <x:v>0</x:v>
      </x:c>
      <x:c r="T154" s="22">
        <x:v>0</x:v>
      </x:c>
      <x:c r="U154" s="22">
        <x:v>0</x:v>
      </x:c>
      <x:c r="V154" s="22">
        <x:v>0</x:v>
      </x:c>
      <x:c r="W154" s="22">
        <x:v>0</x:v>
      </x:c>
      <x:c r="X154" s="22">
        <x:v>0</x:v>
      </x:c>
      <x:c r="Y154" s="22">
        <x:v>0</x:v>
      </x:c>
      <x:c r="Z154" s="22">
        <x:v>0</x:v>
      </x:c>
      <x:c r="AA154" s="22">
        <x:v>0</x:v>
      </x:c>
      <x:c r="AB154" s="22">
        <x:v>0</x:v>
      </x:c>
      <x:c r="AC154" s="16">
        <x:v>0</x:v>
      </x:c>
      <x:c r="AF154" s="2" t="s">
        <x:v>51</x:v>
      </x:c>
    </x:row>
    <x:row r="155">
      <x:c r="A155" s="4" t="s">
        <x:v>484</x:v>
      </x:c>
      <x:c r="B155" s="4" t="s">
        <x:v>485</x:v>
      </x:c>
      <x:c r="C155" s="4" t="s">
        <x:v>486</x:v>
      </x:c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22">
        <x:v>0</x:v>
      </x:c>
      <x:c r="R155" s="22">
        <x:v>0</x:v>
      </x:c>
      <x:c r="S155" s="22">
        <x:v>0</x:v>
      </x:c>
      <x:c r="T155" s="22">
        <x:v>0</x:v>
      </x:c>
      <x:c r="U155" s="22">
        <x:v>0</x:v>
      </x:c>
      <x:c r="V155" s="22">
        <x:v>0</x:v>
      </x:c>
      <x:c r="W155" s="22">
        <x:v>0</x:v>
      </x:c>
      <x:c r="X155" s="22">
        <x:v>0</x:v>
      </x:c>
      <x:c r="Y155" s="22">
        <x:v>0</x:v>
      </x:c>
      <x:c r="Z155" s="22">
        <x:v>0</x:v>
      </x:c>
      <x:c r="AA155" s="22">
        <x:v>0</x:v>
      </x:c>
      <x:c r="AB155" s="22">
        <x:v>0</x:v>
      </x:c>
      <x:c r="AC155" s="16">
        <x:v>0</x:v>
      </x:c>
      <x:c r="AF155" s="2" t="s">
        <x:v>51</x:v>
      </x:c>
    </x:row>
    <x:row r="156">
      <x:c r="A156" s="4" t="s">
        <x:v>487</x:v>
      </x:c>
      <x:c r="B156" s="4" t="s">
        <x:v>488</x:v>
      </x:c>
      <x:c r="C156" s="4" t="s">
        <x:v>489</x:v>
      </x:c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22">
        <x:v>0</x:v>
      </x:c>
      <x:c r="R156" s="22">
        <x:v>0</x:v>
      </x:c>
      <x:c r="S156" s="22">
        <x:v>0</x:v>
      </x:c>
      <x:c r="T156" s="22">
        <x:v>0</x:v>
      </x:c>
      <x:c r="U156" s="22">
        <x:v>0</x:v>
      </x:c>
      <x:c r="V156" s="22">
        <x:v>0</x:v>
      </x:c>
      <x:c r="W156" s="22">
        <x:v>0</x:v>
      </x:c>
      <x:c r="X156" s="22">
        <x:v>0</x:v>
      </x:c>
      <x:c r="Y156" s="22">
        <x:v>0</x:v>
      </x:c>
      <x:c r="Z156" s="22">
        <x:v>0</x:v>
      </x:c>
      <x:c r="AA156" s="22">
        <x:v>0</x:v>
      </x:c>
      <x:c r="AB156" s="22">
        <x:v>0</x:v>
      </x:c>
      <x:c r="AC156" s="16">
        <x:v>0</x:v>
      </x:c>
      <x:c r="AF156" s="2" t="s">
        <x:v>35</x:v>
      </x:c>
    </x:row>
    <x:row r="157">
      <x:c r="A157" s="4" t="s">
        <x:v>490</x:v>
      </x:c>
      <x:c r="B157" s="4" t="s">
        <x:v>491</x:v>
      </x:c>
      <x:c r="C157" s="4" t="s">
        <x:v>492</x:v>
      </x:c>
      <x:c r="D157" s="8">
        <x:v>1</x:v>
      </x:c>
      <x:c r="E157" s="6"/>
      <x:c r="F157" s="6"/>
      <x:c r="G157" s="6"/>
      <x:c r="H157" s="8">
        <x:v>2</x:v>
      </x:c>
      <x:c r="I157" s="6"/>
      <x:c r="J157" s="6"/>
      <x:c r="K157" s="6"/>
      <x:c r="L157" s="6"/>
      <x:c r="M157" s="6"/>
      <x:c r="N157" s="6"/>
      <x:c r="O157" s="6"/>
      <x:c r="P157" s="6"/>
      <x:c r="Q157" s="22">
        <x:v>0</x:v>
      </x:c>
      <x:c r="R157" s="22">
        <x:v>0</x:v>
      </x:c>
      <x:c r="S157" s="22">
        <x:v>0</x:v>
      </x:c>
      <x:c r="T157" s="22">
        <x:v>0</x:v>
      </x:c>
      <x:c r="U157" s="22">
        <x:v>0</x:v>
      </x:c>
      <x:c r="V157" s="22">
        <x:v>0</x:v>
      </x:c>
      <x:c r="W157" s="22">
        <x:v>0</x:v>
      </x:c>
      <x:c r="X157" s="22">
        <x:v>0</x:v>
      </x:c>
      <x:c r="Y157" s="22">
        <x:v>0</x:v>
      </x:c>
      <x:c r="Z157" s="22">
        <x:v>0</x:v>
      </x:c>
      <x:c r="AA157" s="22">
        <x:v>0</x:v>
      </x:c>
      <x:c r="AB157" s="22">
        <x:v>0</x:v>
      </x:c>
      <x:c r="AC157" s="16">
        <x:v>0</x:v>
      </x:c>
      <x:c r="AF157" s="2" t="s">
        <x:v>35</x:v>
      </x:c>
    </x:row>
    <x:row r="158">
      <x:c r="A158" s="25" t="s">
        <x:v>493</x:v>
      </x:c>
      <x:c r="B158" s="4" t="s">
        <x:v>494</x:v>
      </x:c>
      <x:c r="C158" s="4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22">
        <x:v>0</x:v>
      </x:c>
      <x:c r="R158" s="22">
        <x:v>0</x:v>
      </x:c>
      <x:c r="S158" s="22">
        <x:v>0</x:v>
      </x:c>
      <x:c r="T158" s="22">
        <x:v>0</x:v>
      </x:c>
      <x:c r="U158" s="22">
        <x:v>0</x:v>
      </x:c>
      <x:c r="V158" s="22">
        <x:v>0</x:v>
      </x:c>
      <x:c r="W158" s="22">
        <x:v>0</x:v>
      </x:c>
      <x:c r="X158" s="22">
        <x:v>0</x:v>
      </x:c>
      <x:c r="Y158" s="22">
        <x:v>0</x:v>
      </x:c>
      <x:c r="Z158" s="22">
        <x:v>0</x:v>
      </x:c>
      <x:c r="AA158" s="22">
        <x:v>0</x:v>
      </x:c>
      <x:c r="AB158" s="22">
        <x:v>0</x:v>
      </x:c>
      <x:c r="AC158" s="16">
        <x:v>0</x:v>
      </x:c>
      <x:c r="AF158" s="2" t="s">
        <x:v>51</x:v>
      </x:c>
    </x:row>
    <x:row r="159">
      <x:c r="A159" s="4" t="s">
        <x:v>495</x:v>
      </x:c>
      <x:c r="B159" s="4" t="s">
        <x:v>496</x:v>
      </x:c>
      <x:c r="C159" s="4" t="s">
        <x:v>497</x:v>
      </x:c>
      <x:c r="D159" s="8">
        <x:v>2</x:v>
      </x:c>
      <x:c r="E159" s="6"/>
      <x:c r="F159" s="8">
        <x:v>2</x:v>
      </x:c>
      <x:c r="G159" s="8">
        <x:v>1</x:v>
      </x:c>
      <x:c r="H159" s="6"/>
      <x:c r="I159" s="8">
        <x:v>2</x:v>
      </x:c>
      <x:c r="J159" s="6"/>
      <x:c r="K159" s="6"/>
      <x:c r="L159" s="8">
        <x:v>1</x:v>
      </x:c>
      <x:c r="M159" s="6"/>
      <x:c r="N159" s="8">
        <x:v>1</x:v>
      </x:c>
      <x:c r="O159" s="6"/>
      <x:c r="P159" s="6"/>
      <x:c r="Q159" s="10">
        <x:v>0.0645</x:v>
      </x:c>
      <x:c r="R159" s="10">
        <x:v>0</x:v>
      </x:c>
      <x:c r="S159" s="10">
        <x:v>0.058</x:v>
      </x:c>
      <x:c r="T159" s="10">
        <x:v>0.0323</x:v>
      </x:c>
      <x:c r="U159" s="10">
        <x:v>0</x:v>
      </x:c>
      <x:c r="V159" s="10">
        <x:v>0.0645</x:v>
      </x:c>
      <x:c r="W159" s="10">
        <x:v>0</x:v>
      </x:c>
      <x:c r="X159" s="10">
        <x:v>0</x:v>
      </x:c>
      <x:c r="Y159" s="10">
        <x:v>0.0293</x:v>
      </x:c>
      <x:c r="Z159" s="10">
        <x:v>0</x:v>
      </x:c>
      <x:c r="AA159" s="10">
        <x:v>0.0307</x:v>
      </x:c>
      <x:c r="AB159" s="10">
        <x:v>0</x:v>
      </x:c>
      <x:c r="AC159" s="13">
        <x:v>0</x:v>
      </x:c>
      <x:c r="AD159" s="10">
        <x:v>0.0233</x:v>
      </x:c>
      <x:c r="AE159" s="10">
        <x:v>0.0233</x:v>
      </x:c>
      <x:c r="AF159" s="2" t="s">
        <x:v>35</x:v>
      </x:c>
    </x:row>
    <x:row r="160">
      <x:c r="A160" s="4" t="s">
        <x:v>498</x:v>
      </x:c>
      <x:c r="B160" s="4" t="s">
        <x:v>499</x:v>
      </x:c>
      <x:c r="C160" s="4" t="s">
        <x:v>500</x:v>
      </x:c>
      <x:c r="D160" s="8">
        <x:v>2</x:v>
      </x:c>
      <x:c r="E160" s="6"/>
      <x:c r="F160" s="8">
        <x:v>2</x:v>
      </x:c>
      <x:c r="G160" s="6"/>
      <x:c r="H160" s="6"/>
      <x:c r="I160" s="8">
        <x:v>1</x:v>
      </x:c>
      <x:c r="J160" s="6"/>
      <x:c r="K160" s="6"/>
      <x:c r="L160" s="8">
        <x:v>3</x:v>
      </x:c>
      <x:c r="M160" s="8">
        <x:v>4</x:v>
      </x:c>
      <x:c r="N160" s="8">
        <x:v>2</x:v>
      </x:c>
      <x:c r="O160" s="8">
        <x:v>5</x:v>
      </x:c>
      <x:c r="P160" s="8">
        <x:v>3</x:v>
      </x:c>
      <x:c r="Q160" s="10">
        <x:v>0.0645</x:v>
      </x:c>
      <x:c r="R160" s="10">
        <x:v>0</x:v>
      </x:c>
      <x:c r="S160" s="10">
        <x:v>0.058</x:v>
      </x:c>
      <x:c r="T160" s="10">
        <x:v>0</x:v>
      </x:c>
      <x:c r="U160" s="10">
        <x:v>0</x:v>
      </x:c>
      <x:c r="V160" s="10">
        <x:v>0.0323</x:v>
      </x:c>
      <x:c r="W160" s="10">
        <x:v>0</x:v>
      </x:c>
      <x:c r="X160" s="10">
        <x:v>0</x:v>
      </x:c>
      <x:c r="Y160" s="10">
        <x:v>0.088</x:v>
      </x:c>
      <x:c r="Z160" s="10">
        <x:v>0.1481</x:v>
      </x:c>
      <x:c r="AA160" s="10">
        <x:v>0.0614</x:v>
      </x:c>
      <x:c r="AB160" s="10">
        <x:v>0.1449</x:v>
      </x:c>
      <x:c r="AC160" s="16">
        <x:v>0.15</x:v>
      </x:c>
      <x:c r="AD160" s="10">
        <x:v>0.0498</x:v>
      </x:c>
      <x:c r="AE160" s="10">
        <x:v>0.0498</x:v>
      </x:c>
      <x:c r="AF160" s="2" t="s">
        <x:v>35</x:v>
      </x:c>
    </x:row>
    <x:row r="161">
      <x:c r="A161" s="4" t="s">
        <x:v>501</x:v>
      </x:c>
      <x:c r="B161" s="4" t="s">
        <x:v>502</x:v>
      </x:c>
      <x:c r="C161" s="4" t="s">
        <x:v>503</x:v>
      </x:c>
      <x:c r="D161" s="8">
        <x:v>2</x:v>
      </x:c>
      <x:c r="E161" s="6"/>
      <x:c r="F161" s="8">
        <x:v>2</x:v>
      </x:c>
      <x:c r="G161" s="8">
        <x:v>1</x:v>
      </x:c>
      <x:c r="H161" s="8">
        <x:v>1</x:v>
      </x:c>
      <x:c r="I161" s="8">
        <x:v>1</x:v>
      </x:c>
      <x:c r="J161" s="6"/>
      <x:c r="K161" s="6"/>
      <x:c r="L161" s="8">
        <x:v>2</x:v>
      </x:c>
      <x:c r="M161" s="8">
        <x:v>4</x:v>
      </x:c>
      <x:c r="N161" s="8">
        <x:v>2</x:v>
      </x:c>
      <x:c r="O161" s="8">
        <x:v>3</x:v>
      </x:c>
      <x:c r="P161" s="8">
        <x:v>2</x:v>
      </x:c>
      <x:c r="Q161" s="10">
        <x:v>0.0645</x:v>
      </x:c>
      <x:c r="R161" s="10">
        <x:v>0</x:v>
      </x:c>
      <x:c r="S161" s="10">
        <x:v>0.058</x:v>
      </x:c>
      <x:c r="T161" s="10">
        <x:v>0.0323</x:v>
      </x:c>
      <x:c r="U161" s="10">
        <x:v>0.0333</x:v>
      </x:c>
      <x:c r="V161" s="10">
        <x:v>0.0323</x:v>
      </x:c>
      <x:c r="W161" s="10">
        <x:v>0</x:v>
      </x:c>
      <x:c r="X161" s="10">
        <x:v>0</x:v>
      </x:c>
      <x:c r="Y161" s="10">
        <x:v>0.0587</x:v>
      </x:c>
      <x:c r="Z161" s="10">
        <x:v>0.1481</x:v>
      </x:c>
      <x:c r="AA161" s="10">
        <x:v>0.0614</x:v>
      </x:c>
      <x:c r="AB161" s="10">
        <x:v>0.087</x:v>
      </x:c>
      <x:c r="AC161" s="13">
        <x:v>0.0645</x:v>
      </x:c>
      <x:c r="AD161" s="10">
        <x:v>0.048</x:v>
      </x:c>
      <x:c r="AE161" s="10">
        <x:v>0.048</x:v>
      </x:c>
      <x:c r="AF161" s="2" t="s">
        <x:v>35</x:v>
      </x:c>
    </x:row>
    <x:row r="162">
      <x:c r="A162" s="4" t="s">
        <x:v>504</x:v>
      </x:c>
      <x:c r="B162" s="4" t="s">
        <x:v>505</x:v>
      </x:c>
      <x:c r="C162" s="4" t="s">
        <x:v>506</x:v>
      </x:c>
      <x:c r="D162" s="8">
        <x:v>2</x:v>
      </x:c>
      <x:c r="E162" s="6"/>
      <x:c r="F162" s="8">
        <x:v>2</x:v>
      </x:c>
      <x:c r="G162" s="6"/>
      <x:c r="H162" s="6"/>
      <x:c r="I162" s="6"/>
      <x:c r="J162" s="6"/>
      <x:c r="K162" s="6"/>
      <x:c r="L162" s="8">
        <x:v>2</x:v>
      </x:c>
      <x:c r="M162" s="8">
        <x:v>4</x:v>
      </x:c>
      <x:c r="N162" s="8">
        <x:v>2</x:v>
      </x:c>
      <x:c r="O162" s="8">
        <x:v>1</x:v>
      </x:c>
      <x:c r="P162" s="8">
        <x:v>4</x:v>
      </x:c>
      <x:c r="Q162" s="10">
        <x:v>0.0645</x:v>
      </x:c>
      <x:c r="R162" s="10">
        <x:v>0</x:v>
      </x:c>
      <x:c r="S162" s="10">
        <x:v>0.058</x:v>
      </x:c>
      <x:c r="T162" s="10">
        <x:v>0</x:v>
      </x:c>
      <x:c r="U162" s="10">
        <x:v>0</x:v>
      </x:c>
      <x:c r="V162" s="10">
        <x:v>0</x:v>
      </x:c>
      <x:c r="W162" s="10">
        <x:v>0</x:v>
      </x:c>
      <x:c r="X162" s="10">
        <x:v>0</x:v>
      </x:c>
      <x:c r="Y162" s="10">
        <x:v>0.0587</x:v>
      </x:c>
      <x:c r="Z162" s="10">
        <x:v>0.1481</x:v>
      </x:c>
      <x:c r="AA162" s="10">
        <x:v>0.0614</x:v>
      </x:c>
      <x:c r="AB162" s="10">
        <x:v>0.029</x:v>
      </x:c>
      <x:c r="AC162" s="13">
        <x:v>0.129</x:v>
      </x:c>
      <x:c r="AD162" s="10">
        <x:v>0.035</x:v>
      </x:c>
      <x:c r="AE162" s="10">
        <x:v>0.035</x:v>
      </x:c>
      <x:c r="AF162" s="2" t="s">
        <x:v>35</x:v>
      </x:c>
    </x:row>
    <x:row r="163">
      <x:c r="A163" s="4" t="s">
        <x:v>507</x:v>
      </x:c>
      <x:c r="B163" s="4" t="s">
        <x:v>508</x:v>
      </x:c>
      <x:c r="C163" s="4" t="s">
        <x:v>509</x:v>
      </x:c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22">
        <x:v>0</x:v>
      </x:c>
      <x:c r="R163" s="22">
        <x:v>0</x:v>
      </x:c>
      <x:c r="S163" s="22">
        <x:v>0</x:v>
      </x:c>
      <x:c r="T163" s="22">
        <x:v>0</x:v>
      </x:c>
      <x:c r="U163" s="22">
        <x:v>0</x:v>
      </x:c>
      <x:c r="V163" s="22">
        <x:v>0</x:v>
      </x:c>
      <x:c r="W163" s="22">
        <x:v>0</x:v>
      </x:c>
      <x:c r="X163" s="22">
        <x:v>0</x:v>
      </x:c>
      <x:c r="Y163" s="22">
        <x:v>0</x:v>
      </x:c>
      <x:c r="Z163" s="22">
        <x:v>0</x:v>
      </x:c>
      <x:c r="AA163" s="22">
        <x:v>0</x:v>
      </x:c>
      <x:c r="AB163" s="22">
        <x:v>0</x:v>
      </x:c>
      <x:c r="AC163" s="16">
        <x:v>0</x:v>
      </x:c>
      <x:c r="AF163" s="2" t="s">
        <x:v>35</x:v>
      </x:c>
    </x:row>
    <x:row r="164">
      <x:c r="A164" s="4" t="s">
        <x:v>510</x:v>
      </x:c>
      <x:c r="B164" s="4" t="s">
        <x:v>511</x:v>
      </x:c>
      <x:c r="C164" s="4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22">
        <x:v>0</x:v>
      </x:c>
      <x:c r="R164" s="22">
        <x:v>0</x:v>
      </x:c>
      <x:c r="S164" s="22">
        <x:v>0</x:v>
      </x:c>
      <x:c r="T164" s="22">
        <x:v>0</x:v>
      </x:c>
      <x:c r="U164" s="22">
        <x:v>0</x:v>
      </x:c>
      <x:c r="V164" s="22">
        <x:v>0</x:v>
      </x:c>
      <x:c r="W164" s="22">
        <x:v>0</x:v>
      </x:c>
      <x:c r="X164" s="22">
        <x:v>0</x:v>
      </x:c>
      <x:c r="Y164" s="22">
        <x:v>0</x:v>
      </x:c>
      <x:c r="Z164" s="22">
        <x:v>0</x:v>
      </x:c>
      <x:c r="AA164" s="22">
        <x:v>0</x:v>
      </x:c>
      <x:c r="AB164" s="22">
        <x:v>0</x:v>
      </x:c>
      <x:c r="AC164" s="16">
        <x:v>0</x:v>
      </x:c>
      <x:c r="AF164" s="2" t="s">
        <x:v>51</x:v>
      </x:c>
    </x:row>
    <x:row r="165">
      <x:c r="A165" s="4" t="s">
        <x:v>512</x:v>
      </x:c>
      <x:c r="B165" s="4" t="s">
        <x:v>513</x:v>
      </x:c>
      <x:c r="C165" s="4" t="s">
        <x:v>514</x:v>
      </x:c>
      <x:c r="D165" s="8">
        <x:v>2</x:v>
      </x:c>
      <x:c r="E165" s="8">
        <x:v>1</x:v>
      </x:c>
      <x:c r="F165" s="8">
        <x:v>3</x:v>
      </x:c>
      <x:c r="G165" s="6"/>
      <x:c r="H165" s="8">
        <x:v>11</x:v>
      </x:c>
      <x:c r="I165" s="8">
        <x:v>5</x:v>
      </x:c>
      <x:c r="J165" s="8">
        <x:v>3</x:v>
      </x:c>
      <x:c r="K165" s="8">
        <x:v>4</x:v>
      </x:c>
      <x:c r="L165" s="8">
        <x:v>1</x:v>
      </x:c>
      <x:c r="M165" s="8">
        <x:v>-3</x:v>
      </x:c>
      <x:c r="N165" s="8">
        <x:v>9</x:v>
      </x:c>
      <x:c r="O165" s="8">
        <x:v>13</x:v>
      </x:c>
      <x:c r="P165" s="8">
        <x:v>1</x:v>
      </x:c>
      <x:c r="Q165" s="10">
        <x:v>0.0645</x:v>
      </x:c>
      <x:c r="R165" s="19">
        <x:v>0.0588</x:v>
      </x:c>
      <x:c r="S165" s="22">
        <x:v>0</x:v>
      </x:c>
      <x:c r="T165" s="19">
        <x:v>0</x:v>
      </x:c>
      <x:c r="U165" s="10">
        <x:v>0.3667</x:v>
      </x:c>
      <x:c r="V165" s="10">
        <x:v>0.1613</x:v>
      </x:c>
      <x:c r="W165" s="19">
        <x:v>0.2679</x:v>
      </x:c>
      <x:c r="X165" s="10">
        <x:v>0.1681</x:v>
      </x:c>
      <x:c r="Y165" s="10">
        <x:v>0.0293</x:v>
      </x:c>
      <x:c r="Z165" s="10">
        <x:v>-0.1111</x:v>
      </x:c>
      <x:c r="AA165" s="10">
        <x:v>0.2765</x:v>
      </x:c>
      <x:c r="AB165" s="10">
        <x:v>0.3768</x:v>
      </x:c>
      <x:c r="AC165" s="13">
        <x:v>0.0323</x:v>
      </x:c>
      <x:c r="AD165" s="10">
        <x:v>0.1665</x:v>
      </x:c>
      <x:c r="AE165" s="10">
        <x:v>0.1665</x:v>
      </x:c>
      <x:c r="AF165" s="2" t="s">
        <x:v>35</x:v>
      </x:c>
    </x:row>
    <x:row r="166">
      <x:c r="A166" s="4" t="s">
        <x:v>515</x:v>
      </x:c>
      <x:c r="B166" s="4" t="s">
        <x:v>516</x:v>
      </x:c>
      <x:c r="C166" s="4" t="s">
        <x:v>517</x:v>
      </x:c>
      <x:c r="D166" s="8">
        <x:v>4</x:v>
      </x:c>
      <x:c r="E166" s="8">
        <x:v>1</x:v>
      </x:c>
      <x:c r="F166" s="8">
        <x:v>4</x:v>
      </x:c>
      <x:c r="G166" s="8">
        <x:v>5</x:v>
      </x:c>
      <x:c r="H166" s="8">
        <x:v>4</x:v>
      </x:c>
      <x:c r="I166" s="8">
        <x:v>4</x:v>
      </x:c>
      <x:c r="J166" s="8">
        <x:v>-1</x:v>
      </x:c>
      <x:c r="K166" s="8">
        <x:v>1</x:v>
      </x:c>
      <x:c r="L166" s="6"/>
      <x:c r="M166" s="6"/>
      <x:c r="N166" s="8">
        <x:v>5</x:v>
      </x:c>
      <x:c r="O166" s="8">
        <x:v>6</x:v>
      </x:c>
      <x:c r="P166" s="6"/>
      <x:c r="Q166" s="10">
        <x:v>0.129</x:v>
      </x:c>
      <x:c r="R166" s="10">
        <x:v>0.0323</x:v>
      </x:c>
      <x:c r="S166" s="10">
        <x:v>0.1159</x:v>
      </x:c>
      <x:c r="T166" s="10">
        <x:v>0.1613</x:v>
      </x:c>
      <x:c r="U166" s="10">
        <x:v>0.1333</x:v>
      </x:c>
      <x:c r="V166" s="19">
        <x:v>0.5</x:v>
      </x:c>
      <x:c r="W166" s="22">
        <x:v>0</x:v>
      </x:c>
      <x:c r="X166" s="22">
        <x:v>0</x:v>
      </x:c>
      <x:c r="Y166" s="22">
        <x:v>0</x:v>
      </x:c>
      <x:c r="Z166" s="22">
        <x:v>0</x:v>
      </x:c>
      <x:c r="AA166" s="19">
        <x:v>0.1587</x:v>
      </x:c>
      <x:c r="AB166" s="10">
        <x:v>0.1739</x:v>
      </x:c>
      <x:c r="AC166" s="13">
        <x:v>0</x:v>
      </x:c>
      <x:c r="AD166" s="10">
        <x:v>0.1243</x:v>
      </x:c>
      <x:c r="AE166" s="10">
        <x:v>0.1243</x:v>
      </x:c>
      <x:c r="AF166" s="2" t="s">
        <x:v>35</x:v>
      </x:c>
    </x:row>
    <x:row r="167">
      <x:c r="A167" s="4" t="s">
        <x:v>518</x:v>
      </x:c>
      <x:c r="B167" s="4" t="s">
        <x:v>519</x:v>
      </x:c>
      <x:c r="C167" s="4" t="s">
        <x:v>520</x:v>
      </x:c>
      <x:c r="D167" s="8">
        <x:v>5</x:v>
      </x:c>
      <x:c r="E167" s="8">
        <x:v>1</x:v>
      </x:c>
      <x:c r="F167" s="8">
        <x:v>4</x:v>
      </x:c>
      <x:c r="G167" s="8">
        <x:v>4</x:v>
      </x:c>
      <x:c r="H167" s="8">
        <x:v>4</x:v>
      </x:c>
      <x:c r="I167" s="8">
        <x:v>3</x:v>
      </x:c>
      <x:c r="J167" s="8">
        <x:v>1</x:v>
      </x:c>
      <x:c r="K167" s="8">
        <x:v>1</x:v>
      </x:c>
      <x:c r="L167" s="6"/>
      <x:c r="M167" s="6"/>
      <x:c r="N167" s="8">
        <x:v>5</x:v>
      </x:c>
      <x:c r="O167" s="8">
        <x:v>6</x:v>
      </x:c>
      <x:c r="P167" s="6"/>
      <x:c r="Q167" s="10">
        <x:v>0.1613</x:v>
      </x:c>
      <x:c r="R167" s="10">
        <x:v>0.0323</x:v>
      </x:c>
      <x:c r="S167" s="10">
        <x:v>0.1159</x:v>
      </x:c>
      <x:c r="T167" s="19">
        <x:v>0.1379</x:v>
      </x:c>
      <x:c r="U167" s="10">
        <x:v>0.1333</x:v>
      </x:c>
      <x:c r="V167" s="10">
        <x:v>0.0968</x:v>
      </x:c>
      <x:c r="W167" s="10">
        <x:v>0.0403</x:v>
      </x:c>
      <x:c r="X167" s="10">
        <x:v>0.042</x:v>
      </x:c>
      <x:c r="Y167" s="10">
        <x:v>0</x:v>
      </x:c>
      <x:c r="Z167" s="10">
        <x:v>0</x:v>
      </x:c>
      <x:c r="AA167" s="10">
        <x:v>0.1536</x:v>
      </x:c>
      <x:c r="AB167" s="10">
        <x:v>0.1739</x:v>
      </x:c>
      <x:c r="AC167" s="13">
        <x:v>0</x:v>
      </x:c>
      <x:c r="AD167" s="10">
        <x:v>0.0863</x:v>
      </x:c>
      <x:c r="AE167" s="10">
        <x:v>0.0863</x:v>
      </x:c>
      <x:c r="AF167" s="2" t="s">
        <x:v>35</x:v>
      </x:c>
    </x:row>
    <x:row r="168">
      <x:c r="A168" s="4" t="s">
        <x:v>521</x:v>
      </x:c>
      <x:c r="B168" s="4" t="s">
        <x:v>522</x:v>
      </x:c>
      <x:c r="C168" s="4" t="s">
        <x:v>523</x:v>
      </x:c>
      <x:c r="D168" s="8">
        <x:v>3</x:v>
      </x:c>
      <x:c r="E168" s="8">
        <x:v>5</x:v>
      </x:c>
      <x:c r="F168" s="8">
        <x:v>3</x:v>
      </x:c>
      <x:c r="G168" s="8">
        <x:v>4</x:v>
      </x:c>
      <x:c r="H168" s="8">
        <x:v>4</x:v>
      </x:c>
      <x:c r="I168" s="8">
        <x:v>3</x:v>
      </x:c>
      <x:c r="J168" s="8">
        <x:v>1</x:v>
      </x:c>
      <x:c r="K168" s="8">
        <x:v>1</x:v>
      </x:c>
      <x:c r="L168" s="6"/>
      <x:c r="M168" s="8">
        <x:v>-1</x:v>
      </x:c>
      <x:c r="N168" s="8">
        <x:v>7</x:v>
      </x:c>
      <x:c r="O168" s="8">
        <x:v>6</x:v>
      </x:c>
      <x:c r="P168" s="6"/>
      <x:c r="Q168" s="10">
        <x:v>0.0968</x:v>
      </x:c>
      <x:c r="R168" s="10">
        <x:v>0.1613</x:v>
      </x:c>
      <x:c r="S168" s="10">
        <x:v>0.087</x:v>
      </x:c>
      <x:c r="T168" s="10">
        <x:v>0.129</x:v>
      </x:c>
      <x:c r="U168" s="10">
        <x:v>0.1333</x:v>
      </x:c>
      <x:c r="V168" s="10">
        <x:v>0.0968</x:v>
      </x:c>
      <x:c r="W168" s="19">
        <x:v>0.1042</x:v>
      </x:c>
      <x:c r="X168" s="22">
        <x:v>0</x:v>
      </x:c>
      <x:c r="Y168" s="22">
        <x:v>0</x:v>
      </x:c>
      <x:c r="Z168" s="22">
        <x:v>0</x:v>
      </x:c>
      <x:c r="AA168" s="19">
        <x:v>0.2222</x:v>
      </x:c>
      <x:c r="AB168" s="10">
        <x:v>0.1739</x:v>
      </x:c>
      <x:c r="AC168" s="13">
        <x:v>0</x:v>
      </x:c>
      <x:c r="AD168" s="10">
        <x:v>0.1254</x:v>
      </x:c>
      <x:c r="AE168" s="10">
        <x:v>0.1254</x:v>
      </x:c>
      <x:c r="AF168" s="2" t="s">
        <x:v>35</x:v>
      </x:c>
    </x:row>
    <x:row r="169">
      <x:c r="A169" s="4" t="s">
        <x:v>524</x:v>
      </x:c>
      <x:c r="B169" s="4" t="s">
        <x:v>525</x:v>
      </x:c>
      <x:c r="C169" s="4" t="s">
        <x:v>526</x:v>
      </x:c>
      <x:c r="D169" s="8">
        <x:v>1</x:v>
      </x:c>
      <x:c r="E169" s="8">
        <x:v>1</x:v>
      </x:c>
      <x:c r="F169" s="8">
        <x:v>3</x:v>
      </x:c>
      <x:c r="G169" s="8">
        <x:v>2</x:v>
      </x:c>
      <x:c r="H169" s="8">
        <x:v>3</x:v>
      </x:c>
      <x:c r="I169" s="6"/>
      <x:c r="J169" s="8">
        <x:v>3</x:v>
      </x:c>
      <x:c r="K169" s="6"/>
      <x:c r="L169" s="8">
        <x:v>3</x:v>
      </x:c>
      <x:c r="M169" s="8">
        <x:v>4</x:v>
      </x:c>
      <x:c r="N169" s="6"/>
      <x:c r="O169" s="8">
        <x:v>2</x:v>
      </x:c>
      <x:c r="P169" s="6"/>
      <x:c r="Q169" s="10">
        <x:v>0.0323</x:v>
      </x:c>
      <x:c r="R169" s="10">
        <x:v>0.0323</x:v>
      </x:c>
      <x:c r="S169" s="10">
        <x:v>0.087</x:v>
      </x:c>
      <x:c r="T169" s="10">
        <x:v>0.0645</x:v>
      </x:c>
      <x:c r="U169" s="10">
        <x:v>0.1</x:v>
      </x:c>
      <x:c r="V169" s="10">
        <x:v>0</x:v>
      </x:c>
      <x:c r="W169" s="10">
        <x:v>0.121</x:v>
      </x:c>
      <x:c r="X169" s="10">
        <x:v>0</x:v>
      </x:c>
      <x:c r="Y169" s="10">
        <x:v>0.088</x:v>
      </x:c>
      <x:c r="Z169" s="10">
        <x:v>0.1481</x:v>
      </x:c>
      <x:c r="AA169" s="10">
        <x:v>0</x:v>
      </x:c>
      <x:c r="AB169" s="10">
        <x:v>0.058</x:v>
      </x:c>
      <x:c r="AC169" s="13">
        <x:v>0</x:v>
      </x:c>
      <x:c r="AD169" s="10">
        <x:v>0.0609</x:v>
      </x:c>
      <x:c r="AE169" s="10">
        <x:v>0.0609</x:v>
      </x:c>
      <x:c r="AF169" s="2" t="s">
        <x:v>35</x:v>
      </x:c>
    </x:row>
    <x:row r="170">
      <x:c r="A170" s="4" t="s">
        <x:v>527</x:v>
      </x:c>
      <x:c r="B170" s="4" t="s">
        <x:v>528</x:v>
      </x:c>
      <x:c r="C170" s="4" t="s">
        <x:v>529</x:v>
      </x:c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22">
        <x:v>0</x:v>
      </x:c>
      <x:c r="R170" s="22">
        <x:v>0</x:v>
      </x:c>
      <x:c r="S170" s="22">
        <x:v>0</x:v>
      </x:c>
      <x:c r="T170" s="22">
        <x:v>0</x:v>
      </x:c>
      <x:c r="U170" s="22">
        <x:v>0</x:v>
      </x:c>
      <x:c r="V170" s="22">
        <x:v>0</x:v>
      </x:c>
      <x:c r="W170" s="22">
        <x:v>0</x:v>
      </x:c>
      <x:c r="X170" s="22">
        <x:v>0</x:v>
      </x:c>
      <x:c r="Y170" s="22">
        <x:v>0</x:v>
      </x:c>
      <x:c r="Z170" s="22">
        <x:v>0</x:v>
      </x:c>
      <x:c r="AA170" s="22">
        <x:v>0</x:v>
      </x:c>
      <x:c r="AB170" s="22">
        <x:v>0</x:v>
      </x:c>
      <x:c r="AC170" s="16">
        <x:v>0</x:v>
      </x:c>
      <x:c r="AF170" s="2" t="s">
        <x:v>51</x:v>
      </x:c>
    </x:row>
    <x:row r="171">
      <x:c r="A171" s="4" t="s">
        <x:v>530</x:v>
      </x:c>
      <x:c r="B171" s="4" t="s">
        <x:v>531</x:v>
      </x:c>
      <x:c r="C171" s="4" t="s">
        <x:v>532</x:v>
      </x:c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22">
        <x:v>0</x:v>
      </x:c>
      <x:c r="R171" s="22">
        <x:v>0</x:v>
      </x:c>
      <x:c r="S171" s="22">
        <x:v>0</x:v>
      </x:c>
      <x:c r="T171" s="22">
        <x:v>0</x:v>
      </x:c>
      <x:c r="U171" s="22">
        <x:v>0</x:v>
      </x:c>
      <x:c r="V171" s="22">
        <x:v>0</x:v>
      </x:c>
      <x:c r="W171" s="22">
        <x:v>0</x:v>
      </x:c>
      <x:c r="X171" s="22">
        <x:v>0</x:v>
      </x:c>
      <x:c r="Y171" s="22">
        <x:v>0</x:v>
      </x:c>
      <x:c r="Z171" s="22">
        <x:v>0</x:v>
      </x:c>
      <x:c r="AA171" s="22">
        <x:v>0</x:v>
      </x:c>
      <x:c r="AB171" s="22">
        <x:v>0</x:v>
      </x:c>
      <x:c r="AC171" s="16">
        <x:v>0</x:v>
      </x:c>
      <x:c r="AF171" s="2" t="s">
        <x:v>35</x:v>
      </x:c>
    </x:row>
    <x:row r="172">
      <x:c r="A172" s="4" t="s">
        <x:v>533</x:v>
      </x:c>
      <x:c r="B172" s="4" t="s">
        <x:v>534</x:v>
      </x:c>
      <x:c r="C172" s="4" t="s">
        <x:v>535</x:v>
      </x:c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22">
        <x:v>0</x:v>
      </x:c>
      <x:c r="R172" s="22">
        <x:v>0</x:v>
      </x:c>
      <x:c r="S172" s="22">
        <x:v>0</x:v>
      </x:c>
      <x:c r="T172" s="22">
        <x:v>0</x:v>
      </x:c>
      <x:c r="U172" s="22">
        <x:v>0</x:v>
      </x:c>
      <x:c r="V172" s="22">
        <x:v>0</x:v>
      </x:c>
      <x:c r="W172" s="22">
        <x:v>0</x:v>
      </x:c>
      <x:c r="X172" s="22">
        <x:v>0</x:v>
      </x:c>
      <x:c r="Y172" s="22">
        <x:v>0</x:v>
      </x:c>
      <x:c r="Z172" s="22">
        <x:v>0</x:v>
      </x:c>
      <x:c r="AA172" s="22">
        <x:v>0</x:v>
      </x:c>
      <x:c r="AB172" s="22">
        <x:v>0</x:v>
      </x:c>
      <x:c r="AC172" s="16">
        <x:v>0</x:v>
      </x:c>
      <x:c r="AF172" s="2" t="s">
        <x:v>51</x:v>
      </x:c>
    </x:row>
    <x:row r="173">
      <x:c r="A173" s="4" t="s">
        <x:v>536</x:v>
      </x:c>
      <x:c r="B173" s="4" t="s">
        <x:v>537</x:v>
      </x:c>
      <x:c r="C173" s="4" t="s">
        <x:v>538</x:v>
      </x:c>
      <x:c r="D173" s="6"/>
      <x:c r="E173" s="8">
        <x:v>1</x:v>
      </x:c>
      <x:c r="F173" s="8">
        <x:v>2</x:v>
      </x:c>
      <x:c r="G173" s="8">
        <x:v>2</x:v>
      </x:c>
      <x:c r="H173" s="8">
        <x:v>-1</x:v>
      </x:c>
      <x:c r="I173" s="8">
        <x:v>2</x:v>
      </x:c>
      <x:c r="J173" s="8">
        <x:v>1</x:v>
      </x:c>
      <x:c r="K173" s="8">
        <x:v>2</x:v>
      </x:c>
      <x:c r="L173" s="8">
        <x:v>2</x:v>
      </x:c>
      <x:c r="M173" s="8">
        <x:v>5</x:v>
      </x:c>
      <x:c r="N173" s="8">
        <x:v>7</x:v>
      </x:c>
      <x:c r="O173" s="8">
        <x:v>2</x:v>
      </x:c>
      <x:c r="P173" s="6"/>
      <x:c r="Q173" s="19">
        <x:v>0</x:v>
      </x:c>
      <x:c r="R173" s="10">
        <x:v>0.0323</x:v>
      </x:c>
      <x:c r="S173" s="10">
        <x:v>0.058</x:v>
      </x:c>
      <x:c r="T173" s="10">
        <x:v>0.0645</x:v>
      </x:c>
      <x:c r="U173" s="10">
        <x:v>-0.0333</x:v>
      </x:c>
      <x:c r="V173" s="10">
        <x:v>0.0645</x:v>
      </x:c>
      <x:c r="W173" s="10">
        <x:v>0.0403</x:v>
      </x:c>
      <x:c r="X173" s="10">
        <x:v>0.084</x:v>
      </x:c>
      <x:c r="Y173" s="10">
        <x:v>0.0587</x:v>
      </x:c>
      <x:c r="Z173" s="10">
        <x:v>0.1852</x:v>
      </x:c>
      <x:c r="AA173" s="10">
        <x:v>0.2151</x:v>
      </x:c>
      <x:c r="AB173" s="10">
        <x:v>0.058</x:v>
      </x:c>
      <x:c r="AC173" s="13">
        <x:v>0</x:v>
      </x:c>
      <x:c r="AD173" s="10">
        <x:v>0.0752</x:v>
      </x:c>
      <x:c r="AE173" s="10">
        <x:v>0.0752</x:v>
      </x:c>
      <x:c r="AF173" s="2" t="s">
        <x:v>35</x:v>
      </x:c>
    </x:row>
    <x:row r="174">
      <x:c r="A174" s="4" t="s">
        <x:v>539</x:v>
      </x:c>
      <x:c r="B174" s="4" t="s">
        <x:v>540</x:v>
      </x:c>
      <x:c r="C174" s="4" t="s">
        <x:v>541</x:v>
      </x:c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22">
        <x:v>0</x:v>
      </x:c>
      <x:c r="R174" s="22">
        <x:v>0</x:v>
      </x:c>
      <x:c r="S174" s="22">
        <x:v>0</x:v>
      </x:c>
      <x:c r="T174" s="22">
        <x:v>0</x:v>
      </x:c>
      <x:c r="U174" s="22">
        <x:v>0</x:v>
      </x:c>
      <x:c r="V174" s="22">
        <x:v>0</x:v>
      </x:c>
      <x:c r="W174" s="22">
        <x:v>0</x:v>
      </x:c>
      <x:c r="X174" s="22">
        <x:v>0</x:v>
      </x:c>
      <x:c r="Y174" s="22">
        <x:v>0</x:v>
      </x:c>
      <x:c r="Z174" s="22">
        <x:v>0</x:v>
      </x:c>
      <x:c r="AA174" s="22">
        <x:v>0</x:v>
      </x:c>
      <x:c r="AB174" s="22">
        <x:v>0</x:v>
      </x:c>
      <x:c r="AC174" s="16">
        <x:v>0</x:v>
      </x:c>
      <x:c r="AF174" s="2" t="s">
        <x:v>51</x:v>
      </x:c>
    </x:row>
    <x:row r="175">
      <x:c r="A175" s="4" t="s">
        <x:v>542</x:v>
      </x:c>
      <x:c r="B175" s="4" t="s">
        <x:v>543</x:v>
      </x:c>
      <x:c r="C175" s="4" t="s">
        <x:v>544</x:v>
      </x:c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22">
        <x:v>0</x:v>
      </x:c>
      <x:c r="R175" s="22">
        <x:v>0</x:v>
      </x:c>
      <x:c r="S175" s="22">
        <x:v>0</x:v>
      </x:c>
      <x:c r="T175" s="22">
        <x:v>0</x:v>
      </x:c>
      <x:c r="U175" s="22">
        <x:v>0</x:v>
      </x:c>
      <x:c r="V175" s="22">
        <x:v>0</x:v>
      </x:c>
      <x:c r="W175" s="22">
        <x:v>0</x:v>
      </x:c>
      <x:c r="X175" s="22">
        <x:v>0</x:v>
      </x:c>
      <x:c r="Y175" s="22">
        <x:v>0</x:v>
      </x:c>
      <x:c r="Z175" s="22">
        <x:v>0</x:v>
      </x:c>
      <x:c r="AA175" s="22">
        <x:v>0</x:v>
      </x:c>
      <x:c r="AB175" s="22">
        <x:v>0</x:v>
      </x:c>
      <x:c r="AC175" s="16">
        <x:v>0</x:v>
      </x:c>
      <x:c r="AF175" s="2" t="s">
        <x:v>51</x:v>
      </x:c>
    </x:row>
    <x:row r="176">
      <x:c r="A176" s="4" t="s">
        <x:v>545</x:v>
      </x:c>
      <x:c r="B176" s="4" t="s">
        <x:v>546</x:v>
      </x:c>
      <x:c r="C176" s="4" t="s">
        <x:v>547</x:v>
      </x:c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22">
        <x:v>0</x:v>
      </x:c>
      <x:c r="R176" s="22">
        <x:v>0</x:v>
      </x:c>
      <x:c r="S176" s="22">
        <x:v>0</x:v>
      </x:c>
      <x:c r="T176" s="22">
        <x:v>0</x:v>
      </x:c>
      <x:c r="U176" s="22">
        <x:v>0</x:v>
      </x:c>
      <x:c r="V176" s="22">
        <x:v>0</x:v>
      </x:c>
      <x:c r="W176" s="22">
        <x:v>0</x:v>
      </x:c>
      <x:c r="X176" s="22">
        <x:v>0</x:v>
      </x:c>
      <x:c r="Y176" s="22">
        <x:v>0</x:v>
      </x:c>
      <x:c r="Z176" s="22">
        <x:v>0</x:v>
      </x:c>
      <x:c r="AA176" s="22">
        <x:v>0</x:v>
      </x:c>
      <x:c r="AB176" s="22">
        <x:v>0</x:v>
      </x:c>
      <x:c r="AC176" s="16">
        <x:v>0</x:v>
      </x:c>
      <x:c r="AF176" s="2" t="s">
        <x:v>35</x:v>
      </x:c>
    </x:row>
    <x:row r="177">
      <x:c r="A177" s="4" t="s">
        <x:v>548</x:v>
      </x:c>
      <x:c r="B177" s="4" t="s">
        <x:v>549</x:v>
      </x:c>
      <x:c r="C177" s="4" t="s">
        <x:v>550</x:v>
      </x:c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22">
        <x:v>0</x:v>
      </x:c>
      <x:c r="R177" s="22">
        <x:v>0</x:v>
      </x:c>
      <x:c r="S177" s="22">
        <x:v>0</x:v>
      </x:c>
      <x:c r="T177" s="22">
        <x:v>0</x:v>
      </x:c>
      <x:c r="U177" s="22">
        <x:v>0</x:v>
      </x:c>
      <x:c r="V177" s="22">
        <x:v>0</x:v>
      </x:c>
      <x:c r="W177" s="22">
        <x:v>0</x:v>
      </x:c>
      <x:c r="X177" s="22">
        <x:v>0</x:v>
      </x:c>
      <x:c r="Y177" s="22">
        <x:v>0</x:v>
      </x:c>
      <x:c r="Z177" s="22">
        <x:v>0</x:v>
      </x:c>
      <x:c r="AA177" s="22">
        <x:v>0</x:v>
      </x:c>
      <x:c r="AB177" s="22">
        <x:v>0</x:v>
      </x:c>
      <x:c r="AC177" s="16">
        <x:v>0</x:v>
      </x:c>
      <x:c r="AF177" s="2" t="s">
        <x:v>51</x:v>
      </x:c>
    </x:row>
    <x:row r="178">
      <x:c r="A178" s="4" t="s">
        <x:v>551</x:v>
      </x:c>
      <x:c r="B178" s="4" t="s">
        <x:v>552</x:v>
      </x:c>
      <x:c r="C178" s="4" t="s">
        <x:v>553</x:v>
      </x:c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22">
        <x:v>0</x:v>
      </x:c>
      <x:c r="R178" s="22">
        <x:v>0</x:v>
      </x:c>
      <x:c r="S178" s="22">
        <x:v>0</x:v>
      </x:c>
      <x:c r="T178" s="22">
        <x:v>0</x:v>
      </x:c>
      <x:c r="U178" s="22">
        <x:v>0</x:v>
      </x:c>
      <x:c r="V178" s="22">
        <x:v>0</x:v>
      </x:c>
      <x:c r="W178" s="22">
        <x:v>0</x:v>
      </x:c>
      <x:c r="X178" s="22">
        <x:v>0</x:v>
      </x:c>
      <x:c r="Y178" s="22">
        <x:v>0</x:v>
      </x:c>
      <x:c r="Z178" s="22">
        <x:v>0</x:v>
      </x:c>
      <x:c r="AA178" s="22">
        <x:v>0</x:v>
      </x:c>
      <x:c r="AB178" s="22">
        <x:v>0</x:v>
      </x:c>
      <x:c r="AC178" s="16">
        <x:v>0</x:v>
      </x:c>
      <x:c r="AF178" s="2" t="s">
        <x:v>51</x:v>
      </x:c>
    </x:row>
    <x:row r="179">
      <x:c r="A179" s="4" t="s">
        <x:v>554</x:v>
      </x:c>
      <x:c r="B179" s="4" t="s">
        <x:v>555</x:v>
      </x:c>
      <x:c r="C179" s="4" t="s">
        <x:v>556</x:v>
      </x:c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22">
        <x:v>0</x:v>
      </x:c>
      <x:c r="R179" s="22">
        <x:v>0</x:v>
      </x:c>
      <x:c r="S179" s="22">
        <x:v>0</x:v>
      </x:c>
      <x:c r="T179" s="22">
        <x:v>0</x:v>
      </x:c>
      <x:c r="U179" s="22">
        <x:v>0</x:v>
      </x:c>
      <x:c r="V179" s="22">
        <x:v>0</x:v>
      </x:c>
      <x:c r="W179" s="22">
        <x:v>0</x:v>
      </x:c>
      <x:c r="X179" s="22">
        <x:v>0</x:v>
      </x:c>
      <x:c r="Y179" s="22">
        <x:v>0</x:v>
      </x:c>
      <x:c r="Z179" s="22">
        <x:v>0</x:v>
      </x:c>
      <x:c r="AA179" s="22">
        <x:v>0</x:v>
      </x:c>
      <x:c r="AB179" s="22">
        <x:v>0</x:v>
      </x:c>
      <x:c r="AC179" s="16">
        <x:v>0</x:v>
      </x:c>
      <x:c r="AF179" s="2" t="s">
        <x:v>51</x:v>
      </x:c>
    </x:row>
    <x:row r="180">
      <x:c r="A180" s="4" t="s">
        <x:v>557</x:v>
      </x:c>
      <x:c r="B180" s="4" t="s">
        <x:v>558</x:v>
      </x:c>
      <x:c r="C180" s="4" t="s">
        <x:v>559</x:v>
      </x:c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22">
        <x:v>0</x:v>
      </x:c>
      <x:c r="R180" s="22">
        <x:v>0</x:v>
      </x:c>
      <x:c r="S180" s="22">
        <x:v>0</x:v>
      </x:c>
      <x:c r="T180" s="22">
        <x:v>0</x:v>
      </x:c>
      <x:c r="U180" s="22">
        <x:v>0</x:v>
      </x:c>
      <x:c r="V180" s="22">
        <x:v>0</x:v>
      </x:c>
      <x:c r="W180" s="22">
        <x:v>0</x:v>
      </x:c>
      <x:c r="X180" s="22">
        <x:v>0</x:v>
      </x:c>
      <x:c r="Y180" s="22">
        <x:v>0</x:v>
      </x:c>
      <x:c r="Z180" s="22">
        <x:v>0</x:v>
      </x:c>
      <x:c r="AA180" s="22">
        <x:v>0</x:v>
      </x:c>
      <x:c r="AB180" s="22">
        <x:v>0</x:v>
      </x:c>
      <x:c r="AC180" s="16">
        <x:v>0</x:v>
      </x:c>
      <x:c r="AF180" s="2" t="s">
        <x:v>51</x:v>
      </x:c>
    </x:row>
    <x:row r="181">
      <x:c r="A181" s="4" t="s">
        <x:v>560</x:v>
      </x:c>
      <x:c r="B181" s="4" t="s">
        <x:v>561</x:v>
      </x:c>
      <x:c r="C181" s="4" t="s">
        <x:v>562</x:v>
      </x:c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10">
        <x:v>0</x:v>
      </x:c>
      <x:c r="R181" s="10">
        <x:v>0</x:v>
      </x:c>
      <x:c r="S181" s="10">
        <x:v>0</x:v>
      </x:c>
      <x:c r="T181" s="10">
        <x:v>0</x:v>
      </x:c>
      <x:c r="U181" s="10">
        <x:v>0</x:v>
      </x:c>
      <x:c r="V181" s="10">
        <x:v>0</x:v>
      </x:c>
      <x:c r="W181" s="10">
        <x:v>0</x:v>
      </x:c>
      <x:c r="X181" s="10">
        <x:v>0</x:v>
      </x:c>
      <x:c r="Y181" s="10">
        <x:v>0</x:v>
      </x:c>
      <x:c r="Z181" s="10">
        <x:v>0</x:v>
      </x:c>
      <x:c r="AA181" s="10">
        <x:v>0</x:v>
      </x:c>
      <x:c r="AB181" s="10">
        <x:v>0</x:v>
      </x:c>
      <x:c r="AC181" s="13">
        <x:v>0</x:v>
      </x:c>
      <x:c r="AF181" s="2" t="s">
        <x:v>51</x:v>
      </x:c>
    </x:row>
    <x:row r="182">
      <x:c r="A182" s="4" t="s">
        <x:v>563</x:v>
      </x:c>
      <x:c r="B182" s="4" t="s">
        <x:v>564</x:v>
      </x:c>
      <x:c r="C182" s="4" t="s">
        <x:v>565</x:v>
      </x:c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10">
        <x:v>0</x:v>
      </x:c>
      <x:c r="R182" s="10">
        <x:v>0</x:v>
      </x:c>
      <x:c r="S182" s="10">
        <x:v>0</x:v>
      </x:c>
      <x:c r="T182" s="10">
        <x:v>0</x:v>
      </x:c>
      <x:c r="U182" s="10">
        <x:v>0</x:v>
      </x:c>
      <x:c r="V182" s="10">
        <x:v>0</x:v>
      </x:c>
      <x:c r="W182" s="10">
        <x:v>0</x:v>
      </x:c>
      <x:c r="X182" s="10">
        <x:v>0</x:v>
      </x:c>
      <x:c r="Y182" s="10">
        <x:v>0</x:v>
      </x:c>
      <x:c r="Z182" s="10">
        <x:v>0</x:v>
      </x:c>
      <x:c r="AA182" s="10">
        <x:v>0</x:v>
      </x:c>
      <x:c r="AB182" s="10">
        <x:v>0</x:v>
      </x:c>
      <x:c r="AC182" s="13">
        <x:v>0</x:v>
      </x:c>
      <x:c r="AF182" s="2" t="s">
        <x:v>51</x:v>
      </x:c>
    </x:row>
    <x:row r="183">
      <x:c r="A183" s="4" t="s">
        <x:v>566</x:v>
      </x:c>
      <x:c r="B183" s="4" t="s">
        <x:v>567</x:v>
      </x:c>
      <x:c r="C183" s="4" t="s">
        <x:v>568</x:v>
      </x:c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10">
        <x:v>0</x:v>
      </x:c>
      <x:c r="R183" s="10">
        <x:v>0</x:v>
      </x:c>
      <x:c r="S183" s="10">
        <x:v>0</x:v>
      </x:c>
      <x:c r="T183" s="10">
        <x:v>0</x:v>
      </x:c>
      <x:c r="U183" s="10">
        <x:v>0</x:v>
      </x:c>
      <x:c r="V183" s="10">
        <x:v>0</x:v>
      </x:c>
      <x:c r="W183" s="10">
        <x:v>0</x:v>
      </x:c>
      <x:c r="X183" s="10">
        <x:v>0</x:v>
      </x:c>
      <x:c r="Y183" s="10">
        <x:v>0</x:v>
      </x:c>
      <x:c r="Z183" s="10">
        <x:v>0</x:v>
      </x:c>
      <x:c r="AA183" s="10">
        <x:v>0</x:v>
      </x:c>
      <x:c r="AB183" s="10">
        <x:v>0</x:v>
      </x:c>
      <x:c r="AC183" s="13">
        <x:v>0</x:v>
      </x:c>
      <x:c r="AF183" s="2" t="s">
        <x:v>35</x:v>
      </x:c>
    </x:row>
    <x:row r="184">
      <x:c r="A184" s="4" t="s">
        <x:v>569</x:v>
      </x:c>
      <x:c r="B184" s="4" t="s">
        <x:v>570</x:v>
      </x:c>
      <x:c r="C184" s="4" t="s">
        <x:v>571</x:v>
      </x:c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10">
        <x:v>0</x:v>
      </x:c>
      <x:c r="R184" s="10">
        <x:v>0</x:v>
      </x:c>
      <x:c r="S184" s="10">
        <x:v>0</x:v>
      </x:c>
      <x:c r="T184" s="10">
        <x:v>0</x:v>
      </x:c>
      <x:c r="U184" s="10">
        <x:v>0</x:v>
      </x:c>
      <x:c r="V184" s="10">
        <x:v>0</x:v>
      </x:c>
      <x:c r="W184" s="10">
        <x:v>0</x:v>
      </x:c>
      <x:c r="X184" s="10">
        <x:v>0</x:v>
      </x:c>
      <x:c r="Y184" s="10">
        <x:v>0</x:v>
      </x:c>
      <x:c r="Z184" s="10">
        <x:v>0</x:v>
      </x:c>
      <x:c r="AA184" s="10">
        <x:v>0</x:v>
      </x:c>
      <x:c r="AB184" s="10">
        <x:v>0</x:v>
      </x:c>
      <x:c r="AC184" s="13">
        <x:v>0</x:v>
      </x:c>
      <x:c r="AF184" s="2" t="s">
        <x:v>51</x:v>
      </x:c>
    </x:row>
    <x:row r="185">
      <x:c r="A185" s="4" t="s">
        <x:v>572</x:v>
      </x:c>
      <x:c r="B185" s="4" t="s">
        <x:v>573</x:v>
      </x:c>
      <x:c r="C185" s="4" t="s">
        <x:v>574</x:v>
      </x:c>
      <x:c r="D185" s="6"/>
      <x:c r="E185" s="8">
        <x:v>1</x:v>
      </x:c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22">
        <x:v>0</x:v>
      </x:c>
      <x:c r="R185" s="22">
        <x:v>0</x:v>
      </x:c>
      <x:c r="S185" s="22">
        <x:v>0</x:v>
      </x:c>
      <x:c r="T185" s="22">
        <x:v>0</x:v>
      </x:c>
      <x:c r="U185" s="22">
        <x:v>0</x:v>
      </x:c>
      <x:c r="V185" s="22">
        <x:v>0</x:v>
      </x:c>
      <x:c r="W185" s="22">
        <x:v>0</x:v>
      </x:c>
      <x:c r="X185" s="22">
        <x:v>0</x:v>
      </x:c>
      <x:c r="Y185" s="22">
        <x:v>0</x:v>
      </x:c>
      <x:c r="Z185" s="22">
        <x:v>0</x:v>
      </x:c>
      <x:c r="AA185" s="22">
        <x:v>0</x:v>
      </x:c>
      <x:c r="AB185" s="22">
        <x:v>0</x:v>
      </x:c>
      <x:c r="AC185" s="16">
        <x:v>0</x:v>
      </x:c>
      <x:c r="AF185" s="2" t="s">
        <x:v>35</x:v>
      </x:c>
    </x:row>
    <x:row r="186">
      <x:c r="A186" s="4" t="s">
        <x:v>575</x:v>
      </x:c>
      <x:c r="B186" s="4" t="s">
        <x:v>576</x:v>
      </x:c>
      <x:c r="C186" s="4" t="s">
        <x:v>577</x:v>
      </x:c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22">
        <x:v>0</x:v>
      </x:c>
      <x:c r="R186" s="22">
        <x:v>0</x:v>
      </x:c>
      <x:c r="S186" s="22">
        <x:v>0</x:v>
      </x:c>
      <x:c r="T186" s="22">
        <x:v>0</x:v>
      </x:c>
      <x:c r="U186" s="22">
        <x:v>0</x:v>
      </x:c>
      <x:c r="V186" s="22">
        <x:v>0</x:v>
      </x:c>
      <x:c r="W186" s="22">
        <x:v>0</x:v>
      </x:c>
      <x:c r="X186" s="22">
        <x:v>0</x:v>
      </x:c>
      <x:c r="Y186" s="22">
        <x:v>0</x:v>
      </x:c>
      <x:c r="Z186" s="22">
        <x:v>0</x:v>
      </x:c>
      <x:c r="AA186" s="22">
        <x:v>0</x:v>
      </x:c>
      <x:c r="AB186" s="22">
        <x:v>0</x:v>
      </x:c>
      <x:c r="AC186" s="16">
        <x:v>0</x:v>
      </x:c>
      <x:c r="AF186" s="2" t="s">
        <x:v>51</x:v>
      </x:c>
    </x:row>
    <x:row r="187">
      <x:c r="A187" s="4" t="s">
        <x:v>578</x:v>
      </x:c>
      <x:c r="B187" s="4" t="s">
        <x:v>579</x:v>
      </x:c>
      <x:c r="C187" s="4" t="s">
        <x:v>580</x:v>
      </x:c>
      <x:c r="D187" s="8">
        <x:v>4</x:v>
      </x:c>
      <x:c r="E187" s="8">
        <x:v>1</x:v>
      </x:c>
      <x:c r="F187" s="6"/>
      <x:c r="G187" s="6"/>
      <x:c r="H187" s="8">
        <x:v>4</x:v>
      </x:c>
      <x:c r="I187" s="8">
        <x:v>3</x:v>
      </x:c>
      <x:c r="J187" s="6"/>
      <x:c r="K187" s="8">
        <x:v>1</x:v>
      </x:c>
      <x:c r="L187" s="6"/>
      <x:c r="M187" s="6"/>
      <x:c r="N187" s="8">
        <x:v>2</x:v>
      </x:c>
      <x:c r="O187" s="6"/>
      <x:c r="P187" s="8">
        <x:v>2</x:v>
      </x:c>
      <x:c r="Q187" s="19">
        <x:v>0.3077</x:v>
      </x:c>
      <x:c r="R187" s="10">
        <x:v>0.0323</x:v>
      </x:c>
      <x:c r="S187" s="10">
        <x:v>0</x:v>
      </x:c>
      <x:c r="T187" s="10">
        <x:v>0</x:v>
      </x:c>
      <x:c r="U187" s="10">
        <x:v>0.1333</x:v>
      </x:c>
      <x:c r="V187" s="10">
        <x:v>0.0968</x:v>
      </x:c>
      <x:c r="W187" s="10">
        <x:v>0</x:v>
      </x:c>
      <x:c r="X187" s="10">
        <x:v>0.042</x:v>
      </x:c>
      <x:c r="Y187" s="10">
        <x:v>0</x:v>
      </x:c>
      <x:c r="Z187" s="10">
        <x:v>0</x:v>
      </x:c>
      <x:c r="AA187" s="10">
        <x:v>0.0614</x:v>
      </x:c>
      <x:c r="AB187" s="10">
        <x:v>0</x:v>
      </x:c>
      <x:c r="AC187" s="13">
        <x:v>0.0645</x:v>
      </x:c>
      <x:c r="AD187" s="10">
        <x:v>0.0333</x:v>
      </x:c>
      <x:c r="AE187" s="10">
        <x:v>0.0333</x:v>
      </x:c>
      <x:c r="AF187" s="2" t="s">
        <x:v>35</x:v>
      </x:c>
    </x:row>
    <x:row r="188">
      <x:c r="A188" s="4" t="s">
        <x:v>581</x:v>
      </x:c>
      <x:c r="B188" s="4" t="s">
        <x:v>582</x:v>
      </x:c>
      <x:c r="C188" s="4" t="s">
        <x:v>583</x:v>
      </x:c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22">
        <x:v>0</x:v>
      </x:c>
      <x:c r="R188" s="22">
        <x:v>0</x:v>
      </x:c>
      <x:c r="S188" s="22">
        <x:v>0</x:v>
      </x:c>
      <x:c r="T188" s="22">
        <x:v>0</x:v>
      </x:c>
      <x:c r="U188" s="22">
        <x:v>0</x:v>
      </x:c>
      <x:c r="V188" s="22">
        <x:v>0</x:v>
      </x:c>
      <x:c r="W188" s="22">
        <x:v>0</x:v>
      </x:c>
      <x:c r="X188" s="22">
        <x:v>0</x:v>
      </x:c>
      <x:c r="Y188" s="22">
        <x:v>0</x:v>
      </x:c>
      <x:c r="Z188" s="22">
        <x:v>0</x:v>
      </x:c>
      <x:c r="AA188" s="22">
        <x:v>0</x:v>
      </x:c>
      <x:c r="AB188" s="22">
        <x:v>0</x:v>
      </x:c>
      <x:c r="AC188" s="16">
        <x:v>0</x:v>
      </x:c>
      <x:c r="AF188" s="2" t="s">
        <x:v>51</x:v>
      </x:c>
    </x:row>
    <x:row r="189">
      <x:c r="A189" s="4" t="s">
        <x:v>584</x:v>
      </x:c>
      <x:c r="B189" s="4" t="s">
        <x:v>585</x:v>
      </x:c>
      <x:c r="C189" s="4" t="s">
        <x:v>586</x:v>
      </x:c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22">
        <x:v>0</x:v>
      </x:c>
      <x:c r="R189" s="22">
        <x:v>0</x:v>
      </x:c>
      <x:c r="S189" s="22">
        <x:v>0</x:v>
      </x:c>
      <x:c r="T189" s="22">
        <x:v>0</x:v>
      </x:c>
      <x:c r="U189" s="22">
        <x:v>0</x:v>
      </x:c>
      <x:c r="V189" s="22">
        <x:v>0</x:v>
      </x:c>
      <x:c r="W189" s="22">
        <x:v>0</x:v>
      </x:c>
      <x:c r="X189" s="22">
        <x:v>0</x:v>
      </x:c>
      <x:c r="Y189" s="22">
        <x:v>0</x:v>
      </x:c>
      <x:c r="Z189" s="22">
        <x:v>0</x:v>
      </x:c>
      <x:c r="AA189" s="22">
        <x:v>0</x:v>
      </x:c>
      <x:c r="AB189" s="22">
        <x:v>0</x:v>
      </x:c>
      <x:c r="AC189" s="16">
        <x:v>0</x:v>
      </x:c>
      <x:c r="AF189" s="2" t="s">
        <x:v>51</x:v>
      </x:c>
    </x:row>
    <x:row r="190">
      <x:c r="A190" s="4" t="s">
        <x:v>587</x:v>
      </x:c>
      <x:c r="B190" s="4" t="s">
        <x:v>588</x:v>
      </x:c>
      <x:c r="C190" s="4" t="s">
        <x:v>589</x:v>
      </x:c>
      <x:c r="D190" s="8">
        <x:v>16</x:v>
      </x:c>
      <x:c r="E190" s="8">
        <x:v>7</x:v>
      </x:c>
      <x:c r="F190" s="8">
        <x:v>10</x:v>
      </x:c>
      <x:c r="G190" s="8">
        <x:v>9</x:v>
      </x:c>
      <x:c r="H190" s="8">
        <x:v>3</x:v>
      </x:c>
      <x:c r="I190" s="8">
        <x:v>4</x:v>
      </x:c>
      <x:c r="J190" s="8">
        <x:v>4</x:v>
      </x:c>
      <x:c r="K190" s="8">
        <x:v>2</x:v>
      </x:c>
      <x:c r="L190" s="8">
        <x:v>3</x:v>
      </x:c>
      <x:c r="M190" s="8">
        <x:v>14</x:v>
      </x:c>
      <x:c r="N190" s="8">
        <x:v>12</x:v>
      </x:c>
      <x:c r="O190" s="8">
        <x:v>1</x:v>
      </x:c>
      <x:c r="P190" s="8">
        <x:v>10</x:v>
      </x:c>
      <x:c r="Q190" s="10">
        <x:v>0.5161</x:v>
      </x:c>
      <x:c r="R190" s="10">
        <x:v>0.2258</x:v>
      </x:c>
      <x:c r="S190" s="10">
        <x:v>0.2899</x:v>
      </x:c>
      <x:c r="T190" s="10">
        <x:v>0.2903</x:v>
      </x:c>
      <x:c r="U190" s="10">
        <x:v>0.1</x:v>
      </x:c>
      <x:c r="V190" s="10">
        <x:v>0.129</x:v>
      </x:c>
      <x:c r="W190" s="10">
        <x:v>0.1613</x:v>
      </x:c>
      <x:c r="X190" s="10">
        <x:v>0.084</x:v>
      </x:c>
      <x:c r="Y190" s="10">
        <x:v>0.088</x:v>
      </x:c>
      <x:c r="Z190" s="10">
        <x:v>0.5185</x:v>
      </x:c>
      <x:c r="AA190" s="10">
        <x:v>0.3687</x:v>
      </x:c>
      <x:c r="AB190" s="10">
        <x:v>0.029</x:v>
      </x:c>
      <x:c r="AC190" s="13">
        <x:v>0.3226</x:v>
      </x:c>
      <x:c r="AD190" s="10">
        <x:v>0.2334</x:v>
      </x:c>
      <x:c r="AE190" s="10">
        <x:v>0.2334</x:v>
      </x:c>
      <x:c r="AF190" s="2" t="s">
        <x:v>35</x:v>
      </x:c>
    </x:row>
    <x:row r="191">
      <x:c r="A191" s="4" t="s">
        <x:v>590</x:v>
      </x:c>
      <x:c r="B191" s="4" t="s">
        <x:v>591</x:v>
      </x:c>
      <x:c r="C191" s="4" t="s">
        <x:v>592</x:v>
      </x:c>
      <x:c r="D191" s="8">
        <x:v>1</x:v>
      </x:c>
      <x:c r="E191" s="8">
        <x:v>4</x:v>
      </x:c>
      <x:c r="F191" s="6"/>
      <x:c r="G191" s="8">
        <x:v>1</x:v>
      </x:c>
      <x:c r="H191" s="8">
        <x:v>6</x:v>
      </x:c>
      <x:c r="I191" s="6"/>
      <x:c r="J191" s="6"/>
      <x:c r="K191" s="8">
        <x:v>1</x:v>
      </x:c>
      <x:c r="L191" s="8">
        <x:v>7</x:v>
      </x:c>
      <x:c r="M191" s="8">
        <x:v>9</x:v>
      </x:c>
      <x:c r="N191" s="8">
        <x:v>5</x:v>
      </x:c>
      <x:c r="O191" s="8">
        <x:v>9</x:v>
      </x:c>
      <x:c r="P191" s="6"/>
      <x:c r="Q191" s="19">
        <x:v>0.0909</x:v>
      </x:c>
      <x:c r="R191" s="10">
        <x:v>0.129</x:v>
      </x:c>
      <x:c r="S191" s="10">
        <x:v>0</x:v>
      </x:c>
      <x:c r="T191" s="10">
        <x:v>0.0323</x:v>
      </x:c>
      <x:c r="U191" s="10">
        <x:v>0.2</x:v>
      </x:c>
      <x:c r="V191" s="10">
        <x:v>0</x:v>
      </x:c>
      <x:c r="W191" s="10">
        <x:v>0</x:v>
      </x:c>
      <x:c r="X191" s="10">
        <x:v>0.042</x:v>
      </x:c>
      <x:c r="Y191" s="10">
        <x:v>0.2053</x:v>
      </x:c>
      <x:c r="Z191" s="10">
        <x:v>0.3333</x:v>
      </x:c>
      <x:c r="AA191" s="10">
        <x:v>0.1536</x:v>
      </x:c>
      <x:c r="AB191" s="19">
        <x:v>0.3557</x:v>
      </x:c>
      <x:c r="AC191" s="16">
        <x:v>0</x:v>
      </x:c>
      <x:c r="AD191" s="10">
        <x:v>0.1096</x:v>
      </x:c>
      <x:c r="AE191" s="10">
        <x:v>0.1096</x:v>
      </x:c>
      <x:c r="AF191" s="2" t="s">
        <x:v>35</x:v>
      </x:c>
    </x:row>
    <x:row r="192">
      <x:c r="A192" s="4" t="s">
        <x:v>593</x:v>
      </x:c>
      <x:c r="B192" s="4" t="s">
        <x:v>594</x:v>
      </x:c>
      <x:c r="C192" s="4" t="s">
        <x:v>595</x:v>
      </x:c>
      <x:c r="D192" s="6"/>
      <x:c r="E192" s="8">
        <x:v>7</x:v>
      </x:c>
      <x:c r="F192" s="8">
        <x:v>20</x:v>
      </x:c>
      <x:c r="G192" s="8">
        <x:v>5</x:v>
      </x:c>
      <x:c r="H192" s="8">
        <x:v>7</x:v>
      </x:c>
      <x:c r="I192" s="8">
        <x:v>2</x:v>
      </x:c>
      <x:c r="J192" s="8">
        <x:v>18</x:v>
      </x:c>
      <x:c r="K192" s="8">
        <x:v>1</x:v>
      </x:c>
      <x:c r="L192" s="8">
        <x:v>10</x:v>
      </x:c>
      <x:c r="M192" s="8">
        <x:v>2</x:v>
      </x:c>
      <x:c r="N192" s="6"/>
      <x:c r="O192" s="8">
        <x:v>20</x:v>
      </x:c>
      <x:c r="P192" s="8">
        <x:v>8</x:v>
      </x:c>
      <x:c r="Q192" s="10">
        <x:v>0</x:v>
      </x:c>
      <x:c r="R192" s="10">
        <x:v>0.2258</x:v>
      </x:c>
      <x:c r="S192" s="10">
        <x:v>0.5797</x:v>
      </x:c>
      <x:c r="T192" s="10">
        <x:v>0.1613</x:v>
      </x:c>
      <x:c r="U192" s="10">
        <x:v>0.2333</x:v>
      </x:c>
      <x:c r="V192" s="10">
        <x:v>0.0645</x:v>
      </x:c>
      <x:c r="W192" s="10">
        <x:v>0.7258</x:v>
      </x:c>
      <x:c r="X192" s="10">
        <x:v>0.042</x:v>
      </x:c>
      <x:c r="Y192" s="10">
        <x:v>0.2933</x:v>
      </x:c>
      <x:c r="Z192" s="10">
        <x:v>0.0741</x:v>
      </x:c>
      <x:c r="AA192" s="10">
        <x:v>0</x:v>
      </x:c>
      <x:c r="AB192" s="10">
        <x:v>0.5797</x:v>
      </x:c>
      <x:c r="AC192" s="16">
        <x:v>0.2667</x:v>
      </x:c>
      <x:c r="AD192" s="10">
        <x:v>0.2483</x:v>
      </x:c>
      <x:c r="AE192" s="10">
        <x:v>0.2483</x:v>
      </x:c>
      <x:c r="AF192" s="2" t="s">
        <x:v>35</x:v>
      </x:c>
    </x:row>
    <x:row r="193">
      <x:c r="A193" s="4" t="s">
        <x:v>596</x:v>
      </x:c>
      <x:c r="B193" s="4" t="s">
        <x:v>597</x:v>
      </x:c>
      <x:c r="C193" s="4" t="s">
        <x:v>598</x:v>
      </x:c>
      <x:c r="D193" s="6"/>
      <x:c r="E193" s="8">
        <x:v>1</x:v>
      </x:c>
      <x:c r="F193" s="6"/>
      <x:c r="G193" s="6"/>
      <x:c r="H193" s="6"/>
      <x:c r="I193" s="6"/>
      <x:c r="J193" s="6"/>
      <x:c r="K193" s="6"/>
      <x:c r="L193" s="6"/>
      <x:c r="M193" s="6"/>
      <x:c r="N193" s="8">
        <x:v>1</x:v>
      </x:c>
      <x:c r="O193" s="6"/>
      <x:c r="P193" s="6"/>
      <x:c r="Q193" s="10">
        <x:v>0</x:v>
      </x:c>
      <x:c r="R193" s="10">
        <x:v>0.0323</x:v>
      </x:c>
      <x:c r="S193" s="10">
        <x:v>0</x:v>
      </x:c>
      <x:c r="T193" s="10">
        <x:v>0</x:v>
      </x:c>
      <x:c r="U193" s="10">
        <x:v>0</x:v>
      </x:c>
      <x:c r="V193" s="10">
        <x:v>0</x:v>
      </x:c>
      <x:c r="W193" s="10">
        <x:v>0</x:v>
      </x:c>
      <x:c r="X193" s="10">
        <x:v>0</x:v>
      </x:c>
      <x:c r="Y193" s="10">
        <x:v>0</x:v>
      </x:c>
      <x:c r="Z193" s="10">
        <x:v>0</x:v>
      </x:c>
      <x:c r="AA193" s="10">
        <x:v>0.0307</x:v>
      </x:c>
      <x:c r="AB193" s="10">
        <x:v>0</x:v>
      </x:c>
      <x:c r="AC193" s="13">
        <x:v>0</x:v>
      </x:c>
      <x:c r="AD193" s="10">
        <x:v>0.0053</x:v>
      </x:c>
      <x:c r="AE193" s="10">
        <x:v>0.0053</x:v>
      </x:c>
      <x:c r="AF193" s="2" t="s">
        <x:v>35</x:v>
      </x:c>
    </x:row>
    <x:row r="194">
      <x:c r="A194" s="4" t="s">
        <x:v>599</x:v>
      </x:c>
      <x:c r="B194" s="4" t="s">
        <x:v>600</x:v>
      </x:c>
      <x:c r="C194" s="4" t="s">
        <x:v>601</x:v>
      </x:c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22">
        <x:v>0</x:v>
      </x:c>
      <x:c r="R194" s="22">
        <x:v>0</x:v>
      </x:c>
      <x:c r="S194" s="22">
        <x:v>0</x:v>
      </x:c>
      <x:c r="T194" s="22">
        <x:v>0</x:v>
      </x:c>
      <x:c r="U194" s="22">
        <x:v>0</x:v>
      </x:c>
      <x:c r="V194" s="22">
        <x:v>0</x:v>
      </x:c>
      <x:c r="W194" s="22">
        <x:v>0</x:v>
      </x:c>
      <x:c r="X194" s="22">
        <x:v>0</x:v>
      </x:c>
      <x:c r="Y194" s="22">
        <x:v>0</x:v>
      </x:c>
      <x:c r="Z194" s="22">
        <x:v>0</x:v>
      </x:c>
      <x:c r="AA194" s="22">
        <x:v>0</x:v>
      </x:c>
      <x:c r="AB194" s="22">
        <x:v>0</x:v>
      </x:c>
      <x:c r="AC194" s="16">
        <x:v>0</x:v>
      </x:c>
      <x:c r="AF194" s="2" t="s">
        <x:v>51</x:v>
      </x:c>
    </x:row>
    <x:row r="195">
      <x:c r="A195" s="4" t="s">
        <x:v>602</x:v>
      </x:c>
      <x:c r="B195" s="4" t="s">
        <x:v>603</x:v>
      </x:c>
      <x:c r="C195" s="4" t="s">
        <x:v>604</x:v>
      </x:c>
      <x:c r="D195" s="8">
        <x:v>11</x:v>
      </x:c>
      <x:c r="E195" s="8">
        <x:v>12</x:v>
      </x:c>
      <x:c r="F195" s="8">
        <x:v>7</x:v>
      </x:c>
      <x:c r="G195" s="8">
        <x:v>19</x:v>
      </x:c>
      <x:c r="H195" s="8">
        <x:v>8</x:v>
      </x:c>
      <x:c r="I195" s="8">
        <x:v>19</x:v>
      </x:c>
      <x:c r="J195" s="8">
        <x:v>14</x:v>
      </x:c>
      <x:c r="K195" s="8">
        <x:v>8</x:v>
      </x:c>
      <x:c r="L195" s="8">
        <x:v>11</x:v>
      </x:c>
      <x:c r="M195" s="8">
        <x:v>10</x:v>
      </x:c>
      <x:c r="N195" s="8">
        <x:v>15</x:v>
      </x:c>
      <x:c r="O195" s="8">
        <x:v>9</x:v>
      </x:c>
      <x:c r="P195" s="8">
        <x:v>10</x:v>
      </x:c>
      <x:c r="Q195" s="19">
        <x:v>0.5238</x:v>
      </x:c>
      <x:c r="R195" s="10">
        <x:v>0.3871</x:v>
      </x:c>
      <x:c r="S195" s="10">
        <x:v>0.2029</x:v>
      </x:c>
      <x:c r="T195" s="10">
        <x:v>0.6129</x:v>
      </x:c>
      <x:c r="U195" s="10">
        <x:v>0.2667</x:v>
      </x:c>
      <x:c r="V195" s="10">
        <x:v>0.6129</x:v>
      </x:c>
      <x:c r="W195" s="10">
        <x:v>0.5645</x:v>
      </x:c>
      <x:c r="X195" s="10">
        <x:v>0.3361</x:v>
      </x:c>
      <x:c r="Y195" s="10">
        <x:v>0.3226</x:v>
      </x:c>
      <x:c r="Z195" s="10">
        <x:v>0.3704</x:v>
      </x:c>
      <x:c r="AA195" s="10">
        <x:v>0.4608</x:v>
      </x:c>
      <x:c r="AB195" s="10">
        <x:v>0.2609</x:v>
      </x:c>
      <x:c r="AC195" s="13">
        <x:v>0.3226</x:v>
      </x:c>
      <x:c r="AD195" s="10">
        <x:v>0.3998</x:v>
      </x:c>
      <x:c r="AE195" s="10">
        <x:v>0.3998</x:v>
      </x:c>
      <x:c r="AF195" s="2" t="s">
        <x:v>35</x:v>
      </x:c>
    </x:row>
    <x:row r="196">
      <x:c r="A196" s="4" t="s">
        <x:v>605</x:v>
      </x:c>
      <x:c r="B196" s="4" t="s">
        <x:v>606</x:v>
      </x:c>
      <x:c r="C196" s="4" t="s">
        <x:v>607</x:v>
      </x:c>
      <x:c r="D196" s="6"/>
      <x:c r="E196" s="6"/>
      <x:c r="F196" s="6"/>
      <x:c r="G196" s="8">
        <x:v>1</x:v>
      </x:c>
      <x:c r="H196" s="6"/>
      <x:c r="I196" s="6"/>
      <x:c r="J196" s="6"/>
      <x:c r="K196" s="8">
        <x:v>1</x:v>
      </x:c>
      <x:c r="L196" s="6"/>
      <x:c r="M196" s="6"/>
      <x:c r="N196" s="6"/>
      <x:c r="O196" s="6"/>
      <x:c r="P196" s="6"/>
      <x:c r="Q196" s="10">
        <x:v>0</x:v>
      </x:c>
      <x:c r="R196" s="10">
        <x:v>0</x:v>
      </x:c>
      <x:c r="S196" s="10">
        <x:v>0</x:v>
      </x:c>
      <x:c r="T196" s="10">
        <x:v>0.0323</x:v>
      </x:c>
      <x:c r="U196" s="10">
        <x:v>0</x:v>
      </x:c>
      <x:c r="V196" s="10">
        <x:v>0</x:v>
      </x:c>
      <x:c r="W196" s="10">
        <x:v>0</x:v>
      </x:c>
      <x:c r="X196" s="19">
        <x:v>0.5882</x:v>
      </x:c>
      <x:c r="Y196" s="22">
        <x:v>0</x:v>
      </x:c>
      <x:c r="Z196" s="22">
        <x:v>0</x:v>
      </x:c>
      <x:c r="AA196" s="22">
        <x:v>0</x:v>
      </x:c>
      <x:c r="AB196" s="22">
        <x:v>0</x:v>
      </x:c>
      <x:c r="AC196" s="16">
        <x:v>0</x:v>
      </x:c>
      <x:c r="AD196" s="10">
        <x:v>0.0046</x:v>
      </x:c>
      <x:c r="AE196" s="10">
        <x:v>0.0046</x:v>
      </x:c>
      <x:c r="AF196" s="2" t="s">
        <x:v>35</x:v>
      </x:c>
    </x:row>
    <x:row r="197">
      <x:c r="A197" s="4" t="s">
        <x:v>608</x:v>
      </x:c>
      <x:c r="B197" s="4" t="s">
        <x:v>609</x:v>
      </x:c>
      <x:c r="C197" s="4" t="s">
        <x:v>610</x:v>
      </x:c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22">
        <x:v>0</x:v>
      </x:c>
      <x:c r="R197" s="22">
        <x:v>0</x:v>
      </x:c>
      <x:c r="S197" s="22">
        <x:v>0</x:v>
      </x:c>
      <x:c r="T197" s="22">
        <x:v>0</x:v>
      </x:c>
      <x:c r="U197" s="22">
        <x:v>0</x:v>
      </x:c>
      <x:c r="V197" s="22">
        <x:v>0</x:v>
      </x:c>
      <x:c r="W197" s="22">
        <x:v>0</x:v>
      </x:c>
      <x:c r="X197" s="22">
        <x:v>0</x:v>
      </x:c>
      <x:c r="Y197" s="22">
        <x:v>0</x:v>
      </x:c>
      <x:c r="Z197" s="22">
        <x:v>0</x:v>
      </x:c>
      <x:c r="AA197" s="22">
        <x:v>0</x:v>
      </x:c>
      <x:c r="AB197" s="22">
        <x:v>0</x:v>
      </x:c>
      <x:c r="AC197" s="16">
        <x:v>0</x:v>
      </x:c>
      <x:c r="AF197" s="2" t="s">
        <x:v>51</x:v>
      </x:c>
    </x:row>
    <x:row r="198">
      <x:c r="A198" s="4" t="s">
        <x:v>611</x:v>
      </x:c>
      <x:c r="B198" s="4" t="s">
        <x:v>612</x:v>
      </x:c>
      <x:c r="C198" s="4" t="s">
        <x:v>613</x:v>
      </x:c>
      <x:c r="D198" s="6"/>
      <x:c r="E198" s="6"/>
      <x:c r="F198" s="6"/>
      <x:c r="G198" s="8">
        <x:v>4</x:v>
      </x:c>
      <x:c r="H198" s="6"/>
      <x:c r="I198" s="6"/>
      <x:c r="J198" s="8">
        <x:v>5</x:v>
      </x:c>
      <x:c r="K198" s="6"/>
      <x:c r="L198" s="6"/>
      <x:c r="M198" s="8">
        <x:v>2</x:v>
      </x:c>
      <x:c r="N198" s="6"/>
      <x:c r="O198" s="6"/>
      <x:c r="P198" s="8">
        <x:v>8</x:v>
      </x:c>
      <x:c r="Q198" s="19">
        <x:v>0</x:v>
      </x:c>
      <x:c r="R198" s="10">
        <x:v>0</x:v>
      </x:c>
      <x:c r="S198" s="10">
        <x:v>0</x:v>
      </x:c>
      <x:c r="T198" s="10">
        <x:v>0.129</x:v>
      </x:c>
      <x:c r="U198" s="10">
        <x:v>0</x:v>
      </x:c>
      <x:c r="V198" s="10">
        <x:v>0</x:v>
      </x:c>
      <x:c r="W198" s="10">
        <x:v>0.2016</x:v>
      </x:c>
      <x:c r="X198" s="10">
        <x:v>0</x:v>
      </x:c>
      <x:c r="Y198" s="10">
        <x:v>0</x:v>
      </x:c>
      <x:c r="Z198" s="10">
        <x:v>0.0741</x:v>
      </x:c>
      <x:c r="AA198" s="10">
        <x:v>0</x:v>
      </x:c>
      <x:c r="AB198" s="10">
        <x:v>0</x:v>
      </x:c>
      <x:c r="AC198" s="13">
        <x:v>0.2581</x:v>
      </x:c>
      <x:c r="AD198" s="10">
        <x:v>0.0368</x:v>
      </x:c>
      <x:c r="AE198" s="10">
        <x:v>0.0368</x:v>
      </x:c>
      <x:c r="AF198" s="2" t="s">
        <x:v>35</x:v>
      </x:c>
    </x:row>
    <x:row r="199">
      <x:c r="A199" s="4" t="s">
        <x:v>614</x:v>
      </x:c>
      <x:c r="B199" s="4" t="s">
        <x:v>615</x:v>
      </x:c>
      <x:c r="C199" s="4" t="s">
        <x:v>616</x:v>
      </x:c>
      <x:c r="D199" s="8">
        <x:v>7</x:v>
      </x:c>
      <x:c r="E199" s="8">
        <x:v>2</x:v>
      </x:c>
      <x:c r="F199" s="8">
        <x:v>9</x:v>
      </x:c>
      <x:c r="G199" s="8">
        <x:v>1</x:v>
      </x:c>
      <x:c r="H199" s="8">
        <x:v>3</x:v>
      </x:c>
      <x:c r="I199" s="8">
        <x:v>13</x:v>
      </x:c>
      <x:c r="J199" s="8">
        <x:v>10</x:v>
      </x:c>
      <x:c r="K199" s="8">
        <x:v>3</x:v>
      </x:c>
      <x:c r="L199" s="8">
        <x:v>7</x:v>
      </x:c>
      <x:c r="M199" s="8">
        <x:v>15</x:v>
      </x:c>
      <x:c r="N199" s="8">
        <x:v>10</x:v>
      </x:c>
      <x:c r="O199" s="8">
        <x:v>18</x:v>
      </x:c>
      <x:c r="P199" s="8">
        <x:v>8</x:v>
      </x:c>
      <x:c r="Q199" s="10">
        <x:v>0.2258</x:v>
      </x:c>
      <x:c r="R199" s="10">
        <x:v>0.0645</x:v>
      </x:c>
      <x:c r="S199" s="10">
        <x:v>0.2609</x:v>
      </x:c>
      <x:c r="T199" s="10">
        <x:v>0.0323</x:v>
      </x:c>
      <x:c r="U199" s="10">
        <x:v>0.1</x:v>
      </x:c>
      <x:c r="V199" s="10">
        <x:v>0.4194</x:v>
      </x:c>
      <x:c r="W199" s="10">
        <x:v>0.4032</x:v>
      </x:c>
      <x:c r="X199" s="10">
        <x:v>0.1261</x:v>
      </x:c>
      <x:c r="Y199" s="10">
        <x:v>0.2053</x:v>
      </x:c>
      <x:c r="Z199" s="10">
        <x:v>0.5556</x:v>
      </x:c>
      <x:c r="AA199" s="10">
        <x:v>0.3072</x:v>
      </x:c>
      <x:c r="AB199" s="10">
        <x:v>0.5217</x:v>
      </x:c>
      <x:c r="AC199" s="13">
        <x:v>0.2581</x:v>
      </x:c>
      <x:c r="AD199" s="10">
        <x:v>0.2685</x:v>
      </x:c>
      <x:c r="AE199" s="10">
        <x:v>0.2685</x:v>
      </x:c>
      <x:c r="AF199" s="2" t="s">
        <x:v>35</x:v>
      </x:c>
    </x:row>
    <x:row r="200">
      <x:c r="A200" s="4" t="s">
        <x:v>617</x:v>
      </x:c>
      <x:c r="B200" s="4" t="s">
        <x:v>618</x:v>
      </x:c>
      <x:c r="C200" s="4" t="s">
        <x:v>619</x:v>
      </x:c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22">
        <x:v>0</x:v>
      </x:c>
      <x:c r="R200" s="22">
        <x:v>0</x:v>
      </x:c>
      <x:c r="S200" s="22">
        <x:v>0</x:v>
      </x:c>
      <x:c r="T200" s="22">
        <x:v>0</x:v>
      </x:c>
      <x:c r="U200" s="22">
        <x:v>0</x:v>
      </x:c>
      <x:c r="V200" s="22">
        <x:v>0</x:v>
      </x:c>
      <x:c r="W200" s="22">
        <x:v>0</x:v>
      </x:c>
      <x:c r="X200" s="22">
        <x:v>0</x:v>
      </x:c>
      <x:c r="Y200" s="22">
        <x:v>0</x:v>
      </x:c>
      <x:c r="Z200" s="22">
        <x:v>0</x:v>
      </x:c>
      <x:c r="AA200" s="22">
        <x:v>0</x:v>
      </x:c>
      <x:c r="AB200" s="22">
        <x:v>0</x:v>
      </x:c>
      <x:c r="AC200" s="16">
        <x:v>0</x:v>
      </x:c>
      <x:c r="AF200" s="2" t="s">
        <x:v>51</x:v>
      </x:c>
    </x:row>
    <x:row r="201">
      <x:c r="A201" s="4" t="s">
        <x:v>620</x:v>
      </x:c>
      <x:c r="B201" s="4" t="s">
        <x:v>621</x:v>
      </x:c>
      <x:c r="C201" s="4" t="s">
        <x:v>622</x:v>
      </x:c>
      <x:c r="D201" s="8">
        <x:v>1</x:v>
      </x:c>
      <x:c r="E201" s="6"/>
      <x:c r="F201" s="8">
        <x:v>1</x:v>
      </x:c>
      <x:c r="G201" s="8">
        <x:v>1</x:v>
      </x:c>
      <x:c r="H201" s="6"/>
      <x:c r="I201" s="6"/>
      <x:c r="J201" s="6"/>
      <x:c r="K201" s="6"/>
      <x:c r="L201" s="6"/>
      <x:c r="M201" s="6"/>
      <x:c r="N201" s="6"/>
      <x:c r="O201" s="6"/>
      <x:c r="P201" s="6"/>
      <x:c r="Q201" s="10">
        <x:v>0.0323</x:v>
      </x:c>
      <x:c r="R201" s="10">
        <x:v>0</x:v>
      </x:c>
      <x:c r="S201" s="19">
        <x:v>0.0621</x:v>
      </x:c>
      <x:c r="T201" s="22">
        <x:v>0</x:v>
      </x:c>
      <x:c r="U201" s="22">
        <x:v>0</x:v>
      </x:c>
      <x:c r="V201" s="22">
        <x:v>0</x:v>
      </x:c>
      <x:c r="W201" s="22">
        <x:v>0</x:v>
      </x:c>
      <x:c r="X201" s="22">
        <x:v>0</x:v>
      </x:c>
      <x:c r="Y201" s="22">
        <x:v>0</x:v>
      </x:c>
      <x:c r="Z201" s="22">
        <x:v>0</x:v>
      </x:c>
      <x:c r="AA201" s="22">
        <x:v>0</x:v>
      </x:c>
      <x:c r="AB201" s="22">
        <x:v>0</x:v>
      </x:c>
      <x:c r="AC201" s="16">
        <x:v>0</x:v>
      </x:c>
      <x:c r="AD201" s="10">
        <x:v>0.0162</x:v>
      </x:c>
      <x:c r="AE201" s="10">
        <x:v>0.0162</x:v>
      </x:c>
      <x:c r="AF201" s="2" t="s">
        <x:v>35</x:v>
      </x:c>
    </x:row>
    <x:row r="202">
      <x:c r="A202" s="4" t="s">
        <x:v>623</x:v>
      </x:c>
      <x:c r="B202" s="4" t="s">
        <x:v>624</x:v>
      </x:c>
      <x:c r="C202" s="4" t="s">
        <x:v>625</x:v>
      </x:c>
      <x:c r="D202" s="8">
        <x:v>5</x:v>
      </x:c>
      <x:c r="E202" s="8">
        <x:v>11</x:v>
      </x:c>
      <x:c r="F202" s="8">
        <x:v>4</x:v>
      </x:c>
      <x:c r="G202" s="8">
        <x:v>2</x:v>
      </x:c>
      <x:c r="H202" s="8">
        <x:v>4</x:v>
      </x:c>
      <x:c r="I202" s="8">
        <x:v>18</x:v>
      </x:c>
      <x:c r="J202" s="8">
        <x:v>3</x:v>
      </x:c>
      <x:c r="K202" s="8">
        <x:v>14</x:v>
      </x:c>
      <x:c r="L202" s="8">
        <x:v>5</x:v>
      </x:c>
      <x:c r="M202" s="8">
        <x:v>2</x:v>
      </x:c>
      <x:c r="N202" s="8">
        <x:v>8</x:v>
      </x:c>
      <x:c r="O202" s="8">
        <x:v>7</x:v>
      </x:c>
      <x:c r="P202" s="8">
        <x:v>5</x:v>
      </x:c>
      <x:c r="Q202" s="19">
        <x:v>0.3846</x:v>
      </x:c>
      <x:c r="R202" s="10">
        <x:v>0.3548</x:v>
      </x:c>
      <x:c r="S202" s="10">
        <x:v>0.1159</x:v>
      </x:c>
      <x:c r="T202" s="10">
        <x:v>0.0645</x:v>
      </x:c>
      <x:c r="U202" s="10">
        <x:v>0.1333</x:v>
      </x:c>
      <x:c r="V202" s="10">
        <x:v>0.5806</x:v>
      </x:c>
      <x:c r="W202" s="10">
        <x:v>0.121</x:v>
      </x:c>
      <x:c r="X202" s="10">
        <x:v>0.5882</x:v>
      </x:c>
      <x:c r="Y202" s="10">
        <x:v>0.1466</x:v>
      </x:c>
      <x:c r="Z202" s="10">
        <x:v>0.0741</x:v>
      </x:c>
      <x:c r="AA202" s="10">
        <x:v>0.2458</x:v>
      </x:c>
      <x:c r="AB202" s="10">
        <x:v>0.2029</x:v>
      </x:c>
      <x:c r="AC202" s="13">
        <x:v>0.1613</x:v>
      </x:c>
      <x:c r="AD202" s="10">
        <x:v>0.2389</x:v>
      </x:c>
      <x:c r="AE202" s="10">
        <x:v>0.2389</x:v>
      </x:c>
      <x:c r="AF202" s="2" t="s">
        <x:v>35</x:v>
      </x:c>
    </x:row>
    <x:row r="203">
      <x:c r="A203" s="4" t="s">
        <x:v>626</x:v>
      </x:c>
      <x:c r="B203" s="4" t="s">
        <x:v>627</x:v>
      </x:c>
      <x:c r="C203" s="4" t="s">
        <x:v>628</x:v>
      </x:c>
      <x:c r="D203" s="8">
        <x:v>3</x:v>
      </x:c>
      <x:c r="E203" s="8">
        <x:v>12</x:v>
      </x:c>
      <x:c r="F203" s="8">
        <x:v>19</x:v>
      </x:c>
      <x:c r="G203" s="8">
        <x:v>21</x:v>
      </x:c>
      <x:c r="H203" s="8">
        <x:v>17</x:v>
      </x:c>
      <x:c r="I203" s="8">
        <x:v>20</x:v>
      </x:c>
      <x:c r="J203" s="8">
        <x:v>6</x:v>
      </x:c>
      <x:c r="K203" s="8">
        <x:v>5</x:v>
      </x:c>
      <x:c r="L203" s="8">
        <x:v>10</x:v>
      </x:c>
      <x:c r="M203" s="8">
        <x:v>11</x:v>
      </x:c>
      <x:c r="N203" s="8">
        <x:v>6</x:v>
      </x:c>
      <x:c r="O203" s="8">
        <x:v>12</x:v>
      </x:c>
      <x:c r="P203" s="8">
        <x:v>11</x:v>
      </x:c>
      <x:c r="Q203" s="10">
        <x:v>0.0968</x:v>
      </x:c>
      <x:c r="R203" s="10">
        <x:v>0.3871</x:v>
      </x:c>
      <x:c r="S203" s="10">
        <x:v>0.5507</x:v>
      </x:c>
      <x:c r="T203" s="10">
        <x:v>0.6774</x:v>
      </x:c>
      <x:c r="U203" s="10">
        <x:v>0.5667</x:v>
      </x:c>
      <x:c r="V203" s="10">
        <x:v>0.6452</x:v>
      </x:c>
      <x:c r="W203" s="10">
        <x:v>0.2419</x:v>
      </x:c>
      <x:c r="X203" s="10">
        <x:v>0.2101</x:v>
      </x:c>
      <x:c r="Y203" s="10">
        <x:v>0.2933</x:v>
      </x:c>
      <x:c r="Z203" s="10">
        <x:v>0.4074</x:v>
      </x:c>
      <x:c r="AA203" s="10">
        <x:v>0.1843</x:v>
      </x:c>
      <x:c r="AB203" s="10">
        <x:v>0.3478</x:v>
      </x:c>
      <x:c r="AC203" s="13">
        <x:v>0.3548</x:v>
      </x:c>
      <x:c r="AD203" s="10">
        <x:v>0.3841</x:v>
      </x:c>
      <x:c r="AE203" s="10">
        <x:v>0.3841</x:v>
      </x:c>
      <x:c r="AF203" s="2" t="s">
        <x:v>35</x:v>
      </x:c>
    </x:row>
    <x:row r="204">
      <x:c r="A204" s="4" t="s">
        <x:v>629</x:v>
      </x:c>
      <x:c r="B204" s="4" t="s">
        <x:v>630</x:v>
      </x:c>
      <x:c r="C204" s="4" t="s">
        <x:v>631</x:v>
      </x:c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22">
        <x:v>0</x:v>
      </x:c>
      <x:c r="R204" s="22">
        <x:v>0</x:v>
      </x:c>
      <x:c r="S204" s="22">
        <x:v>0</x:v>
      </x:c>
      <x:c r="T204" s="22">
        <x:v>0</x:v>
      </x:c>
      <x:c r="U204" s="22">
        <x:v>0</x:v>
      </x:c>
      <x:c r="V204" s="22">
        <x:v>0</x:v>
      </x:c>
      <x:c r="W204" s="22">
        <x:v>0</x:v>
      </x:c>
      <x:c r="X204" s="22">
        <x:v>0</x:v>
      </x:c>
      <x:c r="Y204" s="22">
        <x:v>0</x:v>
      </x:c>
      <x:c r="Z204" s="22">
        <x:v>0</x:v>
      </x:c>
      <x:c r="AA204" s="22">
        <x:v>0</x:v>
      </x:c>
      <x:c r="AB204" s="22">
        <x:v>0</x:v>
      </x:c>
      <x:c r="AC204" s="16">
        <x:v>0</x:v>
      </x:c>
      <x:c r="AF204" s="2" t="s">
        <x:v>51</x:v>
      </x:c>
    </x:row>
    <x:row r="205">
      <x:c r="A205" s="4" t="s">
        <x:v>632</x:v>
      </x:c>
      <x:c r="B205" s="4" t="s">
        <x:v>633</x:v>
      </x:c>
      <x:c r="C205" s="4" t="s">
        <x:v>634</x:v>
      </x:c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22">
        <x:v>0</x:v>
      </x:c>
      <x:c r="R205" s="22">
        <x:v>0</x:v>
      </x:c>
      <x:c r="S205" s="22">
        <x:v>0</x:v>
      </x:c>
      <x:c r="T205" s="22">
        <x:v>0</x:v>
      </x:c>
      <x:c r="U205" s="22">
        <x:v>0</x:v>
      </x:c>
      <x:c r="V205" s="22">
        <x:v>0</x:v>
      </x:c>
      <x:c r="W205" s="22">
        <x:v>0</x:v>
      </x:c>
      <x:c r="X205" s="22">
        <x:v>0</x:v>
      </x:c>
      <x:c r="Y205" s="22">
        <x:v>0</x:v>
      </x:c>
      <x:c r="Z205" s="22">
        <x:v>0</x:v>
      </x:c>
      <x:c r="AA205" s="22">
        <x:v>0</x:v>
      </x:c>
      <x:c r="AB205" s="22">
        <x:v>0</x:v>
      </x:c>
      <x:c r="AC205" s="16">
        <x:v>0</x:v>
      </x:c>
      <x:c r="AF205" s="2" t="s">
        <x:v>51</x:v>
      </x:c>
    </x:row>
    <x:row r="206">
      <x:c r="A206" s="4" t="s">
        <x:v>635</x:v>
      </x:c>
      <x:c r="B206" s="4" t="s">
        <x:v>636</x:v>
      </x:c>
      <x:c r="C206" s="4" t="s">
        <x:v>637</x:v>
      </x:c>
      <x:c r="D206" s="6"/>
      <x:c r="E206" s="6"/>
      <x:c r="F206" s="6"/>
      <x:c r="G206" s="8">
        <x:v>2</x:v>
      </x:c>
      <x:c r="H206" s="6"/>
      <x:c r="I206" s="6"/>
      <x:c r="J206" s="6"/>
      <x:c r="K206" s="6"/>
      <x:c r="L206" s="6"/>
      <x:c r="M206" s="6"/>
      <x:c r="N206" s="6"/>
      <x:c r="O206" s="6"/>
      <x:c r="P206" s="6"/>
      <x:c r="Q206" s="22">
        <x:v>0</x:v>
      </x:c>
      <x:c r="R206" s="22">
        <x:v>0</x:v>
      </x:c>
      <x:c r="S206" s="22">
        <x:v>0</x:v>
      </x:c>
      <x:c r="T206" s="22">
        <x:v>0</x:v>
      </x:c>
      <x:c r="U206" s="22">
        <x:v>0</x:v>
      </x:c>
      <x:c r="V206" s="22">
        <x:v>0</x:v>
      </x:c>
      <x:c r="W206" s="22">
        <x:v>0</x:v>
      </x:c>
      <x:c r="X206" s="22">
        <x:v>0</x:v>
      </x:c>
      <x:c r="Y206" s="22">
        <x:v>0</x:v>
      </x:c>
      <x:c r="Z206" s="22">
        <x:v>0</x:v>
      </x:c>
      <x:c r="AA206" s="22">
        <x:v>0</x:v>
      </x:c>
      <x:c r="AB206" s="22">
        <x:v>0</x:v>
      </x:c>
      <x:c r="AC206" s="16">
        <x:v>0</x:v>
      </x:c>
      <x:c r="AF206" s="2" t="s">
        <x:v>35</x:v>
      </x:c>
    </x:row>
    <x:row r="207">
      <x:c r="A207" s="4" t="s">
        <x:v>638</x:v>
      </x:c>
      <x:c r="B207" s="4" t="s">
        <x:v>639</x:v>
      </x:c>
      <x:c r="C207" s="4" t="s">
        <x:v>640</x:v>
      </x:c>
      <x:c r="D207" s="6"/>
      <x:c r="E207" s="6"/>
      <x:c r="F207" s="6"/>
      <x:c r="G207" s="6"/>
      <x:c r="H207" s="6"/>
      <x:c r="I207" s="6"/>
      <x:c r="J207" s="8">
        <x:v>2</x:v>
      </x:c>
      <x:c r="K207" s="6"/>
      <x:c r="L207" s="6"/>
      <x:c r="M207" s="6"/>
      <x:c r="N207" s="6"/>
      <x:c r="O207" s="6"/>
      <x:c r="P207" s="6"/>
      <x:c r="Q207" s="22">
        <x:v>0</x:v>
      </x:c>
      <x:c r="R207" s="22">
        <x:v>0</x:v>
      </x:c>
      <x:c r="S207" s="22">
        <x:v>0</x:v>
      </x:c>
      <x:c r="T207" s="19">
        <x:v>0</x:v>
      </x:c>
      <x:c r="U207" s="10">
        <x:v>0</x:v>
      </x:c>
      <x:c r="V207" s="10">
        <x:v>0</x:v>
      </x:c>
      <x:c r="W207" s="10">
        <x:v>0.0806</x:v>
      </x:c>
      <x:c r="X207" s="10">
        <x:v>0</x:v>
      </x:c>
      <x:c r="Y207" s="10">
        <x:v>0</x:v>
      </x:c>
      <x:c r="Z207" s="10">
        <x:v>0</x:v>
      </x:c>
      <x:c r="AA207" s="10">
        <x:v>0</x:v>
      </x:c>
      <x:c r="AB207" s="10">
        <x:v>0</x:v>
      </x:c>
      <x:c r="AC207" s="13">
        <x:v>0</x:v>
      </x:c>
      <x:c r="AD207" s="10">
        <x:v>0.0101</x:v>
      </x:c>
      <x:c r="AE207" s="10">
        <x:v>0.0101</x:v>
      </x:c>
      <x:c r="AF207" s="2" t="s">
        <x:v>35</x:v>
      </x:c>
    </x:row>
    <x:row r="208">
      <x:c r="A208" s="4" t="s">
        <x:v>641</x:v>
      </x:c>
      <x:c r="B208" s="4" t="s">
        <x:v>642</x:v>
      </x:c>
      <x:c r="C208" s="4" t="s">
        <x:v>643</x:v>
      </x:c>
      <x:c r="D208" s="6"/>
      <x:c r="E208" s="6"/>
      <x:c r="F208" s="6"/>
      <x:c r="G208" s="8">
        <x:v>2</x:v>
      </x:c>
      <x:c r="H208" s="6"/>
      <x:c r="I208" s="6"/>
      <x:c r="J208" s="6"/>
      <x:c r="K208" s="6"/>
      <x:c r="L208" s="6"/>
      <x:c r="M208" s="6"/>
      <x:c r="N208" s="6"/>
      <x:c r="O208" s="6"/>
      <x:c r="P208" s="6"/>
      <x:c r="Q208" s="22">
        <x:v>0</x:v>
      </x:c>
      <x:c r="R208" s="22">
        <x:v>0</x:v>
      </x:c>
      <x:c r="S208" s="22">
        <x:v>0</x:v>
      </x:c>
      <x:c r="T208" s="22">
        <x:v>0</x:v>
      </x:c>
      <x:c r="U208" s="22">
        <x:v>0</x:v>
      </x:c>
      <x:c r="V208" s="22">
        <x:v>0</x:v>
      </x:c>
      <x:c r="W208" s="22">
        <x:v>0</x:v>
      </x:c>
      <x:c r="X208" s="22">
        <x:v>0</x:v>
      </x:c>
      <x:c r="Y208" s="22">
        <x:v>0</x:v>
      </x:c>
      <x:c r="Z208" s="22">
        <x:v>0</x:v>
      </x:c>
      <x:c r="AA208" s="22">
        <x:v>0</x:v>
      </x:c>
      <x:c r="AB208" s="22">
        <x:v>0</x:v>
      </x:c>
      <x:c r="AC208" s="16">
        <x:v>0</x:v>
      </x:c>
      <x:c r="AF208" s="2" t="s">
        <x:v>35</x:v>
      </x:c>
    </x:row>
    <x:row r="209">
      <x:c r="A209" s="4" t="s">
        <x:v>644</x:v>
      </x:c>
      <x:c r="B209" s="4" t="s">
        <x:v>645</x:v>
      </x:c>
      <x:c r="C209" s="4" t="s">
        <x:v>646</x:v>
      </x:c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22">
        <x:v>0</x:v>
      </x:c>
      <x:c r="R209" s="22">
        <x:v>0</x:v>
      </x:c>
      <x:c r="S209" s="22">
        <x:v>0</x:v>
      </x:c>
      <x:c r="T209" s="22">
        <x:v>0</x:v>
      </x:c>
      <x:c r="U209" s="22">
        <x:v>0</x:v>
      </x:c>
      <x:c r="V209" s="22">
        <x:v>0</x:v>
      </x:c>
      <x:c r="W209" s="22">
        <x:v>0</x:v>
      </x:c>
      <x:c r="X209" s="22">
        <x:v>0</x:v>
      </x:c>
      <x:c r="Y209" s="22">
        <x:v>0</x:v>
      </x:c>
      <x:c r="Z209" s="22">
        <x:v>0</x:v>
      </x:c>
      <x:c r="AA209" s="22">
        <x:v>0</x:v>
      </x:c>
      <x:c r="AB209" s="22">
        <x:v>0</x:v>
      </x:c>
      <x:c r="AC209" s="16">
        <x:v>0</x:v>
      </x:c>
      <x:c r="AF209" s="2" t="s">
        <x:v>35</x:v>
      </x:c>
    </x:row>
    <x:row r="210">
      <x:c r="A210" s="4" t="s">
        <x:v>647</x:v>
      </x:c>
      <x:c r="B210" s="4" t="s">
        <x:v>648</x:v>
      </x:c>
      <x:c r="C210" s="4" t="s">
        <x:v>649</x:v>
      </x:c>
      <x:c r="D210" s="8">
        <x:v>1</x:v>
      </x:c>
      <x:c r="E210" s="8">
        <x:v>2</x:v>
      </x:c>
      <x:c r="F210" s="8">
        <x:v>1</x:v>
      </x:c>
      <x:c r="G210" s="6"/>
      <x:c r="H210" s="8">
        <x:v>1</x:v>
      </x:c>
      <x:c r="I210" s="6"/>
      <x:c r="J210" s="6"/>
      <x:c r="K210" s="8">
        <x:v>2</x:v>
      </x:c>
      <x:c r="L210" s="6"/>
      <x:c r="M210" s="6"/>
      <x:c r="N210" s="6"/>
      <x:c r="O210" s="6"/>
      <x:c r="P210" s="6"/>
      <x:c r="Q210" s="10">
        <x:v>0.0323</x:v>
      </x:c>
      <x:c r="R210" s="10">
        <x:v>0.0645</x:v>
      </x:c>
      <x:c r="S210" s="10">
        <x:v>0.029</x:v>
      </x:c>
      <x:c r="T210" s="10">
        <x:v>0</x:v>
      </x:c>
      <x:c r="U210" s="10">
        <x:v>0.0333</x:v>
      </x:c>
      <x:c r="V210" s="10">
        <x:v>0</x:v>
      </x:c>
      <x:c r="W210" s="10">
        <x:v>0</x:v>
      </x:c>
      <x:c r="X210" s="10">
        <x:v>0.084</x:v>
      </x:c>
      <x:c r="Y210" s="10">
        <x:v>0</x:v>
      </x:c>
      <x:c r="Z210" s="10">
        <x:v>0</x:v>
      </x:c>
      <x:c r="AA210" s="10">
        <x:v>0</x:v>
      </x:c>
      <x:c r="AB210" s="10">
        <x:v>0</x:v>
      </x:c>
      <x:c r="AC210" s="13">
        <x:v>0</x:v>
      </x:c>
      <x:c r="AD210" s="10">
        <x:v>0.0203</x:v>
      </x:c>
      <x:c r="AE210" s="10">
        <x:v>0.0203</x:v>
      </x:c>
      <x:c r="AF210" s="2" t="s">
        <x:v>35</x:v>
      </x:c>
    </x:row>
    <x:row r="211">
      <x:c r="A211" s="4" t="s">
        <x:v>650</x:v>
      </x:c>
      <x:c r="B211" s="4" t="s">
        <x:v>651</x:v>
      </x:c>
      <x:c r="C211" s="4" t="s">
        <x:v>652</x:v>
      </x:c>
      <x:c r="D211" s="8">
        <x:v>76</x:v>
      </x:c>
      <x:c r="E211" s="8">
        <x:v>43</x:v>
      </x:c>
      <x:c r="F211" s="8">
        <x:v>92</x:v>
      </x:c>
      <x:c r="G211" s="8">
        <x:v>71</x:v>
      </x:c>
      <x:c r="H211" s="8">
        <x:v>60</x:v>
      </x:c>
      <x:c r="I211" s="8">
        <x:v>49</x:v>
      </x:c>
      <x:c r="J211" s="8">
        <x:v>66</x:v>
      </x:c>
      <x:c r="K211" s="8">
        <x:v>45</x:v>
      </x:c>
      <x:c r="L211" s="8">
        <x:v>77</x:v>
      </x:c>
      <x:c r="M211" s="8">
        <x:v>76</x:v>
      </x:c>
      <x:c r="N211" s="8">
        <x:v>54</x:v>
      </x:c>
      <x:c r="O211" s="8">
        <x:v>54</x:v>
      </x:c>
      <x:c r="P211" s="8">
        <x:v>35</x:v>
      </x:c>
      <x:c r="Q211" s="10">
        <x:v>2.4516</x:v>
      </x:c>
      <x:c r="R211" s="10">
        <x:v>1.3871</x:v>
      </x:c>
      <x:c r="S211" s="10">
        <x:v>2.6667</x:v>
      </x:c>
      <x:c r="T211" s="10">
        <x:v>2.2903</x:v>
      </x:c>
      <x:c r="U211" s="10">
        <x:v>2</x:v>
      </x:c>
      <x:c r="V211" s="10">
        <x:v>1.5806</x:v>
      </x:c>
      <x:c r="W211" s="10">
        <x:v>2.6613</x:v>
      </x:c>
      <x:c r="X211" s="10">
        <x:v>1.8908</x:v>
      </x:c>
      <x:c r="Y211" s="10">
        <x:v>2.2581</x:v>
      </x:c>
      <x:c r="Z211" s="10">
        <x:v>2.8148</x:v>
      </x:c>
      <x:c r="AA211" s="10">
        <x:v>1.659</x:v>
      </x:c>
      <x:c r="AB211" s="10">
        <x:v>1.5652</x:v>
      </x:c>
      <x:c r="AC211" s="13">
        <x:v>1.129</x:v>
      </x:c>
      <x:c r="AD211" s="10">
        <x:v>2.1021</x:v>
      </x:c>
      <x:c r="AE211" s="10">
        <x:v>2.1021</x:v>
      </x:c>
      <x:c r="AF211" s="2" t="s">
        <x:v>35</x:v>
      </x:c>
    </x:row>
    <x:row r="212">
      <x:c r="A212" s="4" t="s">
        <x:v>653</x:v>
      </x:c>
      <x:c r="B212" s="4" t="s">
        <x:v>654</x:v>
      </x:c>
      <x:c r="C212" s="4" t="s">
        <x:v>655</x:v>
      </x:c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8">
        <x:v>2</x:v>
      </x:c>
      <x:c r="O212" s="6"/>
      <x:c r="P212" s="6"/>
      <x:c r="Q212" s="22">
        <x:v>0</x:v>
      </x:c>
      <x:c r="R212" s="22">
        <x:v>0</x:v>
      </x:c>
      <x:c r="S212" s="22">
        <x:v>0</x:v>
      </x:c>
      <x:c r="T212" s="19">
        <x:v>0</x:v>
      </x:c>
      <x:c r="U212" s="10">
        <x:v>0</x:v>
      </x:c>
      <x:c r="V212" s="10">
        <x:v>0</x:v>
      </x:c>
      <x:c r="W212" s="10">
        <x:v>0</x:v>
      </x:c>
      <x:c r="X212" s="10">
        <x:v>0</x:v>
      </x:c>
      <x:c r="Y212" s="10">
        <x:v>0</x:v>
      </x:c>
      <x:c r="Z212" s="10">
        <x:v>0</x:v>
      </x:c>
      <x:c r="AA212" s="10">
        <x:v>0.0614</x:v>
      </x:c>
      <x:c r="AB212" s="10">
        <x:v>0</x:v>
      </x:c>
      <x:c r="AC212" s="13">
        <x:v>0</x:v>
      </x:c>
      <x:c r="AD212" s="10">
        <x:v>0.0077</x:v>
      </x:c>
      <x:c r="AE212" s="10">
        <x:v>0.0077</x:v>
      </x:c>
      <x:c r="AF212" s="2" t="s">
        <x:v>35</x:v>
      </x:c>
    </x:row>
    <x:row r="213">
      <x:c r="A213" s="4" t="s">
        <x:v>656</x:v>
      </x:c>
      <x:c r="B213" s="4" t="s">
        <x:v>657</x:v>
      </x:c>
      <x:c r="C213" s="4" t="s">
        <x:v>658</x:v>
      </x:c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8">
        <x:v>1</x:v>
      </x:c>
      <x:c r="O213" s="6"/>
      <x:c r="P213" s="6"/>
      <x:c r="Q213" s="10">
        <x:v>0</x:v>
      </x:c>
      <x:c r="R213" s="10">
        <x:v>0</x:v>
      </x:c>
      <x:c r="S213" s="10">
        <x:v>0</x:v>
      </x:c>
      <x:c r="T213" s="10">
        <x:v>0</x:v>
      </x:c>
      <x:c r="U213" s="10">
        <x:v>0</x:v>
      </x:c>
      <x:c r="V213" s="10">
        <x:v>0</x:v>
      </x:c>
      <x:c r="W213" s="10">
        <x:v>0</x:v>
      </x:c>
      <x:c r="X213" s="10">
        <x:v>0</x:v>
      </x:c>
      <x:c r="Y213" s="10">
        <x:v>0</x:v>
      </x:c>
      <x:c r="Z213" s="10">
        <x:v>0</x:v>
      </x:c>
      <x:c r="AA213" s="10">
        <x:v>0.0307</x:v>
      </x:c>
      <x:c r="AB213" s="10">
        <x:v>0</x:v>
      </x:c>
      <x:c r="AC213" s="13">
        <x:v>0</x:v>
      </x:c>
      <x:c r="AD213" s="10">
        <x:v>0.0026</x:v>
      </x:c>
      <x:c r="AE213" s="10">
        <x:v>0.0026</x:v>
      </x:c>
      <x:c r="AF213" s="2" t="s">
        <x:v>35</x:v>
      </x:c>
    </x:row>
    <x:row r="214">
      <x:c r="A214" s="4" t="s">
        <x:v>659</x:v>
      </x:c>
      <x:c r="B214" s="4" t="s">
        <x:v>660</x:v>
      </x:c>
      <x:c r="C214" s="4" t="s">
        <x:v>661</x:v>
      </x:c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22">
        <x:v>0</x:v>
      </x:c>
      <x:c r="R214" s="22">
        <x:v>0</x:v>
      </x:c>
      <x:c r="S214" s="22">
        <x:v>0</x:v>
      </x:c>
      <x:c r="T214" s="22">
        <x:v>0</x:v>
      </x:c>
      <x:c r="U214" s="22">
        <x:v>0</x:v>
      </x:c>
      <x:c r="V214" s="22">
        <x:v>0</x:v>
      </x:c>
      <x:c r="W214" s="22">
        <x:v>0</x:v>
      </x:c>
      <x:c r="X214" s="22">
        <x:v>0</x:v>
      </x:c>
      <x:c r="Y214" s="22">
        <x:v>0</x:v>
      </x:c>
      <x:c r="Z214" s="22">
        <x:v>0</x:v>
      </x:c>
      <x:c r="AA214" s="22">
        <x:v>0</x:v>
      </x:c>
      <x:c r="AB214" s="22">
        <x:v>0</x:v>
      </x:c>
      <x:c r="AC214" s="16">
        <x:v>0</x:v>
      </x:c>
      <x:c r="AF214" s="2" t="s">
        <x:v>51</x:v>
      </x:c>
    </x:row>
    <x:row r="215">
      <x:c r="A215" s="4" t="s">
        <x:v>662</x:v>
      </x:c>
      <x:c r="B215" s="4" t="s">
        <x:v>663</x:v>
      </x:c>
      <x:c r="C215" s="4" t="s">
        <x:v>664</x:v>
      </x:c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22">
        <x:v>0</x:v>
      </x:c>
      <x:c r="R215" s="22">
        <x:v>0</x:v>
      </x:c>
      <x:c r="S215" s="22">
        <x:v>0</x:v>
      </x:c>
      <x:c r="T215" s="22">
        <x:v>0</x:v>
      </x:c>
      <x:c r="U215" s="22">
        <x:v>0</x:v>
      </x:c>
      <x:c r="V215" s="22">
        <x:v>0</x:v>
      </x:c>
      <x:c r="W215" s="22">
        <x:v>0</x:v>
      </x:c>
      <x:c r="X215" s="22">
        <x:v>0</x:v>
      </x:c>
      <x:c r="Y215" s="22">
        <x:v>0</x:v>
      </x:c>
      <x:c r="Z215" s="22">
        <x:v>0</x:v>
      </x:c>
      <x:c r="AA215" s="22">
        <x:v>0</x:v>
      </x:c>
      <x:c r="AB215" s="22">
        <x:v>0</x:v>
      </x:c>
      <x:c r="AC215" s="16">
        <x:v>0</x:v>
      </x:c>
      <x:c r="AF215" s="2" t="s">
        <x:v>51</x:v>
      </x:c>
    </x:row>
    <x:row r="216">
      <x:c r="A216" s="4" t="s">
        <x:v>665</x:v>
      </x:c>
      <x:c r="B216" s="4" t="s">
        <x:v>666</x:v>
      </x:c>
      <x:c r="C216" s="4" t="s">
        <x:v>667</x:v>
      </x:c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22">
        <x:v>0</x:v>
      </x:c>
      <x:c r="R216" s="22">
        <x:v>0</x:v>
      </x:c>
      <x:c r="S216" s="22">
        <x:v>0</x:v>
      </x:c>
      <x:c r="T216" s="22">
        <x:v>0</x:v>
      </x:c>
      <x:c r="U216" s="22">
        <x:v>0</x:v>
      </x:c>
      <x:c r="V216" s="22">
        <x:v>0</x:v>
      </x:c>
      <x:c r="W216" s="22">
        <x:v>0</x:v>
      </x:c>
      <x:c r="X216" s="22">
        <x:v>0</x:v>
      </x:c>
      <x:c r="Y216" s="22">
        <x:v>0</x:v>
      </x:c>
      <x:c r="Z216" s="22">
        <x:v>0</x:v>
      </x:c>
      <x:c r="AA216" s="22">
        <x:v>0</x:v>
      </x:c>
      <x:c r="AB216" s="22">
        <x:v>0</x:v>
      </x:c>
      <x:c r="AC216" s="16">
        <x:v>0</x:v>
      </x:c>
      <x:c r="AF216" s="2" t="s">
        <x:v>51</x:v>
      </x:c>
    </x:row>
    <x:row r="217">
      <x:c r="A217" s="4" t="s">
        <x:v>668</x:v>
      </x:c>
      <x:c r="B217" s="4" t="s">
        <x:v>669</x:v>
      </x:c>
      <x:c r="C217" s="4" t="s">
        <x:v>670</x:v>
      </x:c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22">
        <x:v>0</x:v>
      </x:c>
      <x:c r="R217" s="22">
        <x:v>0</x:v>
      </x:c>
      <x:c r="S217" s="22">
        <x:v>0</x:v>
      </x:c>
      <x:c r="T217" s="22">
        <x:v>0</x:v>
      </x:c>
      <x:c r="U217" s="22">
        <x:v>0</x:v>
      </x:c>
      <x:c r="V217" s="22">
        <x:v>0</x:v>
      </x:c>
      <x:c r="W217" s="22">
        <x:v>0</x:v>
      </x:c>
      <x:c r="X217" s="22">
        <x:v>0</x:v>
      </x:c>
      <x:c r="Y217" s="22">
        <x:v>0</x:v>
      </x:c>
      <x:c r="Z217" s="22">
        <x:v>0</x:v>
      </x:c>
      <x:c r="AA217" s="22">
        <x:v>0</x:v>
      </x:c>
      <x:c r="AB217" s="22">
        <x:v>0</x:v>
      </x:c>
      <x:c r="AC217" s="16">
        <x:v>0</x:v>
      </x:c>
      <x:c r="AF217" s="2" t="s">
        <x:v>51</x:v>
      </x:c>
    </x:row>
    <x:row r="218">
      <x:c r="A218" s="4" t="s">
        <x:v>671</x:v>
      </x:c>
      <x:c r="B218" s="4" t="s">
        <x:v>672</x:v>
      </x:c>
      <x:c r="C218" s="4" t="s">
        <x:v>673</x:v>
      </x:c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22">
        <x:v>0</x:v>
      </x:c>
      <x:c r="R218" s="22">
        <x:v>0</x:v>
      </x:c>
      <x:c r="S218" s="22">
        <x:v>0</x:v>
      </x:c>
      <x:c r="T218" s="22">
        <x:v>0</x:v>
      </x:c>
      <x:c r="U218" s="22">
        <x:v>0</x:v>
      </x:c>
      <x:c r="V218" s="22">
        <x:v>0</x:v>
      </x:c>
      <x:c r="W218" s="22">
        <x:v>0</x:v>
      </x:c>
      <x:c r="X218" s="22">
        <x:v>0</x:v>
      </x:c>
      <x:c r="Y218" s="22">
        <x:v>0</x:v>
      </x:c>
      <x:c r="Z218" s="22">
        <x:v>0</x:v>
      </x:c>
      <x:c r="AA218" s="22">
        <x:v>0</x:v>
      </x:c>
      <x:c r="AB218" s="22">
        <x:v>0</x:v>
      </x:c>
      <x:c r="AC218" s="16">
        <x:v>0</x:v>
      </x:c>
      <x:c r="AF218" s="2" t="s">
        <x:v>35</x:v>
      </x:c>
    </x:row>
    <x:row r="219">
      <x:c r="A219" s="4" t="s">
        <x:v>674</x:v>
      </x:c>
      <x:c r="B219" s="4" t="s">
        <x:v>675</x:v>
      </x:c>
      <x:c r="C219" s="4" t="s">
        <x:v>676</x:v>
      </x:c>
      <x:c r="D219" s="8">
        <x:v>39</x:v>
      </x:c>
      <x:c r="E219" s="8">
        <x:v>9</x:v>
      </x:c>
      <x:c r="F219" s="8">
        <x:v>3</x:v>
      </x:c>
      <x:c r="G219" s="8">
        <x:v>15</x:v>
      </x:c>
      <x:c r="H219" s="8">
        <x:v>49</x:v>
      </x:c>
      <x:c r="I219" s="8">
        <x:v>7</x:v>
      </x:c>
      <x:c r="J219" s="8">
        <x:v>12</x:v>
      </x:c>
      <x:c r="K219" s="8">
        <x:v>9</x:v>
      </x:c>
      <x:c r="L219" s="8">
        <x:v>7</x:v>
      </x:c>
      <x:c r="M219" s="8">
        <x:v>47</x:v>
      </x:c>
      <x:c r="N219" s="8">
        <x:v>9</x:v>
      </x:c>
      <x:c r="O219" s="8">
        <x:v>18</x:v>
      </x:c>
      <x:c r="P219" s="8">
        <x:v>13</x:v>
      </x:c>
      <x:c r="Q219" s="10">
        <x:v>1.2581</x:v>
      </x:c>
      <x:c r="R219" s="10">
        <x:v>0.2903</x:v>
      </x:c>
      <x:c r="S219" s="10">
        <x:v>0.087</x:v>
      </x:c>
      <x:c r="T219" s="10">
        <x:v>0.4839</x:v>
      </x:c>
      <x:c r="U219" s="10">
        <x:v>1.6333</x:v>
      </x:c>
      <x:c r="V219" s="10">
        <x:v>0.2258</x:v>
      </x:c>
      <x:c r="W219" s="10">
        <x:v>0.4839</x:v>
      </x:c>
      <x:c r="X219" s="10">
        <x:v>0.3782</x:v>
      </x:c>
      <x:c r="Y219" s="10">
        <x:v>0.2053</x:v>
      </x:c>
      <x:c r="Z219" s="10">
        <x:v>1.7407</x:v>
      </x:c>
      <x:c r="AA219" s="10">
        <x:v>0.2765</x:v>
      </x:c>
      <x:c r="AB219" s="10">
        <x:v>0.5217</x:v>
      </x:c>
      <x:c r="AC219" s="13">
        <x:v>0.4194</x:v>
      </x:c>
      <x:c r="AD219" s="10">
        <x:v>0.6321</x:v>
      </x:c>
      <x:c r="AE219" s="10">
        <x:v>0.6321</x:v>
      </x:c>
      <x:c r="AF219" s="2" t="s">
        <x:v>35</x:v>
      </x:c>
    </x:row>
    <x:row r="220">
      <x:c r="A220" s="4" t="s">
        <x:v>677</x:v>
      </x:c>
      <x:c r="B220" s="4" t="s">
        <x:v>678</x:v>
      </x:c>
      <x:c r="C220" s="4" t="s">
        <x:v>679</x:v>
      </x:c>
      <x:c r="D220" s="8">
        <x:v>1</x:v>
      </x:c>
      <x:c r="E220" s="8">
        <x:v>2</x:v>
      </x:c>
      <x:c r="F220" s="8">
        <x:v>2</x:v>
      </x:c>
      <x:c r="G220" s="8">
        <x:v>2</x:v>
      </x:c>
      <x:c r="H220" s="8">
        <x:v>3</x:v>
      </x:c>
      <x:c r="I220" s="6"/>
      <x:c r="J220" s="8">
        <x:v>1</x:v>
      </x:c>
      <x:c r="K220" s="8">
        <x:v>3</x:v>
      </x:c>
      <x:c r="L220" s="8">
        <x:v>4</x:v>
      </x:c>
      <x:c r="M220" s="6"/>
      <x:c r="N220" s="8">
        <x:v>4</x:v>
      </x:c>
      <x:c r="O220" s="8">
        <x:v>3</x:v>
      </x:c>
      <x:c r="P220" s="6"/>
      <x:c r="Q220" s="10">
        <x:v>0.0323</x:v>
      </x:c>
      <x:c r="R220" s="10">
        <x:v>0.0645</x:v>
      </x:c>
      <x:c r="S220" s="10">
        <x:v>0.058</x:v>
      </x:c>
      <x:c r="T220" s="10">
        <x:v>0.0645</x:v>
      </x:c>
      <x:c r="U220" s="10">
        <x:v>0.1</x:v>
      </x:c>
      <x:c r="V220" s="10">
        <x:v>0</x:v>
      </x:c>
      <x:c r="W220" s="10">
        <x:v>0.0403</x:v>
      </x:c>
      <x:c r="X220" s="10">
        <x:v>0.1261</x:v>
      </x:c>
      <x:c r="Y220" s="10">
        <x:v>0.1173</x:v>
      </x:c>
      <x:c r="Z220" s="10">
        <x:v>0</x:v>
      </x:c>
      <x:c r="AA220" s="10">
        <x:v>0.1229</x:v>
      </x:c>
      <x:c r="AB220" s="10">
        <x:v>0.087</x:v>
      </x:c>
      <x:c r="AC220" s="13">
        <x:v>0</x:v>
      </x:c>
      <x:c r="AD220" s="10">
        <x:v>0.0677</x:v>
      </x:c>
      <x:c r="AE220" s="10">
        <x:v>0.0677</x:v>
      </x:c>
      <x:c r="AF220" s="2" t="s">
        <x:v>35</x:v>
      </x:c>
    </x:row>
    <x:row r="221">
      <x:c r="A221" s="4" t="s">
        <x:v>680</x:v>
      </x:c>
      <x:c r="B221" s="4" t="s">
        <x:v>681</x:v>
      </x:c>
      <x:c r="C221" s="4" t="s">
        <x:v>682</x:v>
      </x:c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22">
        <x:v>0</x:v>
      </x:c>
      <x:c r="R221" s="22">
        <x:v>0</x:v>
      </x:c>
      <x:c r="S221" s="22">
        <x:v>0</x:v>
      </x:c>
      <x:c r="T221" s="22">
        <x:v>0</x:v>
      </x:c>
      <x:c r="U221" s="22">
        <x:v>0</x:v>
      </x:c>
      <x:c r="V221" s="22">
        <x:v>0</x:v>
      </x:c>
      <x:c r="W221" s="22">
        <x:v>0</x:v>
      </x:c>
      <x:c r="X221" s="22">
        <x:v>0</x:v>
      </x:c>
      <x:c r="Y221" s="22">
        <x:v>0</x:v>
      </x:c>
      <x:c r="Z221" s="22">
        <x:v>0</x:v>
      </x:c>
      <x:c r="AA221" s="22">
        <x:v>0</x:v>
      </x:c>
      <x:c r="AB221" s="22">
        <x:v>0</x:v>
      </x:c>
      <x:c r="AC221" s="16">
        <x:v>0</x:v>
      </x:c>
      <x:c r="AF221" s="2" t="s">
        <x:v>51</x:v>
      </x:c>
    </x:row>
    <x:row r="222">
      <x:c r="A222" s="4" t="s">
        <x:v>683</x:v>
      </x:c>
      <x:c r="B222" s="4" t="s">
        <x:v>684</x:v>
      </x:c>
      <x:c r="C222" s="4" t="s">
        <x:v>685</x:v>
      </x:c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22">
        <x:v>0</x:v>
      </x:c>
      <x:c r="R222" s="22">
        <x:v>0</x:v>
      </x:c>
      <x:c r="S222" s="22">
        <x:v>0</x:v>
      </x:c>
      <x:c r="T222" s="22">
        <x:v>0</x:v>
      </x:c>
      <x:c r="U222" s="22">
        <x:v>0</x:v>
      </x:c>
      <x:c r="V222" s="22">
        <x:v>0</x:v>
      </x:c>
      <x:c r="W222" s="22">
        <x:v>0</x:v>
      </x:c>
      <x:c r="X222" s="22">
        <x:v>0</x:v>
      </x:c>
      <x:c r="Y222" s="22">
        <x:v>0</x:v>
      </x:c>
      <x:c r="Z222" s="22">
        <x:v>0</x:v>
      </x:c>
      <x:c r="AA222" s="22">
        <x:v>0</x:v>
      </x:c>
      <x:c r="AB222" s="22">
        <x:v>0</x:v>
      </x:c>
      <x:c r="AC222" s="16">
        <x:v>0</x:v>
      </x:c>
      <x:c r="AF222" s="2" t="s">
        <x:v>51</x:v>
      </x:c>
    </x:row>
    <x:row r="223">
      <x:c r="A223" s="4" t="s">
        <x:v>686</x:v>
      </x:c>
      <x:c r="B223" s="4" t="s">
        <x:v>687</x:v>
      </x:c>
      <x:c r="C223" s="4" t="s">
        <x:v>688</x:v>
      </x:c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22">
        <x:v>0</x:v>
      </x:c>
      <x:c r="R223" s="22">
        <x:v>0</x:v>
      </x:c>
      <x:c r="S223" s="22">
        <x:v>0</x:v>
      </x:c>
      <x:c r="T223" s="22">
        <x:v>0</x:v>
      </x:c>
      <x:c r="U223" s="22">
        <x:v>0</x:v>
      </x:c>
      <x:c r="V223" s="22">
        <x:v>0</x:v>
      </x:c>
      <x:c r="W223" s="22">
        <x:v>0</x:v>
      </x:c>
      <x:c r="X223" s="22">
        <x:v>0</x:v>
      </x:c>
      <x:c r="Y223" s="22">
        <x:v>0</x:v>
      </x:c>
      <x:c r="Z223" s="22">
        <x:v>0</x:v>
      </x:c>
      <x:c r="AA223" s="22">
        <x:v>0</x:v>
      </x:c>
      <x:c r="AB223" s="22">
        <x:v>0</x:v>
      </x:c>
      <x:c r="AC223" s="16">
        <x:v>0</x:v>
      </x:c>
      <x:c r="AF223" s="2" t="s">
        <x:v>51</x:v>
      </x:c>
    </x:row>
    <x:row r="224">
      <x:c r="A224" s="4" t="s">
        <x:v>689</x:v>
      </x:c>
      <x:c r="B224" s="4" t="s">
        <x:v>690</x:v>
      </x:c>
      <x:c r="C224" s="4" t="s">
        <x:v>691</x:v>
      </x:c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22">
        <x:v>0</x:v>
      </x:c>
      <x:c r="R224" s="22">
        <x:v>0</x:v>
      </x:c>
      <x:c r="S224" s="22">
        <x:v>0</x:v>
      </x:c>
      <x:c r="T224" s="22">
        <x:v>0</x:v>
      </x:c>
      <x:c r="U224" s="22">
        <x:v>0</x:v>
      </x:c>
      <x:c r="V224" s="22">
        <x:v>0</x:v>
      </x:c>
      <x:c r="W224" s="22">
        <x:v>0</x:v>
      </x:c>
      <x:c r="X224" s="22">
        <x:v>0</x:v>
      </x:c>
      <x:c r="Y224" s="22">
        <x:v>0</x:v>
      </x:c>
      <x:c r="Z224" s="22">
        <x:v>0</x:v>
      </x:c>
      <x:c r="AA224" s="22">
        <x:v>0</x:v>
      </x:c>
      <x:c r="AB224" s="22">
        <x:v>0</x:v>
      </x:c>
      <x:c r="AC224" s="16">
        <x:v>0</x:v>
      </x:c>
      <x:c r="AF224" s="2" t="s">
        <x:v>51</x:v>
      </x:c>
    </x:row>
    <x:row r="225">
      <x:c r="A225" s="4" t="s">
        <x:v>692</x:v>
      </x:c>
      <x:c r="B225" s="4" t="s">
        <x:v>693</x:v>
      </x:c>
      <x:c r="C225" s="4" t="s">
        <x:v>694</x:v>
      </x:c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22">
        <x:v>0</x:v>
      </x:c>
      <x:c r="R225" s="22">
        <x:v>0</x:v>
      </x:c>
      <x:c r="S225" s="22">
        <x:v>0</x:v>
      </x:c>
      <x:c r="T225" s="22">
        <x:v>0</x:v>
      </x:c>
      <x:c r="U225" s="22">
        <x:v>0</x:v>
      </x:c>
      <x:c r="V225" s="22">
        <x:v>0</x:v>
      </x:c>
      <x:c r="W225" s="22">
        <x:v>0</x:v>
      </x:c>
      <x:c r="X225" s="22">
        <x:v>0</x:v>
      </x:c>
      <x:c r="Y225" s="22">
        <x:v>0</x:v>
      </x:c>
      <x:c r="Z225" s="22">
        <x:v>0</x:v>
      </x:c>
      <x:c r="AA225" s="22">
        <x:v>0</x:v>
      </x:c>
      <x:c r="AB225" s="22">
        <x:v>0</x:v>
      </x:c>
      <x:c r="AC225" s="16">
        <x:v>0</x:v>
      </x:c>
      <x:c r="AF225" s="2" t="s">
        <x:v>51</x:v>
      </x:c>
    </x:row>
    <x:row r="226">
      <x:c r="A226" s="4" t="s">
        <x:v>695</x:v>
      </x:c>
      <x:c r="B226" s="4" t="s">
        <x:v>696</x:v>
      </x:c>
      <x:c r="C226" s="4" t="s">
        <x:v>697</x:v>
      </x:c>
      <x:c r="D226" s="8">
        <x:v>4</x:v>
      </x:c>
      <x:c r="E226" s="8">
        <x:v>3</x:v>
      </x:c>
      <x:c r="F226" s="8">
        <x:v>3</x:v>
      </x:c>
      <x:c r="G226" s="8">
        <x:v>1</x:v>
      </x:c>
      <x:c r="H226" s="8">
        <x:v>5</x:v>
      </x:c>
      <x:c r="I226" s="8">
        <x:v>4</x:v>
      </x:c>
      <x:c r="J226" s="8">
        <x:v>8</x:v>
      </x:c>
      <x:c r="K226" s="8">
        <x:v>3</x:v>
      </x:c>
      <x:c r="L226" s="8">
        <x:v>-5</x:v>
      </x:c>
      <x:c r="M226" s="8">
        <x:v>4</x:v>
      </x:c>
      <x:c r="N226" s="8">
        <x:v>2</x:v>
      </x:c>
      <x:c r="O226" s="8">
        <x:v>3</x:v>
      </x:c>
      <x:c r="P226" s="6"/>
      <x:c r="Q226" s="10">
        <x:v>0.129</x:v>
      </x:c>
      <x:c r="R226" s="10">
        <x:v>0.0968</x:v>
      </x:c>
      <x:c r="S226" s="10">
        <x:v>0.087</x:v>
      </x:c>
      <x:c r="T226" s="10">
        <x:v>0.0323</x:v>
      </x:c>
      <x:c r="U226" s="10">
        <x:v>0.1667</x:v>
      </x:c>
      <x:c r="V226" s="10">
        <x:v>0.129</x:v>
      </x:c>
      <x:c r="W226" s="10">
        <x:v>0.3226</x:v>
      </x:c>
      <x:c r="X226" s="10">
        <x:v>0.1261</x:v>
      </x:c>
      <x:c r="Y226" s="10">
        <x:v>-0.1466</x:v>
      </x:c>
      <x:c r="Z226" s="10">
        <x:v>0.1481</x:v>
      </x:c>
      <x:c r="AA226" s="10">
        <x:v>0.0614</x:v>
      </x:c>
      <x:c r="AB226" s="10">
        <x:v>0.087</x:v>
      </x:c>
      <x:c r="AC226" s="13">
        <x:v>0</x:v>
      </x:c>
      <x:c r="AD226" s="10">
        <x:v>0.1033</x:v>
      </x:c>
      <x:c r="AE226" s="10">
        <x:v>0.1033</x:v>
      </x:c>
      <x:c r="AF226" s="2" t="s">
        <x:v>35</x:v>
      </x:c>
    </x:row>
    <x:row r="227">
      <x:c r="A227" s="4" t="s">
        <x:v>698</x:v>
      </x:c>
      <x:c r="B227" s="4" t="s">
        <x:v>699</x:v>
      </x:c>
      <x:c r="C227" s="4" t="s">
        <x:v>700</x:v>
      </x:c>
      <x:c r="D227" s="8">
        <x:v>3</x:v>
      </x:c>
      <x:c r="E227" s="8">
        <x:v>1</x:v>
      </x:c>
      <x:c r="F227" s="6"/>
      <x:c r="G227" s="6"/>
      <x:c r="H227" s="6"/>
      <x:c r="I227" s="6"/>
      <x:c r="J227" s="8">
        <x:v>4</x:v>
      </x:c>
      <x:c r="K227" s="6"/>
      <x:c r="L227" s="8">
        <x:v>2</x:v>
      </x:c>
      <x:c r="M227" s="8">
        <x:v>1</x:v>
      </x:c>
      <x:c r="N227" s="8">
        <x:v>3</x:v>
      </x:c>
      <x:c r="O227" s="6"/>
      <x:c r="P227" s="8">
        <x:v>1</x:v>
      </x:c>
      <x:c r="Q227" s="10">
        <x:v>0.0968</x:v>
      </x:c>
      <x:c r="R227" s="10">
        <x:v>0.0323</x:v>
      </x:c>
      <x:c r="S227" s="10">
        <x:v>0</x:v>
      </x:c>
      <x:c r="T227" s="10">
        <x:v>0</x:v>
      </x:c>
      <x:c r="U227" s="10">
        <x:v>0</x:v>
      </x:c>
      <x:c r="V227" s="10">
        <x:v>0</x:v>
      </x:c>
      <x:c r="W227" s="10">
        <x:v>0.1613</x:v>
      </x:c>
      <x:c r="X227" s="10">
        <x:v>0</x:v>
      </x:c>
      <x:c r="Y227" s="10">
        <x:v>0.0587</x:v>
      </x:c>
      <x:c r="Z227" s="10">
        <x:v>0.037</x:v>
      </x:c>
      <x:c r="AA227" s="10">
        <x:v>0.0922</x:v>
      </x:c>
      <x:c r="AB227" s="10">
        <x:v>0</x:v>
      </x:c>
      <x:c r="AC227" s="13">
        <x:v>0.0323</x:v>
      </x:c>
      <x:c r="AD227" s="10">
        <x:v>0.0399</x:v>
      </x:c>
      <x:c r="AE227" s="10">
        <x:v>0.0399</x:v>
      </x:c>
      <x:c r="AF227" s="2" t="s">
        <x:v>35</x:v>
      </x:c>
    </x:row>
    <x:row r="228">
      <x:c r="A228" s="4" t="s">
        <x:v>701</x:v>
      </x:c>
      <x:c r="B228" s="4" t="s">
        <x:v>702</x:v>
      </x:c>
      <x:c r="C228" s="4" t="s">
        <x:v>703</x:v>
      </x:c>
      <x:c r="D228" s="8">
        <x:v>4</x:v>
      </x:c>
      <x:c r="E228" s="8">
        <x:v>1</x:v>
      </x:c>
      <x:c r="F228" s="6"/>
      <x:c r="G228" s="6"/>
      <x:c r="H228" s="8">
        <x:v>1</x:v>
      </x:c>
      <x:c r="I228" s="6"/>
      <x:c r="J228" s="8">
        <x:v>3</x:v>
      </x:c>
      <x:c r="K228" s="8">
        <x:v>1</x:v>
      </x:c>
      <x:c r="L228" s="8">
        <x:v>4</x:v>
      </x:c>
      <x:c r="M228" s="8">
        <x:v>1</x:v>
      </x:c>
      <x:c r="N228" s="8">
        <x:v>1</x:v>
      </x:c>
      <x:c r="O228" s="6"/>
      <x:c r="P228" s="8">
        <x:v>1</x:v>
      </x:c>
      <x:c r="Q228" s="10">
        <x:v>0.129</x:v>
      </x:c>
      <x:c r="R228" s="10">
        <x:v>0.0323</x:v>
      </x:c>
      <x:c r="S228" s="10">
        <x:v>0</x:v>
      </x:c>
      <x:c r="T228" s="10">
        <x:v>0</x:v>
      </x:c>
      <x:c r="U228" s="10">
        <x:v>0.0333</x:v>
      </x:c>
      <x:c r="V228" s="10">
        <x:v>0</x:v>
      </x:c>
      <x:c r="W228" s="10">
        <x:v>0.121</x:v>
      </x:c>
      <x:c r="X228" s="10">
        <x:v>0.042</x:v>
      </x:c>
      <x:c r="Y228" s="10">
        <x:v>0.1173</x:v>
      </x:c>
      <x:c r="Z228" s="10">
        <x:v>0.037</x:v>
      </x:c>
      <x:c r="AA228" s="10">
        <x:v>0.0307</x:v>
      </x:c>
      <x:c r="AB228" s="10">
        <x:v>0</x:v>
      </x:c>
      <x:c r="AC228" s="16">
        <x:v>0.0526</x:v>
      </x:c>
      <x:c r="AD228" s="10">
        <x:v>0.0452</x:v>
      </x:c>
      <x:c r="AE228" s="10">
        <x:v>0.0452</x:v>
      </x:c>
      <x:c r="AF228" s="2" t="s">
        <x:v>35</x:v>
      </x:c>
    </x:row>
    <x:row r="229">
      <x:c r="A229" s="4" t="s">
        <x:v>704</x:v>
      </x:c>
      <x:c r="B229" s="4" t="s">
        <x:v>705</x:v>
      </x:c>
      <x:c r="C229" s="4" t="s">
        <x:v>706</x:v>
      </x:c>
      <x:c r="D229" s="8">
        <x:v>3</x:v>
      </x:c>
      <x:c r="E229" s="8">
        <x:v>2</x:v>
      </x:c>
      <x:c r="F229" s="8">
        <x:v>3</x:v>
      </x:c>
      <x:c r="G229" s="6"/>
      <x:c r="H229" s="8">
        <x:v>2</x:v>
      </x:c>
      <x:c r="I229" s="8">
        <x:v>2</x:v>
      </x:c>
      <x:c r="J229" s="8">
        <x:v>3</x:v>
      </x:c>
      <x:c r="K229" s="6"/>
      <x:c r="L229" s="8">
        <x:v>4</x:v>
      </x:c>
      <x:c r="M229" s="6"/>
      <x:c r="N229" s="8">
        <x:v>3</x:v>
      </x:c>
      <x:c r="O229" s="6"/>
      <x:c r="P229" s="6"/>
      <x:c r="Q229" s="10">
        <x:v>0.0968</x:v>
      </x:c>
      <x:c r="R229" s="10">
        <x:v>0.0645</x:v>
      </x:c>
      <x:c r="S229" s="10">
        <x:v>0.087</x:v>
      </x:c>
      <x:c r="T229" s="10">
        <x:v>0</x:v>
      </x:c>
      <x:c r="U229" s="10">
        <x:v>0.0667</x:v>
      </x:c>
      <x:c r="V229" s="10">
        <x:v>0.0645</x:v>
      </x:c>
      <x:c r="W229" s="10">
        <x:v>0.121</x:v>
      </x:c>
      <x:c r="X229" s="10">
        <x:v>0</x:v>
      </x:c>
      <x:c r="Y229" s="10">
        <x:v>0.1173</x:v>
      </x:c>
      <x:c r="Z229" s="10">
        <x:v>0</x:v>
      </x:c>
      <x:c r="AA229" s="10">
        <x:v>0.0922</x:v>
      </x:c>
      <x:c r="AB229" s="10">
        <x:v>0</x:v>
      </x:c>
      <x:c r="AC229" s="13">
        <x:v>0</x:v>
      </x:c>
      <x:c r="AD229" s="10">
        <x:v>0.0592</x:v>
      </x:c>
      <x:c r="AE229" s="10">
        <x:v>0.0592</x:v>
      </x:c>
      <x:c r="AF229" s="2" t="s">
        <x:v>35</x:v>
      </x:c>
    </x:row>
    <x:row r="230">
      <x:c r="A230" s="4" t="s">
        <x:v>707</x:v>
      </x:c>
      <x:c r="B230" s="4" t="s">
        <x:v>708</x:v>
      </x:c>
      <x:c r="C230" s="4" t="s">
        <x:v>709</x:v>
      </x:c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22">
        <x:v>0</x:v>
      </x:c>
      <x:c r="R230" s="22">
        <x:v>0</x:v>
      </x:c>
      <x:c r="S230" s="22">
        <x:v>0</x:v>
      </x:c>
      <x:c r="T230" s="22">
        <x:v>0</x:v>
      </x:c>
      <x:c r="U230" s="22">
        <x:v>0</x:v>
      </x:c>
      <x:c r="V230" s="22">
        <x:v>0</x:v>
      </x:c>
      <x:c r="W230" s="22">
        <x:v>0</x:v>
      </x:c>
      <x:c r="X230" s="22">
        <x:v>0</x:v>
      </x:c>
      <x:c r="Y230" s="22">
        <x:v>0</x:v>
      </x:c>
      <x:c r="Z230" s="22">
        <x:v>0</x:v>
      </x:c>
      <x:c r="AA230" s="22">
        <x:v>0</x:v>
      </x:c>
      <x:c r="AB230" s="22">
        <x:v>0</x:v>
      </x:c>
      <x:c r="AC230" s="16">
        <x:v>0</x:v>
      </x:c>
      <x:c r="AF230" s="2" t="s">
        <x:v>51</x:v>
      </x:c>
    </x:row>
    <x:row r="231">
      <x:c r="A231" s="4" t="s">
        <x:v>710</x:v>
      </x:c>
      <x:c r="B231" s="4" t="s">
        <x:v>711</x:v>
      </x:c>
      <x:c r="C231" s="4" t="s">
        <x:v>712</x:v>
      </x:c>
      <x:c r="D231" s="6"/>
      <x:c r="E231" s="6"/>
      <x:c r="F231" s="6"/>
      <x:c r="G231" s="8">
        <x:v>2</x:v>
      </x:c>
      <x:c r="H231" s="6"/>
      <x:c r="I231" s="8">
        <x:v>1</x:v>
      </x:c>
      <x:c r="J231" s="6"/>
      <x:c r="K231" s="6"/>
      <x:c r="L231" s="8">
        <x:v>1</x:v>
      </x:c>
      <x:c r="M231" s="6"/>
      <x:c r="N231" s="6"/>
      <x:c r="O231" s="6"/>
      <x:c r="P231" s="6"/>
      <x:c r="Q231" s="10">
        <x:v>0</x:v>
      </x:c>
      <x:c r="R231" s="10">
        <x:v>0</x:v>
      </x:c>
      <x:c r="S231" s="10">
        <x:v>0</x:v>
      </x:c>
      <x:c r="T231" s="10">
        <x:v>0.0645</x:v>
      </x:c>
      <x:c r="U231" s="10">
        <x:v>0</x:v>
      </x:c>
      <x:c r="V231" s="10">
        <x:v>0.0323</x:v>
      </x:c>
      <x:c r="W231" s="10">
        <x:v>0</x:v>
      </x:c>
      <x:c r="X231" s="10">
        <x:v>0</x:v>
      </x:c>
      <x:c r="Y231" s="10">
        <x:v>0.0293</x:v>
      </x:c>
      <x:c r="Z231" s="10">
        <x:v>0</x:v>
      </x:c>
      <x:c r="AA231" s="10">
        <x:v>0</x:v>
      </x:c>
      <x:c r="AB231" s="10">
        <x:v>0</x:v>
      </x:c>
      <x:c r="AC231" s="13">
        <x:v>0</x:v>
      </x:c>
      <x:c r="AD231" s="10">
        <x:v>0.0105</x:v>
      </x:c>
      <x:c r="AE231" s="10">
        <x:v>0.0105</x:v>
      </x:c>
      <x:c r="AF231" s="2" t="s">
        <x:v>35</x:v>
      </x:c>
    </x:row>
    <x:row r="232">
      <x:c r="A232" s="4" t="s">
        <x:v>713</x:v>
      </x:c>
      <x:c r="B232" s="4" t="s">
        <x:v>714</x:v>
      </x:c>
      <x:c r="C232" s="4" t="s">
        <x:v>715</x:v>
      </x:c>
      <x:c r="D232" s="6"/>
      <x:c r="E232" s="6"/>
      <x:c r="F232" s="6"/>
      <x:c r="G232" s="6"/>
      <x:c r="H232" s="6"/>
      <x:c r="I232" s="8">
        <x:v>1</x:v>
      </x:c>
      <x:c r="J232" s="6"/>
      <x:c r="K232" s="6"/>
      <x:c r="L232" s="6"/>
      <x:c r="M232" s="6"/>
      <x:c r="N232" s="6"/>
      <x:c r="O232" s="6"/>
      <x:c r="P232" s="6"/>
      <x:c r="Q232" s="22">
        <x:v>0</x:v>
      </x:c>
      <x:c r="R232" s="22">
        <x:v>0</x:v>
      </x:c>
      <x:c r="S232" s="22">
        <x:v>0</x:v>
      </x:c>
      <x:c r="T232" s="22">
        <x:v>0</x:v>
      </x:c>
      <x:c r="U232" s="22">
        <x:v>0</x:v>
      </x:c>
      <x:c r="V232" s="22">
        <x:v>0</x:v>
      </x:c>
      <x:c r="W232" s="22">
        <x:v>0</x:v>
      </x:c>
      <x:c r="X232" s="22">
        <x:v>0</x:v>
      </x:c>
      <x:c r="Y232" s="22">
        <x:v>0</x:v>
      </x:c>
      <x:c r="Z232" s="22">
        <x:v>0</x:v>
      </x:c>
      <x:c r="AA232" s="22">
        <x:v>0</x:v>
      </x:c>
      <x:c r="AB232" s="22">
        <x:v>0</x:v>
      </x:c>
      <x:c r="AC232" s="16">
        <x:v>0</x:v>
      </x:c>
      <x:c r="AF232" s="2" t="s">
        <x:v>35</x:v>
      </x:c>
    </x:row>
    <x:row r="233">
      <x:c r="A233" s="4" t="s">
        <x:v>716</x:v>
      </x:c>
      <x:c r="B233" s="4" t="s">
        <x:v>717</x:v>
      </x:c>
      <x:c r="C233" s="4" t="s">
        <x:v>718</x:v>
      </x:c>
      <x:c r="D233" s="6"/>
      <x:c r="E233" s="6"/>
      <x:c r="F233" s="6"/>
      <x:c r="G233" s="6"/>
      <x:c r="H233" s="6"/>
      <x:c r="I233" s="8">
        <x:v>1</x:v>
      </x:c>
      <x:c r="J233" s="6"/>
      <x:c r="K233" s="6"/>
      <x:c r="L233" s="6"/>
      <x:c r="M233" s="6"/>
      <x:c r="N233" s="6"/>
      <x:c r="O233" s="6"/>
      <x:c r="P233" s="6"/>
      <x:c r="Q233" s="22">
        <x:v>0</x:v>
      </x:c>
      <x:c r="R233" s="22">
        <x:v>0</x:v>
      </x:c>
      <x:c r="S233" s="22">
        <x:v>0</x:v>
      </x:c>
      <x:c r="T233" s="22">
        <x:v>0</x:v>
      </x:c>
      <x:c r="U233" s="22">
        <x:v>0</x:v>
      </x:c>
      <x:c r="V233" s="22">
        <x:v>0</x:v>
      </x:c>
      <x:c r="W233" s="22">
        <x:v>0</x:v>
      </x:c>
      <x:c r="X233" s="22">
        <x:v>0</x:v>
      </x:c>
      <x:c r="Y233" s="22">
        <x:v>0</x:v>
      </x:c>
      <x:c r="Z233" s="22">
        <x:v>0</x:v>
      </x:c>
      <x:c r="AA233" s="22">
        <x:v>0</x:v>
      </x:c>
      <x:c r="AB233" s="22">
        <x:v>0</x:v>
      </x:c>
      <x:c r="AC233" s="16">
        <x:v>0</x:v>
      </x:c>
      <x:c r="AF233" s="2" t="s">
        <x:v>35</x:v>
      </x:c>
    </x:row>
    <x:row r="234">
      <x:c r="A234" s="4" t="s">
        <x:v>719</x:v>
      </x:c>
      <x:c r="B234" s="4" t="s">
        <x:v>720</x:v>
      </x:c>
      <x:c r="C234" s="4" t="s">
        <x:v>721</x:v>
      </x:c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22">
        <x:v>0</x:v>
      </x:c>
      <x:c r="R234" s="22">
        <x:v>0</x:v>
      </x:c>
      <x:c r="S234" s="22">
        <x:v>0</x:v>
      </x:c>
      <x:c r="T234" s="22">
        <x:v>0</x:v>
      </x:c>
      <x:c r="U234" s="22">
        <x:v>0</x:v>
      </x:c>
      <x:c r="V234" s="22">
        <x:v>0</x:v>
      </x:c>
      <x:c r="W234" s="22">
        <x:v>0</x:v>
      </x:c>
      <x:c r="X234" s="22">
        <x:v>0</x:v>
      </x:c>
      <x:c r="Y234" s="22">
        <x:v>0</x:v>
      </x:c>
      <x:c r="Z234" s="22">
        <x:v>0</x:v>
      </x:c>
      <x:c r="AA234" s="22">
        <x:v>0</x:v>
      </x:c>
      <x:c r="AB234" s="22">
        <x:v>0</x:v>
      </x:c>
      <x:c r="AC234" s="16">
        <x:v>0</x:v>
      </x:c>
      <x:c r="AF234" s="2" t="s">
        <x:v>35</x:v>
      </x:c>
    </x:row>
    <x:row r="235">
      <x:c r="A235" s="4" t="s">
        <x:v>722</x:v>
      </x:c>
      <x:c r="B235" s="4" t="s">
        <x:v>723</x:v>
      </x:c>
      <x:c r="C235" s="4" t="s">
        <x:v>724</x:v>
      </x:c>
      <x:c r="D235" s="8">
        <x:v>4</x:v>
      </x:c>
      <x:c r="E235" s="6"/>
      <x:c r="F235" s="8">
        <x:v>2</x:v>
      </x:c>
      <x:c r="G235" s="8">
        <x:v>-2</x:v>
      </x:c>
      <x:c r="H235" s="6"/>
      <x:c r="I235" s="6"/>
      <x:c r="J235" s="8">
        <x:v>2</x:v>
      </x:c>
      <x:c r="K235" s="6"/>
      <x:c r="L235" s="8">
        <x:v>2</x:v>
      </x:c>
      <x:c r="M235" s="6"/>
      <x:c r="N235" s="6"/>
      <x:c r="O235" s="6"/>
      <x:c r="P235" s="6"/>
      <x:c r="Q235" s="10">
        <x:v>0.129</x:v>
      </x:c>
      <x:c r="R235" s="10">
        <x:v>0</x:v>
      </x:c>
      <x:c r="S235" s="10">
        <x:v>0.058</x:v>
      </x:c>
      <x:c r="T235" s="10">
        <x:v>-0.0645</x:v>
      </x:c>
      <x:c r="U235" s="10">
        <x:v>0</x:v>
      </x:c>
      <x:c r="V235" s="10">
        <x:v>0</x:v>
      </x:c>
      <x:c r="W235" s="10">
        <x:v>0.0806</x:v>
      </x:c>
      <x:c r="X235" s="10">
        <x:v>0</x:v>
      </x:c>
      <x:c r="Y235" s="10">
        <x:v>0.0587</x:v>
      </x:c>
      <x:c r="Z235" s="10">
        <x:v>0</x:v>
      </x:c>
      <x:c r="AA235" s="10">
        <x:v>0</x:v>
      </x:c>
      <x:c r="AB235" s="10">
        <x:v>0</x:v>
      </x:c>
      <x:c r="AC235" s="13">
        <x:v>0</x:v>
      </x:c>
      <x:c r="AD235" s="10">
        <x:v>0.0218</x:v>
      </x:c>
      <x:c r="AE235" s="10">
        <x:v>0.0218</x:v>
      </x:c>
      <x:c r="AF235" s="2" t="s">
        <x:v>35</x:v>
      </x:c>
    </x:row>
    <x:row r="236">
      <x:c r="A236" s="4" t="s">
        <x:v>725</x:v>
      </x:c>
      <x:c r="B236" s="4" t="s">
        <x:v>726</x:v>
      </x:c>
      <x:c r="C236" s="4" t="s">
        <x:v>727</x:v>
      </x:c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22">
        <x:v>0</x:v>
      </x:c>
      <x:c r="R236" s="22">
        <x:v>0</x:v>
      </x:c>
      <x:c r="S236" s="22">
        <x:v>0</x:v>
      </x:c>
      <x:c r="T236" s="22">
        <x:v>0</x:v>
      </x:c>
      <x:c r="U236" s="22">
        <x:v>0</x:v>
      </x:c>
      <x:c r="V236" s="22">
        <x:v>0</x:v>
      </x:c>
      <x:c r="W236" s="22">
        <x:v>0</x:v>
      </x:c>
      <x:c r="X236" s="22">
        <x:v>0</x:v>
      </x:c>
      <x:c r="Y236" s="22">
        <x:v>0</x:v>
      </x:c>
      <x:c r="Z236" s="22">
        <x:v>0</x:v>
      </x:c>
      <x:c r="AA236" s="22">
        <x:v>0</x:v>
      </x:c>
      <x:c r="AB236" s="22">
        <x:v>0</x:v>
      </x:c>
      <x:c r="AC236" s="16">
        <x:v>0</x:v>
      </x:c>
      <x:c r="AF236" s="2" t="s">
        <x:v>51</x:v>
      </x:c>
    </x:row>
    <x:row r="237">
      <x:c r="A237" s="4" t="s">
        <x:v>728</x:v>
      </x:c>
      <x:c r="B237" s="4" t="s">
        <x:v>729</x:v>
      </x:c>
      <x:c r="C237" s="4" t="s">
        <x:v>730</x:v>
      </x:c>
      <x:c r="D237" s="8">
        <x:v>90</x:v>
      </x:c>
      <x:c r="E237" s="8">
        <x:v>99</x:v>
      </x:c>
      <x:c r="F237" s="8">
        <x:v>54</x:v>
      </x:c>
      <x:c r="G237" s="8">
        <x:v>73</x:v>
      </x:c>
      <x:c r="H237" s="8">
        <x:v>29</x:v>
      </x:c>
      <x:c r="I237" s="8">
        <x:v>150</x:v>
      </x:c>
      <x:c r="J237" s="8">
        <x:v>46</x:v>
      </x:c>
      <x:c r="K237" s="8">
        <x:v>-29</x:v>
      </x:c>
      <x:c r="L237" s="8">
        <x:v>68</x:v>
      </x:c>
      <x:c r="M237" s="8">
        <x:v>73</x:v>
      </x:c>
      <x:c r="N237" s="8">
        <x:v>58</x:v>
      </x:c>
      <x:c r="O237" s="8">
        <x:v>54</x:v>
      </x:c>
      <x:c r="P237" s="8">
        <x:v>27</x:v>
      </x:c>
      <x:c r="Q237" s="10">
        <x:v>2.9032</x:v>
      </x:c>
      <x:c r="R237" s="10">
        <x:v>3.1935</x:v>
      </x:c>
      <x:c r="S237" s="10">
        <x:v>1.5652</x:v>
      </x:c>
      <x:c r="T237" s="10">
        <x:v>2.3548</x:v>
      </x:c>
      <x:c r="U237" s="10">
        <x:v>0.9667</x:v>
      </x:c>
      <x:c r="V237" s="10">
        <x:v>4.8387</x:v>
      </x:c>
      <x:c r="W237" s="10">
        <x:v>1.8548</x:v>
      </x:c>
      <x:c r="X237" s="10">
        <x:v>-1.2185</x:v>
      </x:c>
      <x:c r="Y237" s="10">
        <x:v>1.9941</x:v>
      </x:c>
      <x:c r="Z237" s="10">
        <x:v>2.7037</x:v>
      </x:c>
      <x:c r="AA237" s="10">
        <x:v>1.7819</x:v>
      </x:c>
      <x:c r="AB237" s="10">
        <x:v>1.5652</x:v>
      </x:c>
      <x:c r="AC237" s="13">
        <x:v>0.871</x:v>
      </x:c>
      <x:c r="AD237" s="10">
        <x:v>2.0419</x:v>
      </x:c>
      <x:c r="AE237" s="10">
        <x:v>2.0419</x:v>
      </x:c>
      <x:c r="AF237" s="2" t="s">
        <x:v>35</x:v>
      </x:c>
    </x:row>
    <x:row r="238">
      <x:c r="A238" s="4" t="s">
        <x:v>731</x:v>
      </x:c>
      <x:c r="B238" s="4" t="s">
        <x:v>732</x:v>
      </x:c>
      <x:c r="C238" s="4" t="s">
        <x:v>733</x:v>
      </x:c>
      <x:c r="D238" s="6"/>
      <x:c r="E238" s="6"/>
      <x:c r="F238" s="6"/>
      <x:c r="G238" s="8">
        <x:v>1</x:v>
      </x:c>
      <x:c r="H238" s="8">
        <x:v>2</x:v>
      </x:c>
      <x:c r="I238" s="6"/>
      <x:c r="J238" s="6"/>
      <x:c r="K238" s="6"/>
      <x:c r="L238" s="8">
        <x:v>2</x:v>
      </x:c>
      <x:c r="M238" s="8">
        <x:v>4</x:v>
      </x:c>
      <x:c r="N238" s="6"/>
      <x:c r="O238" s="8">
        <x:v>1</x:v>
      </x:c>
      <x:c r="P238" s="6"/>
      <x:c r="Q238" s="10">
        <x:v>0</x:v>
      </x:c>
      <x:c r="R238" s="10">
        <x:v>0</x:v>
      </x:c>
      <x:c r="S238" s="10">
        <x:v>0</x:v>
      </x:c>
      <x:c r="T238" s="19">
        <x:v>0.2</x:v>
      </x:c>
      <x:c r="U238" s="22">
        <x:v>0</x:v>
      </x:c>
      <x:c r="V238" s="22">
        <x:v>0</x:v>
      </x:c>
      <x:c r="W238" s="19">
        <x:v>0</x:v>
      </x:c>
      <x:c r="X238" s="10">
        <x:v>0</x:v>
      </x:c>
      <x:c r="Y238" s="10">
        <x:v>0.0587</x:v>
      </x:c>
      <x:c r="Z238" s="10">
        <x:v>0.1481</x:v>
      </x:c>
      <x:c r="AA238" s="10">
        <x:v>0</x:v>
      </x:c>
      <x:c r="AB238" s="10">
        <x:v>0.029</x:v>
      </x:c>
      <x:c r="AC238" s="13">
        <x:v>0</x:v>
      </x:c>
      <x:c r="AD238" s="10">
        <x:v>0.0295</x:v>
      </x:c>
      <x:c r="AE238" s="10">
        <x:v>0.0295</x:v>
      </x:c>
      <x:c r="AF238" s="2" t="s">
        <x:v>35</x:v>
      </x:c>
    </x:row>
    <x:row r="239">
      <x:c r="A239" s="4" t="s">
        <x:v>734</x:v>
      </x:c>
      <x:c r="B239" s="4" t="s">
        <x:v>735</x:v>
      </x:c>
      <x:c r="C239" s="4" t="s">
        <x:v>736</x:v>
      </x:c>
      <x:c r="D239" s="8">
        <x:v>5</x:v>
      </x:c>
      <x:c r="E239" s="6"/>
      <x:c r="F239" s="6"/>
      <x:c r="G239" s="6"/>
      <x:c r="H239" s="6"/>
      <x:c r="I239" s="6"/>
      <x:c r="J239" s="6"/>
      <x:c r="K239" s="6"/>
      <x:c r="L239" s="6"/>
      <x:c r="M239" s="8">
        <x:v>1</x:v>
      </x:c>
      <x:c r="N239" s="6"/>
      <x:c r="O239" s="8">
        <x:v>1</x:v>
      </x:c>
      <x:c r="P239" s="6"/>
      <x:c r="Q239" s="19">
        <x:v>0.2381</x:v>
      </x:c>
      <x:c r="R239" s="22">
        <x:v>0</x:v>
      </x:c>
      <x:c r="S239" s="22">
        <x:v>0</x:v>
      </x:c>
      <x:c r="T239" s="22">
        <x:v>0</x:v>
      </x:c>
      <x:c r="U239" s="22">
        <x:v>0</x:v>
      </x:c>
      <x:c r="V239" s="22">
        <x:v>0</x:v>
      </x:c>
      <x:c r="W239" s="22">
        <x:v>0</x:v>
      </x:c>
      <x:c r="X239" s="22">
        <x:v>0</x:v>
      </x:c>
      <x:c r="Y239" s="22">
        <x:v>0</x:v>
      </x:c>
      <x:c r="Z239" s="22">
        <x:v>0</x:v>
      </x:c>
      <x:c r="AA239" s="19">
        <x:v>0</x:v>
      </x:c>
      <x:c r="AB239" s="10">
        <x:v>0.029</x:v>
      </x:c>
      <x:c r="AC239" s="13">
        <x:v>0</x:v>
      </x:c>
      <x:c r="AD239" s="10">
        <x:v>0.029</x:v>
      </x:c>
      <x:c r="AE239" s="10">
        <x:v>0.029</x:v>
      </x:c>
      <x:c r="AF239" s="2" t="s">
        <x:v>35</x:v>
      </x:c>
    </x:row>
    <x:row r="240">
      <x:c r="A240" s="4" t="s">
        <x:v>737</x:v>
      </x:c>
      <x:c r="B240" s="4" t="s">
        <x:v>738</x:v>
      </x:c>
      <x:c r="C240" s="4" t="s">
        <x:v>739</x:v>
      </x:c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22">
        <x:v>0</x:v>
      </x:c>
      <x:c r="R240" s="22">
        <x:v>0</x:v>
      </x:c>
      <x:c r="S240" s="22">
        <x:v>0</x:v>
      </x:c>
      <x:c r="T240" s="22">
        <x:v>0</x:v>
      </x:c>
      <x:c r="U240" s="22">
        <x:v>0</x:v>
      </x:c>
      <x:c r="V240" s="22">
        <x:v>0</x:v>
      </x:c>
      <x:c r="W240" s="22">
        <x:v>0</x:v>
      </x:c>
      <x:c r="X240" s="22">
        <x:v>0</x:v>
      </x:c>
      <x:c r="Y240" s="22">
        <x:v>0</x:v>
      </x:c>
      <x:c r="Z240" s="22">
        <x:v>0</x:v>
      </x:c>
      <x:c r="AA240" s="22">
        <x:v>0</x:v>
      </x:c>
      <x:c r="AB240" s="22">
        <x:v>0</x:v>
      </x:c>
      <x:c r="AC240" s="16">
        <x:v>0</x:v>
      </x:c>
      <x:c r="AF240" s="2" t="s">
        <x:v>35</x:v>
      </x:c>
    </x:row>
    <x:row r="241">
      <x:c r="A241" s="4" t="s">
        <x:v>740</x:v>
      </x:c>
      <x:c r="B241" s="4" t="s">
        <x:v>741</x:v>
      </x:c>
      <x:c r="C241" s="4" t="s">
        <x:v>742</x:v>
      </x:c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10">
        <x:v>0</x:v>
      </x:c>
      <x:c r="R241" s="10">
        <x:v>0</x:v>
      </x:c>
      <x:c r="S241" s="10">
        <x:v>0</x:v>
      </x:c>
      <x:c r="T241" s="10">
        <x:v>0</x:v>
      </x:c>
      <x:c r="U241" s="10">
        <x:v>0</x:v>
      </x:c>
      <x:c r="V241" s="10">
        <x:v>0</x:v>
      </x:c>
      <x:c r="W241" s="10">
        <x:v>0</x:v>
      </x:c>
      <x:c r="X241" s="10">
        <x:v>0</x:v>
      </x:c>
      <x:c r="Y241" s="10">
        <x:v>0</x:v>
      </x:c>
      <x:c r="Z241" s="10">
        <x:v>0</x:v>
      </x:c>
      <x:c r="AA241" s="10">
        <x:v>0</x:v>
      </x:c>
      <x:c r="AB241" s="10">
        <x:v>0</x:v>
      </x:c>
      <x:c r="AC241" s="13">
        <x:v>0</x:v>
      </x:c>
      <x:c r="AF241" s="2" t="s">
        <x:v>35</x:v>
      </x:c>
    </x:row>
    <x:row r="242">
      <x:c r="A242" s="4" t="s">
        <x:v>743</x:v>
      </x:c>
      <x:c r="B242" s="4" t="s">
        <x:v>744</x:v>
      </x:c>
      <x:c r="C242" s="4" t="s">
        <x:v>745</x:v>
      </x:c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22">
        <x:v>0</x:v>
      </x:c>
      <x:c r="R242" s="22">
        <x:v>0</x:v>
      </x:c>
      <x:c r="S242" s="22">
        <x:v>0</x:v>
      </x:c>
      <x:c r="T242" s="22">
        <x:v>0</x:v>
      </x:c>
      <x:c r="U242" s="22">
        <x:v>0</x:v>
      </x:c>
      <x:c r="V242" s="22">
        <x:v>0</x:v>
      </x:c>
      <x:c r="W242" s="22">
        <x:v>0</x:v>
      </x:c>
      <x:c r="X242" s="22">
        <x:v>0</x:v>
      </x:c>
      <x:c r="Y242" s="22">
        <x:v>0</x:v>
      </x:c>
      <x:c r="Z242" s="22">
        <x:v>0</x:v>
      </x:c>
      <x:c r="AA242" s="22">
        <x:v>0</x:v>
      </x:c>
      <x:c r="AB242" s="22">
        <x:v>0</x:v>
      </x:c>
      <x:c r="AC242" s="16">
        <x:v>0</x:v>
      </x:c>
      <x:c r="AF242" s="2" t="s">
        <x:v>51</x:v>
      </x:c>
    </x:row>
    <x:row r="243">
      <x:c r="A243" s="4" t="s">
        <x:v>746</x:v>
      </x:c>
      <x:c r="B243" s="4" t="s">
        <x:v>747</x:v>
      </x:c>
      <x:c r="C243" s="4" t="s">
        <x:v>748</x:v>
      </x:c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22">
        <x:v>0</x:v>
      </x:c>
      <x:c r="R243" s="22">
        <x:v>0</x:v>
      </x:c>
      <x:c r="S243" s="22">
        <x:v>0</x:v>
      </x:c>
      <x:c r="T243" s="22">
        <x:v>0</x:v>
      </x:c>
      <x:c r="U243" s="22">
        <x:v>0</x:v>
      </x:c>
      <x:c r="V243" s="22">
        <x:v>0</x:v>
      </x:c>
      <x:c r="W243" s="22">
        <x:v>0</x:v>
      </x:c>
      <x:c r="X243" s="22">
        <x:v>0</x:v>
      </x:c>
      <x:c r="Y243" s="22">
        <x:v>0</x:v>
      </x:c>
      <x:c r="Z243" s="22">
        <x:v>0</x:v>
      </x:c>
      <x:c r="AA243" s="22">
        <x:v>0</x:v>
      </x:c>
      <x:c r="AB243" s="22">
        <x:v>0</x:v>
      </x:c>
      <x:c r="AC243" s="16">
        <x:v>0</x:v>
      </x:c>
      <x:c r="AF243" s="2" t="s">
        <x:v>35</x:v>
      </x:c>
    </x:row>
    <x:row r="244">
      <x:c r="A244" s="4" t="s">
        <x:v>749</x:v>
      </x:c>
      <x:c r="B244" s="4" t="s">
        <x:v>750</x:v>
      </x:c>
      <x:c r="C244" s="4" t="s">
        <x:v>751</x:v>
      </x:c>
      <x:c r="D244" s="8">
        <x:v>38</x:v>
      </x:c>
      <x:c r="E244" s="8">
        <x:v>40</x:v>
      </x:c>
      <x:c r="F244" s="8">
        <x:v>3</x:v>
      </x:c>
      <x:c r="G244" s="8">
        <x:v>32</x:v>
      </x:c>
      <x:c r="H244" s="8">
        <x:v>3</x:v>
      </x:c>
      <x:c r="I244" s="8">
        <x:v>37</x:v>
      </x:c>
      <x:c r="J244" s="8">
        <x:v>34</x:v>
      </x:c>
      <x:c r="K244" s="8">
        <x:v>25</x:v>
      </x:c>
      <x:c r="L244" s="8">
        <x:v>69</x:v>
      </x:c>
      <x:c r="M244" s="8">
        <x:v>54</x:v>
      </x:c>
      <x:c r="N244" s="8">
        <x:v>99</x:v>
      </x:c>
      <x:c r="O244" s="8">
        <x:v>46</x:v>
      </x:c>
      <x:c r="P244" s="8">
        <x:v>68</x:v>
      </x:c>
      <x:c r="Q244" s="10">
        <x:v>1.2258</x:v>
      </x:c>
      <x:c r="R244" s="10">
        <x:v>1.2903</x:v>
      </x:c>
      <x:c r="S244" s="10">
        <x:v>0.087</x:v>
      </x:c>
      <x:c r="T244" s="10">
        <x:v>1.0323</x:v>
      </x:c>
      <x:c r="U244" s="10">
        <x:v>0.1</x:v>
      </x:c>
      <x:c r="V244" s="10">
        <x:v>1.1935</x:v>
      </x:c>
      <x:c r="W244" s="10">
        <x:v>1.371</x:v>
      </x:c>
      <x:c r="X244" s="10">
        <x:v>1.0504</x:v>
      </x:c>
      <x:c r="Y244" s="10">
        <x:v>2.0235</x:v>
      </x:c>
      <x:c r="Z244" s="10">
        <x:v>2</x:v>
      </x:c>
      <x:c r="AA244" s="10">
        <x:v>3.0415</x:v>
      </x:c>
      <x:c r="AB244" s="19">
        <x:v>1.3793</x:v>
      </x:c>
      <x:c r="AC244" s="16">
        <x:v>2.6154</x:v>
      </x:c>
      <x:c r="AD244" s="10">
        <x:v>1.3105</x:v>
      </x:c>
      <x:c r="AE244" s="10">
        <x:v>1.3105</x:v>
      </x:c>
      <x:c r="AF244" s="2" t="s">
        <x:v>35</x:v>
      </x:c>
    </x:row>
    <x:row r="245">
      <x:c r="A245" s="4" t="s">
        <x:v>752</x:v>
      </x:c>
      <x:c r="B245" s="4" t="s">
        <x:v>753</x:v>
      </x:c>
      <x:c r="C245" s="4" t="s">
        <x:v>754</x:v>
      </x:c>
      <x:c r="D245" s="8">
        <x:v>5</x:v>
      </x:c>
      <x:c r="E245" s="8">
        <x:v>7</x:v>
      </x:c>
      <x:c r="F245" s="8">
        <x:v>13</x:v>
      </x:c>
      <x:c r="G245" s="8">
        <x:v>3</x:v>
      </x:c>
      <x:c r="H245" s="8">
        <x:v>16</x:v>
      </x:c>
      <x:c r="I245" s="8">
        <x:v>5</x:v>
      </x:c>
      <x:c r="J245" s="8">
        <x:v>9</x:v>
      </x:c>
      <x:c r="K245" s="8">
        <x:v>4</x:v>
      </x:c>
      <x:c r="L245" s="8">
        <x:v>1</x:v>
      </x:c>
      <x:c r="M245" s="8">
        <x:v>6</x:v>
      </x:c>
      <x:c r="N245" s="8">
        <x:v>6</x:v>
      </x:c>
      <x:c r="O245" s="8">
        <x:v>3</x:v>
      </x:c>
      <x:c r="P245" s="8">
        <x:v>12</x:v>
      </x:c>
      <x:c r="Q245" s="10">
        <x:v>0.1613</x:v>
      </x:c>
      <x:c r="R245" s="10">
        <x:v>0.2258</x:v>
      </x:c>
      <x:c r="S245" s="10">
        <x:v>0.3768</x:v>
      </x:c>
      <x:c r="T245" s="10">
        <x:v>0.0968</x:v>
      </x:c>
      <x:c r="U245" s="10">
        <x:v>0.5333</x:v>
      </x:c>
      <x:c r="V245" s="10">
        <x:v>0.1613</x:v>
      </x:c>
      <x:c r="W245" s="10">
        <x:v>0.3629</x:v>
      </x:c>
      <x:c r="X245" s="10">
        <x:v>0.1681</x:v>
      </x:c>
      <x:c r="Y245" s="10">
        <x:v>0.0293</x:v>
      </x:c>
      <x:c r="Z245" s="10">
        <x:v>0.2222</x:v>
      </x:c>
      <x:c r="AA245" s="10">
        <x:v>0.1843</x:v>
      </x:c>
      <x:c r="AB245" s="10">
        <x:v>0.087</x:v>
      </x:c>
      <x:c r="AC245" s="13">
        <x:v>0.3871</x:v>
      </x:c>
      <x:c r="AD245" s="10">
        <x:v>0.2174</x:v>
      </x:c>
      <x:c r="AE245" s="10">
        <x:v>0.2174</x:v>
      </x:c>
      <x:c r="AF245" s="2" t="s">
        <x:v>35</x:v>
      </x:c>
    </x:row>
    <x:row r="246">
      <x:c r="A246" s="4" t="s">
        <x:v>755</x:v>
      </x:c>
      <x:c r="B246" s="4" t="s">
        <x:v>756</x:v>
      </x:c>
      <x:c r="C246" s="4" t="s">
        <x:v>757</x:v>
      </x:c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10">
        <x:v>0</x:v>
      </x:c>
      <x:c r="R246" s="10">
        <x:v>0</x:v>
      </x:c>
      <x:c r="S246" s="10">
        <x:v>0</x:v>
      </x:c>
      <x:c r="T246" s="10">
        <x:v>0</x:v>
      </x:c>
      <x:c r="U246" s="10">
        <x:v>0</x:v>
      </x:c>
      <x:c r="V246" s="10">
        <x:v>0</x:v>
      </x:c>
      <x:c r="W246" s="10">
        <x:v>0</x:v>
      </x:c>
      <x:c r="X246" s="10">
        <x:v>0</x:v>
      </x:c>
      <x:c r="Y246" s="10">
        <x:v>0</x:v>
      </x:c>
      <x:c r="Z246" s="10">
        <x:v>0</x:v>
      </x:c>
      <x:c r="AA246" s="10">
        <x:v>0</x:v>
      </x:c>
      <x:c r="AB246" s="10">
        <x:v>0</x:v>
      </x:c>
      <x:c r="AC246" s="13">
        <x:v>0</x:v>
      </x:c>
      <x:c r="AF246" s="2" t="s">
        <x:v>51</x:v>
      </x:c>
    </x:row>
    <x:row r="247">
      <x:c r="A247" s="4" t="s">
        <x:v>758</x:v>
      </x:c>
      <x:c r="B247" s="4" t="s">
        <x:v>759</x:v>
      </x:c>
      <x:c r="C247" s="4" t="s">
        <x:v>760</x:v>
      </x:c>
      <x:c r="D247" s="8">
        <x:v>17</x:v>
      </x:c>
      <x:c r="E247" s="8">
        <x:v>6</x:v>
      </x:c>
      <x:c r="F247" s="8">
        <x:v>12</x:v>
      </x:c>
      <x:c r="G247" s="8">
        <x:v>15</x:v>
      </x:c>
      <x:c r="H247" s="8">
        <x:v>12</x:v>
      </x:c>
      <x:c r="I247" s="8">
        <x:v>6</x:v>
      </x:c>
      <x:c r="J247" s="8">
        <x:v>3</x:v>
      </x:c>
      <x:c r="K247" s="8">
        <x:v>5</x:v>
      </x:c>
      <x:c r="L247" s="8">
        <x:v>2</x:v>
      </x:c>
      <x:c r="M247" s="8">
        <x:v>3</x:v>
      </x:c>
      <x:c r="N247" s="8">
        <x:v>16</x:v>
      </x:c>
      <x:c r="O247" s="8">
        <x:v>8</x:v>
      </x:c>
      <x:c r="P247" s="8">
        <x:v>6</x:v>
      </x:c>
      <x:c r="Q247" s="10">
        <x:v>0.5484</x:v>
      </x:c>
      <x:c r="R247" s="10">
        <x:v>0.1935</x:v>
      </x:c>
      <x:c r="S247" s="10">
        <x:v>0.3478</x:v>
      </x:c>
      <x:c r="T247" s="10">
        <x:v>0.4839</x:v>
      </x:c>
      <x:c r="U247" s="10">
        <x:v>0.4</x:v>
      </x:c>
      <x:c r="V247" s="10">
        <x:v>0.1935</x:v>
      </x:c>
      <x:c r="W247" s="10">
        <x:v>0.121</x:v>
      </x:c>
      <x:c r="X247" s="10">
        <x:v>0.2101</x:v>
      </x:c>
      <x:c r="Y247" s="10">
        <x:v>0.0587</x:v>
      </x:c>
      <x:c r="Z247" s="10">
        <x:v>0.1111</x:v>
      </x:c>
      <x:c r="AA247" s="10">
        <x:v>0.4916</x:v>
      </x:c>
      <x:c r="AB247" s="10">
        <x:v>0.2319</x:v>
      </x:c>
      <x:c r="AC247" s="13">
        <x:v>0.1935</x:v>
      </x:c>
      <x:c r="AD247" s="10">
        <x:v>0.2826</x:v>
      </x:c>
      <x:c r="AE247" s="10">
        <x:v>0.2826</x:v>
      </x:c>
      <x:c r="AF247" s="2" t="s">
        <x:v>35</x:v>
      </x:c>
    </x:row>
    <x:row r="248">
      <x:c r="A248" s="4" t="s">
        <x:v>761</x:v>
      </x:c>
      <x:c r="B248" s="4" t="s">
        <x:v>762</x:v>
      </x:c>
      <x:c r="C248" s="4" t="s">
        <x:v>763</x:v>
      </x:c>
      <x:c r="D248" s="8">
        <x:v>54</x:v>
      </x:c>
      <x:c r="E248" s="8">
        <x:v>35</x:v>
      </x:c>
      <x:c r="F248" s="8">
        <x:v>12</x:v>
      </x:c>
      <x:c r="G248" s="8">
        <x:v>16</x:v>
      </x:c>
      <x:c r="H248" s="8">
        <x:v>21</x:v>
      </x:c>
      <x:c r="I248" s="8">
        <x:v>16</x:v>
      </x:c>
      <x:c r="J248" s="8">
        <x:v>22</x:v>
      </x:c>
      <x:c r="K248" s="8">
        <x:v>14</x:v>
      </x:c>
      <x:c r="L248" s="8">
        <x:v>27</x:v>
      </x:c>
      <x:c r="M248" s="8">
        <x:v>14</x:v>
      </x:c>
      <x:c r="N248" s="8">
        <x:v>20</x:v>
      </x:c>
      <x:c r="O248" s="8">
        <x:v>50</x:v>
      </x:c>
      <x:c r="P248" s="8">
        <x:v>12</x:v>
      </x:c>
      <x:c r="Q248" s="10">
        <x:v>1.7419</x:v>
      </x:c>
      <x:c r="R248" s="10">
        <x:v>1.129</x:v>
      </x:c>
      <x:c r="S248" s="10">
        <x:v>0.3478</x:v>
      </x:c>
      <x:c r="T248" s="10">
        <x:v>0.5161</x:v>
      </x:c>
      <x:c r="U248" s="10">
        <x:v>0.7</x:v>
      </x:c>
      <x:c r="V248" s="10">
        <x:v>0.5161</x:v>
      </x:c>
      <x:c r="W248" s="10">
        <x:v>0.8871</x:v>
      </x:c>
      <x:c r="X248" s="10">
        <x:v>0.5882</x:v>
      </x:c>
      <x:c r="Y248" s="10">
        <x:v>0.7918</x:v>
      </x:c>
      <x:c r="Z248" s="10">
        <x:v>0.5185</x:v>
      </x:c>
      <x:c r="AA248" s="10">
        <x:v>0.6144</x:v>
      </x:c>
      <x:c r="AB248" s="10">
        <x:v>1.4493</x:v>
      </x:c>
      <x:c r="AC248" s="13">
        <x:v>0.3871</x:v>
      </x:c>
      <x:c r="AD248" s="10">
        <x:v>0.8167</x:v>
      </x:c>
      <x:c r="AE248" s="10">
        <x:v>0.8167</x:v>
      </x:c>
      <x:c r="AF248" s="2" t="s">
        <x:v>35</x:v>
      </x:c>
    </x:row>
    <x:row r="249">
      <x:c r="A249" s="4" t="s">
        <x:v>764</x:v>
      </x:c>
      <x:c r="B249" s="4" t="s">
        <x:v>765</x:v>
      </x:c>
      <x:c r="C249" s="4" t="s">
        <x:v>766</x:v>
      </x:c>
      <x:c r="D249" s="6"/>
      <x:c r="E249" s="6"/>
      <x:c r="F249" s="6"/>
      <x:c r="G249" s="6"/>
      <x:c r="H249" s="8">
        <x:v>2</x:v>
      </x:c>
      <x:c r="I249" s="8">
        <x:v>-2</x:v>
      </x:c>
      <x:c r="J249" s="6"/>
      <x:c r="K249" s="6"/>
      <x:c r="L249" s="6"/>
      <x:c r="M249" s="6"/>
      <x:c r="N249" s="6"/>
      <x:c r="O249" s="6"/>
      <x:c r="P249" s="6"/>
      <x:c r="Q249" s="22">
        <x:v>0</x:v>
      </x:c>
      <x:c r="R249" s="22">
        <x:v>0</x:v>
      </x:c>
      <x:c r="S249" s="22">
        <x:v>0</x:v>
      </x:c>
      <x:c r="T249" s="22">
        <x:v>0</x:v>
      </x:c>
      <x:c r="U249" s="22">
        <x:v>0</x:v>
      </x:c>
      <x:c r="V249" s="22">
        <x:v>0</x:v>
      </x:c>
      <x:c r="W249" s="22">
        <x:v>0</x:v>
      </x:c>
      <x:c r="X249" s="22">
        <x:v>0</x:v>
      </x:c>
      <x:c r="Y249" s="22">
        <x:v>0</x:v>
      </x:c>
      <x:c r="Z249" s="22">
        <x:v>0</x:v>
      </x:c>
      <x:c r="AA249" s="22">
        <x:v>0</x:v>
      </x:c>
      <x:c r="AB249" s="22">
        <x:v>0</x:v>
      </x:c>
      <x:c r="AC249" s="16">
        <x:v>0</x:v>
      </x:c>
      <x:c r="AF249" s="2" t="s">
        <x:v>51</x:v>
      </x:c>
    </x:row>
    <x:row r="250">
      <x:c r="A250" s="4" t="s">
        <x:v>767</x:v>
      </x:c>
      <x:c r="B250" s="4" t="s">
        <x:v>768</x:v>
      </x:c>
      <x:c r="C250" s="4" t="s">
        <x:v>769</x:v>
      </x:c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22">
        <x:v>0</x:v>
      </x:c>
      <x:c r="R250" s="22">
        <x:v>0</x:v>
      </x:c>
      <x:c r="S250" s="22">
        <x:v>0</x:v>
      </x:c>
      <x:c r="T250" s="22">
        <x:v>0</x:v>
      </x:c>
      <x:c r="U250" s="22">
        <x:v>0</x:v>
      </x:c>
      <x:c r="V250" s="22">
        <x:v>0</x:v>
      </x:c>
      <x:c r="W250" s="22">
        <x:v>0</x:v>
      </x:c>
      <x:c r="X250" s="22">
        <x:v>0</x:v>
      </x:c>
      <x:c r="Y250" s="22">
        <x:v>0</x:v>
      </x:c>
      <x:c r="Z250" s="22">
        <x:v>0</x:v>
      </x:c>
      <x:c r="AA250" s="22">
        <x:v>0</x:v>
      </x:c>
      <x:c r="AB250" s="22">
        <x:v>0</x:v>
      </x:c>
      <x:c r="AC250" s="16">
        <x:v>0</x:v>
      </x:c>
      <x:c r="AF250" s="2" t="s">
        <x:v>35</x:v>
      </x:c>
    </x:row>
    <x:row r="251">
      <x:c r="A251" s="4" t="s">
        <x:v>770</x:v>
      </x:c>
      <x:c r="B251" s="4" t="s">
        <x:v>771</x:v>
      </x:c>
      <x:c r="C251" s="4" t="s">
        <x:v>772</x:v>
      </x:c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22">
        <x:v>0</x:v>
      </x:c>
      <x:c r="R251" s="22">
        <x:v>0</x:v>
      </x:c>
      <x:c r="S251" s="22">
        <x:v>0</x:v>
      </x:c>
      <x:c r="T251" s="22">
        <x:v>0</x:v>
      </x:c>
      <x:c r="U251" s="22">
        <x:v>0</x:v>
      </x:c>
      <x:c r="V251" s="22">
        <x:v>0</x:v>
      </x:c>
      <x:c r="W251" s="22">
        <x:v>0</x:v>
      </x:c>
      <x:c r="X251" s="22">
        <x:v>0</x:v>
      </x:c>
      <x:c r="Y251" s="22">
        <x:v>0</x:v>
      </x:c>
      <x:c r="Z251" s="22">
        <x:v>0</x:v>
      </x:c>
      <x:c r="AA251" s="22">
        <x:v>0</x:v>
      </x:c>
      <x:c r="AB251" s="22">
        <x:v>0</x:v>
      </x:c>
      <x:c r="AC251" s="16">
        <x:v>0</x:v>
      </x:c>
      <x:c r="AF251" s="2" t="s">
        <x:v>51</x:v>
      </x:c>
    </x:row>
    <x:row r="252">
      <x:c r="A252" s="4" t="s">
        <x:v>773</x:v>
      </x:c>
      <x:c r="B252" s="4" t="s">
        <x:v>774</x:v>
      </x:c>
      <x:c r="C252" s="4" t="s">
        <x:v>775</x:v>
      </x:c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22">
        <x:v>0</x:v>
      </x:c>
      <x:c r="R252" s="22">
        <x:v>0</x:v>
      </x:c>
      <x:c r="S252" s="22">
        <x:v>0</x:v>
      </x:c>
      <x:c r="T252" s="22">
        <x:v>0</x:v>
      </x:c>
      <x:c r="U252" s="22">
        <x:v>0</x:v>
      </x:c>
      <x:c r="V252" s="22">
        <x:v>0</x:v>
      </x:c>
      <x:c r="W252" s="22">
        <x:v>0</x:v>
      </x:c>
      <x:c r="X252" s="22">
        <x:v>0</x:v>
      </x:c>
      <x:c r="Y252" s="22">
        <x:v>0</x:v>
      </x:c>
      <x:c r="Z252" s="22">
        <x:v>0</x:v>
      </x:c>
      <x:c r="AA252" s="22">
        <x:v>0</x:v>
      </x:c>
      <x:c r="AB252" s="22">
        <x:v>0</x:v>
      </x:c>
      <x:c r="AC252" s="16">
        <x:v>0</x:v>
      </x:c>
      <x:c r="AF252" s="2" t="s">
        <x:v>35</x:v>
      </x:c>
    </x:row>
    <x:row r="253">
      <x:c r="A253" s="4" t="s">
        <x:v>776</x:v>
      </x:c>
      <x:c r="B253" s="4" t="s">
        <x:v>777</x:v>
      </x:c>
      <x:c r="C253" s="4" t="s">
        <x:v>778</x:v>
      </x:c>
      <x:c r="D253" s="6"/>
      <x:c r="E253" s="8">
        <x:v>2</x:v>
      </x:c>
      <x:c r="F253" s="6"/>
      <x:c r="G253" s="6"/>
      <x:c r="H253" s="6"/>
      <x:c r="I253" s="6"/>
      <x:c r="J253" s="8">
        <x:v>1</x:v>
      </x:c>
      <x:c r="K253" s="8">
        <x:v>-1</x:v>
      </x:c>
      <x:c r="L253" s="6"/>
      <x:c r="M253" s="6"/>
      <x:c r="N253" s="8">
        <x:v>1</x:v>
      </x:c>
      <x:c r="O253" s="6"/>
      <x:c r="P253" s="8">
        <x:v>2</x:v>
      </x:c>
      <x:c r="Q253" s="10">
        <x:v>0</x:v>
      </x:c>
      <x:c r="R253" s="10">
        <x:v>0.0645</x:v>
      </x:c>
      <x:c r="S253" s="10">
        <x:v>0</x:v>
      </x:c>
      <x:c r="T253" s="10">
        <x:v>0</x:v>
      </x:c>
      <x:c r="U253" s="10">
        <x:v>0</x:v>
      </x:c>
      <x:c r="V253" s="10">
        <x:v>0</x:v>
      </x:c>
      <x:c r="W253" s="10">
        <x:v>0.0403</x:v>
      </x:c>
      <x:c r="X253" s="10">
        <x:v>-0.042</x:v>
      </x:c>
      <x:c r="Y253" s="10">
        <x:v>0</x:v>
      </x:c>
      <x:c r="Z253" s="10">
        <x:v>0</x:v>
      </x:c>
      <x:c r="AA253" s="10">
        <x:v>0.0307</x:v>
      </x:c>
      <x:c r="AB253" s="10">
        <x:v>0</x:v>
      </x:c>
      <x:c r="AC253" s="13">
        <x:v>0.0645</x:v>
      </x:c>
      <x:c r="AD253" s="10">
        <x:v>0.0078</x:v>
      </x:c>
      <x:c r="AE253" s="10">
        <x:v>0.0078</x:v>
      </x:c>
      <x:c r="AF253" s="2" t="s">
        <x:v>35</x:v>
      </x:c>
    </x:row>
    <x:row r="254">
      <x:c r="A254" s="25" t="s">
        <x:v>779</x:v>
      </x:c>
      <x:c r="B254" s="4" t="s">
        <x:v>780</x:v>
      </x:c>
      <x:c r="C254" s="4" t="s">
        <x:v>781</x:v>
      </x:c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22">
        <x:v>0</x:v>
      </x:c>
      <x:c r="R254" s="22">
        <x:v>0</x:v>
      </x:c>
      <x:c r="S254" s="22">
        <x:v>0</x:v>
      </x:c>
      <x:c r="T254" s="22">
        <x:v>0</x:v>
      </x:c>
      <x:c r="U254" s="22">
        <x:v>0</x:v>
      </x:c>
      <x:c r="V254" s="22">
        <x:v>0</x:v>
      </x:c>
      <x:c r="W254" s="22">
        <x:v>0</x:v>
      </x:c>
      <x:c r="X254" s="22">
        <x:v>0</x:v>
      </x:c>
      <x:c r="Y254" s="22">
        <x:v>0</x:v>
      </x:c>
      <x:c r="Z254" s="22">
        <x:v>0</x:v>
      </x:c>
      <x:c r="AA254" s="22">
        <x:v>0</x:v>
      </x:c>
      <x:c r="AB254" s="22">
        <x:v>0</x:v>
      </x:c>
      <x:c r="AC254" s="16">
        <x:v>0</x:v>
      </x:c>
      <x:c r="AF254" s="2" t="s">
        <x:v>51</x:v>
      </x:c>
    </x:row>
    <x:row r="255">
      <x:c r="A255" s="4" t="s">
        <x:v>782</x:v>
      </x:c>
      <x:c r="B255" s="4" t="s">
        <x:v>783</x:v>
      </x:c>
      <x:c r="C255" s="4" t="s">
        <x:v>784</x:v>
      </x:c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22">
        <x:v>0</x:v>
      </x:c>
      <x:c r="R255" s="22">
        <x:v>0</x:v>
      </x:c>
      <x:c r="S255" s="22">
        <x:v>0</x:v>
      </x:c>
      <x:c r="T255" s="22">
        <x:v>0</x:v>
      </x:c>
      <x:c r="U255" s="22">
        <x:v>0</x:v>
      </x:c>
      <x:c r="V255" s="22">
        <x:v>0</x:v>
      </x:c>
      <x:c r="W255" s="22">
        <x:v>0</x:v>
      </x:c>
      <x:c r="X255" s="22">
        <x:v>0</x:v>
      </x:c>
      <x:c r="Y255" s="22">
        <x:v>0</x:v>
      </x:c>
      <x:c r="Z255" s="22">
        <x:v>0</x:v>
      </x:c>
      <x:c r="AA255" s="22">
        <x:v>0</x:v>
      </x:c>
      <x:c r="AB255" s="22">
        <x:v>0</x:v>
      </x:c>
      <x:c r="AC255" s="16">
        <x:v>0</x:v>
      </x:c>
      <x:c r="AF255" s="2" t="s">
        <x:v>51</x:v>
      </x:c>
    </x:row>
    <x:row r="256">
      <x:c r="A256" s="4" t="s">
        <x:v>785</x:v>
      </x:c>
      <x:c r="B256" s="4" t="s">
        <x:v>786</x:v>
      </x:c>
      <x:c r="C256" s="4" t="s">
        <x:v>787</x:v>
      </x:c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22">
        <x:v>0</x:v>
      </x:c>
      <x:c r="R256" s="22">
        <x:v>0</x:v>
      </x:c>
      <x:c r="S256" s="22">
        <x:v>0</x:v>
      </x:c>
      <x:c r="T256" s="22">
        <x:v>0</x:v>
      </x:c>
      <x:c r="U256" s="22">
        <x:v>0</x:v>
      </x:c>
      <x:c r="V256" s="22">
        <x:v>0</x:v>
      </x:c>
      <x:c r="W256" s="22">
        <x:v>0</x:v>
      </x:c>
      <x:c r="X256" s="22">
        <x:v>0</x:v>
      </x:c>
      <x:c r="Y256" s="22">
        <x:v>0</x:v>
      </x:c>
      <x:c r="Z256" s="22">
        <x:v>0</x:v>
      </x:c>
      <x:c r="AA256" s="22">
        <x:v>0</x:v>
      </x:c>
      <x:c r="AB256" s="22">
        <x:v>0</x:v>
      </x:c>
      <x:c r="AC256" s="16">
        <x:v>0</x:v>
      </x:c>
      <x:c r="AF256" s="2" t="s">
        <x:v>35</x:v>
      </x:c>
    </x:row>
    <x:row r="257">
      <x:c r="A257" s="4" t="s">
        <x:v>788</x:v>
      </x:c>
      <x:c r="B257" s="4" t="s">
        <x:v>789</x:v>
      </x:c>
      <x:c r="C257" s="4" t="s">
        <x:v>790</x:v>
      </x:c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22">
        <x:v>0</x:v>
      </x:c>
      <x:c r="R257" s="22">
        <x:v>0</x:v>
      </x:c>
      <x:c r="S257" s="22">
        <x:v>0</x:v>
      </x:c>
      <x:c r="T257" s="22">
        <x:v>0</x:v>
      </x:c>
      <x:c r="U257" s="22">
        <x:v>0</x:v>
      </x:c>
      <x:c r="V257" s="22">
        <x:v>0</x:v>
      </x:c>
      <x:c r="W257" s="22">
        <x:v>0</x:v>
      </x:c>
      <x:c r="X257" s="22">
        <x:v>0</x:v>
      </x:c>
      <x:c r="Y257" s="22">
        <x:v>0</x:v>
      </x:c>
      <x:c r="Z257" s="22">
        <x:v>0</x:v>
      </x:c>
      <x:c r="AA257" s="22">
        <x:v>0</x:v>
      </x:c>
      <x:c r="AB257" s="22">
        <x:v>0</x:v>
      </x:c>
      <x:c r="AC257" s="16">
        <x:v>0</x:v>
      </x:c>
      <x:c r="AF257" s="2" t="s">
        <x:v>51</x:v>
      </x:c>
    </x:row>
    <x:row r="258">
      <x:c r="A258" s="4" t="s">
        <x:v>791</x:v>
      </x:c>
      <x:c r="B258" s="4" t="s">
        <x:v>792</x:v>
      </x:c>
      <x:c r="C258" s="4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22">
        <x:v>0</x:v>
      </x:c>
      <x:c r="R258" s="22">
        <x:v>0</x:v>
      </x:c>
      <x:c r="S258" s="22">
        <x:v>0</x:v>
      </x:c>
      <x:c r="T258" s="22">
        <x:v>0</x:v>
      </x:c>
      <x:c r="U258" s="22">
        <x:v>0</x:v>
      </x:c>
      <x:c r="V258" s="22">
        <x:v>0</x:v>
      </x:c>
      <x:c r="W258" s="22">
        <x:v>0</x:v>
      </x:c>
      <x:c r="X258" s="22">
        <x:v>0</x:v>
      </x:c>
      <x:c r="Y258" s="22">
        <x:v>0</x:v>
      </x:c>
      <x:c r="Z258" s="22">
        <x:v>0</x:v>
      </x:c>
      <x:c r="AA258" s="22">
        <x:v>0</x:v>
      </x:c>
      <x:c r="AB258" s="22">
        <x:v>0</x:v>
      </x:c>
      <x:c r="AC258" s="16">
        <x:v>0</x:v>
      </x:c>
      <x:c r="AF258" s="2" t="s">
        <x:v>35</x:v>
      </x:c>
    </x:row>
    <x:row r="259">
      <x:c r="A259" s="25" t="s">
        <x:v>793</x:v>
      </x:c>
      <x:c r="B259" s="4" t="s">
        <x:v>794</x:v>
      </x:c>
      <x:c r="C259" s="4" t="s">
        <x:v>795</x:v>
      </x:c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22">
        <x:v>0</x:v>
      </x:c>
      <x:c r="R259" s="22">
        <x:v>0</x:v>
      </x:c>
      <x:c r="S259" s="22">
        <x:v>0</x:v>
      </x:c>
      <x:c r="T259" s="22">
        <x:v>0</x:v>
      </x:c>
      <x:c r="U259" s="22">
        <x:v>0</x:v>
      </x:c>
      <x:c r="V259" s="22">
        <x:v>0</x:v>
      </x:c>
      <x:c r="W259" s="22">
        <x:v>0</x:v>
      </x:c>
      <x:c r="X259" s="22">
        <x:v>0</x:v>
      </x:c>
      <x:c r="Y259" s="22">
        <x:v>0</x:v>
      </x:c>
      <x:c r="Z259" s="22">
        <x:v>0</x:v>
      </x:c>
      <x:c r="AA259" s="22">
        <x:v>0</x:v>
      </x:c>
      <x:c r="AB259" s="22">
        <x:v>0</x:v>
      </x:c>
      <x:c r="AC259" s="16">
        <x:v>0</x:v>
      </x:c>
      <x:c r="AF259" s="2" t="s">
        <x:v>51</x:v>
      </x:c>
    </x:row>
    <x:row r="260">
      <x:c r="A260" s="4" t="s">
        <x:v>796</x:v>
      </x:c>
      <x:c r="B260" s="4" t="s">
        <x:v>797</x:v>
      </x:c>
      <x:c r="C260" s="4" t="s">
        <x:v>798</x:v>
      </x:c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22">
        <x:v>0</x:v>
      </x:c>
      <x:c r="R260" s="22">
        <x:v>0</x:v>
      </x:c>
      <x:c r="S260" s="22">
        <x:v>0</x:v>
      </x:c>
      <x:c r="T260" s="22">
        <x:v>0</x:v>
      </x:c>
      <x:c r="U260" s="22">
        <x:v>0</x:v>
      </x:c>
      <x:c r="V260" s="22">
        <x:v>0</x:v>
      </x:c>
      <x:c r="W260" s="22">
        <x:v>0</x:v>
      </x:c>
      <x:c r="X260" s="22">
        <x:v>0</x:v>
      </x:c>
      <x:c r="Y260" s="22">
        <x:v>0</x:v>
      </x:c>
      <x:c r="Z260" s="22">
        <x:v>0</x:v>
      </x:c>
      <x:c r="AA260" s="22">
        <x:v>0</x:v>
      </x:c>
      <x:c r="AB260" s="22">
        <x:v>0</x:v>
      </x:c>
      <x:c r="AC260" s="16">
        <x:v>0</x:v>
      </x:c>
      <x:c r="AF260" s="2" t="s">
        <x:v>51</x:v>
      </x:c>
    </x:row>
    <x:row r="261">
      <x:c r="A261" s="4" t="s">
        <x:v>799</x:v>
      </x:c>
      <x:c r="B261" s="4" t="s">
        <x:v>800</x:v>
      </x:c>
      <x:c r="C261" s="4" t="s">
        <x:v>801</x:v>
      </x:c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22">
        <x:v>0</x:v>
      </x:c>
      <x:c r="R261" s="22">
        <x:v>0</x:v>
      </x:c>
      <x:c r="S261" s="22">
        <x:v>0</x:v>
      </x:c>
      <x:c r="T261" s="22">
        <x:v>0</x:v>
      </x:c>
      <x:c r="U261" s="22">
        <x:v>0</x:v>
      </x:c>
      <x:c r="V261" s="22">
        <x:v>0</x:v>
      </x:c>
      <x:c r="W261" s="22">
        <x:v>0</x:v>
      </x:c>
      <x:c r="X261" s="22">
        <x:v>0</x:v>
      </x:c>
      <x:c r="Y261" s="22">
        <x:v>0</x:v>
      </x:c>
      <x:c r="Z261" s="22">
        <x:v>0</x:v>
      </x:c>
      <x:c r="AA261" s="22">
        <x:v>0</x:v>
      </x:c>
      <x:c r="AB261" s="22">
        <x:v>0</x:v>
      </x:c>
      <x:c r="AC261" s="16">
        <x:v>0</x:v>
      </x:c>
      <x:c r="AF261" s="2" t="s">
        <x:v>51</x:v>
      </x:c>
    </x:row>
    <x:row r="262">
      <x:c r="A262" s="4" t="s">
        <x:v>802</x:v>
      </x:c>
      <x:c r="B262" s="4" t="s">
        <x:v>803</x:v>
      </x:c>
      <x:c r="C262" s="4" t="s">
        <x:v>804</x:v>
      </x:c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22">
        <x:v>0</x:v>
      </x:c>
      <x:c r="R262" s="22">
        <x:v>0</x:v>
      </x:c>
      <x:c r="S262" s="22">
        <x:v>0</x:v>
      </x:c>
      <x:c r="T262" s="22">
        <x:v>0</x:v>
      </x:c>
      <x:c r="U262" s="22">
        <x:v>0</x:v>
      </x:c>
      <x:c r="V262" s="22">
        <x:v>0</x:v>
      </x:c>
      <x:c r="W262" s="22">
        <x:v>0</x:v>
      </x:c>
      <x:c r="X262" s="22">
        <x:v>0</x:v>
      </x:c>
      <x:c r="Y262" s="22">
        <x:v>0</x:v>
      </x:c>
      <x:c r="Z262" s="22">
        <x:v>0</x:v>
      </x:c>
      <x:c r="AA262" s="22">
        <x:v>0</x:v>
      </x:c>
      <x:c r="AB262" s="22">
        <x:v>0</x:v>
      </x:c>
      <x:c r="AC262" s="16">
        <x:v>0</x:v>
      </x:c>
      <x:c r="AF262" s="2" t="s">
        <x:v>51</x:v>
      </x:c>
    </x:row>
    <x:row r="263">
      <x:c r="A263" s="4" t="s">
        <x:v>805</x:v>
      </x:c>
      <x:c r="B263" s="4" t="s">
        <x:v>806</x:v>
      </x:c>
      <x:c r="C263" s="4" t="s">
        <x:v>807</x:v>
      </x:c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22">
        <x:v>0</x:v>
      </x:c>
      <x:c r="R263" s="22">
        <x:v>0</x:v>
      </x:c>
      <x:c r="S263" s="22">
        <x:v>0</x:v>
      </x:c>
      <x:c r="T263" s="22">
        <x:v>0</x:v>
      </x:c>
      <x:c r="U263" s="22">
        <x:v>0</x:v>
      </x:c>
      <x:c r="V263" s="22">
        <x:v>0</x:v>
      </x:c>
      <x:c r="W263" s="22">
        <x:v>0</x:v>
      </x:c>
      <x:c r="X263" s="22">
        <x:v>0</x:v>
      </x:c>
      <x:c r="Y263" s="22">
        <x:v>0</x:v>
      </x:c>
      <x:c r="Z263" s="22">
        <x:v>0</x:v>
      </x:c>
      <x:c r="AA263" s="22">
        <x:v>0</x:v>
      </x:c>
      <x:c r="AB263" s="22">
        <x:v>0</x:v>
      </x:c>
      <x:c r="AC263" s="16">
        <x:v>0</x:v>
      </x:c>
      <x:c r="AF263" s="2" t="s">
        <x:v>51</x:v>
      </x:c>
    </x:row>
    <x:row r="264">
      <x:c r="A264" s="4" t="s">
        <x:v>808</x:v>
      </x:c>
      <x:c r="B264" s="4" t="s">
        <x:v>809</x:v>
      </x:c>
      <x:c r="C264" s="4" t="s">
        <x:v>810</x:v>
      </x:c>
      <x:c r="D264" s="8">
        <x:v>97</x:v>
      </x:c>
      <x:c r="E264" s="8">
        <x:v>93</x:v>
      </x:c>
      <x:c r="F264" s="8">
        <x:v>82</x:v>
      </x:c>
      <x:c r="G264" s="8">
        <x:v>107</x:v>
      </x:c>
      <x:c r="H264" s="8">
        <x:v>56</x:v>
      </x:c>
      <x:c r="I264" s="8">
        <x:v>50</x:v>
      </x:c>
      <x:c r="J264" s="8">
        <x:v>33</x:v>
      </x:c>
      <x:c r="K264" s="8">
        <x:v>51</x:v>
      </x:c>
      <x:c r="L264" s="8">
        <x:v>94</x:v>
      </x:c>
      <x:c r="M264" s="8">
        <x:v>103</x:v>
      </x:c>
      <x:c r="N264" s="8">
        <x:v>74</x:v>
      </x:c>
      <x:c r="O264" s="8">
        <x:v>112</x:v>
      </x:c>
      <x:c r="P264" s="8">
        <x:v>28</x:v>
      </x:c>
      <x:c r="Q264" s="10">
        <x:v>3.129</x:v>
      </x:c>
      <x:c r="R264" s="10">
        <x:v>3</x:v>
      </x:c>
      <x:c r="S264" s="10">
        <x:v>2.3768</x:v>
      </x:c>
      <x:c r="T264" s="10">
        <x:v>3.4516</x:v>
      </x:c>
      <x:c r="U264" s="10">
        <x:v>1.8667</x:v>
      </x:c>
      <x:c r="V264" s="10">
        <x:v>1.6129</x:v>
      </x:c>
      <x:c r="W264" s="10">
        <x:v>1.3306</x:v>
      </x:c>
      <x:c r="X264" s="10">
        <x:v>2.1429</x:v>
      </x:c>
      <x:c r="Y264" s="10">
        <x:v>2.7566</x:v>
      </x:c>
      <x:c r="Z264" s="10">
        <x:v>3.8148</x:v>
      </x:c>
      <x:c r="AA264" s="10">
        <x:v>2.2734</x:v>
      </x:c>
      <x:c r="AB264" s="10">
        <x:v>3.2464</x:v>
      </x:c>
      <x:c r="AC264" s="13">
        <x:v>0.9032</x:v>
      </x:c>
      <x:c r="AD264" s="10">
        <x:v>2.5835</x:v>
      </x:c>
      <x:c r="AE264" s="10">
        <x:v>2.5835</x:v>
      </x:c>
      <x:c r="AF264" s="2" t="s">
        <x:v>35</x:v>
      </x:c>
    </x:row>
    <x:row r="265">
      <x:c r="A265" s="4" t="s">
        <x:v>811</x:v>
      </x:c>
      <x:c r="B265" s="4" t="s">
        <x:v>812</x:v>
      </x:c>
      <x:c r="C265" s="4" t="s">
        <x:v>813</x:v>
      </x:c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22">
        <x:v>0</x:v>
      </x:c>
      <x:c r="R265" s="22">
        <x:v>0</x:v>
      </x:c>
      <x:c r="S265" s="22">
        <x:v>0</x:v>
      </x:c>
      <x:c r="T265" s="22">
        <x:v>0</x:v>
      </x:c>
      <x:c r="U265" s="22">
        <x:v>0</x:v>
      </x:c>
      <x:c r="V265" s="22">
        <x:v>0</x:v>
      </x:c>
      <x:c r="W265" s="22">
        <x:v>0</x:v>
      </x:c>
      <x:c r="X265" s="22">
        <x:v>0</x:v>
      </x:c>
      <x:c r="Y265" s="22">
        <x:v>0</x:v>
      </x:c>
      <x:c r="Z265" s="22">
        <x:v>0</x:v>
      </x:c>
      <x:c r="AA265" s="22">
        <x:v>0</x:v>
      </x:c>
      <x:c r="AB265" s="22">
        <x:v>0</x:v>
      </x:c>
      <x:c r="AC265" s="16">
        <x:v>0</x:v>
      </x:c>
      <x:c r="AF265" s="2" t="s">
        <x:v>51</x:v>
      </x:c>
    </x:row>
    <x:row r="266">
      <x:c r="A266" s="4" t="s">
        <x:v>814</x:v>
      </x:c>
      <x:c r="B266" s="4" t="s">
        <x:v>815</x:v>
      </x:c>
      <x:c r="C266" s="4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22">
        <x:v>0</x:v>
      </x:c>
      <x:c r="R266" s="22">
        <x:v>0</x:v>
      </x:c>
      <x:c r="S266" s="22">
        <x:v>0</x:v>
      </x:c>
      <x:c r="T266" s="22">
        <x:v>0</x:v>
      </x:c>
      <x:c r="U266" s="22">
        <x:v>0</x:v>
      </x:c>
      <x:c r="V266" s="22">
        <x:v>0</x:v>
      </x:c>
      <x:c r="W266" s="22">
        <x:v>0</x:v>
      </x:c>
      <x:c r="X266" s="22">
        <x:v>0</x:v>
      </x:c>
      <x:c r="Y266" s="22">
        <x:v>0</x:v>
      </x:c>
      <x:c r="Z266" s="22">
        <x:v>0</x:v>
      </x:c>
      <x:c r="AA266" s="22">
        <x:v>0</x:v>
      </x:c>
      <x:c r="AB266" s="22">
        <x:v>0</x:v>
      </x:c>
      <x:c r="AC266" s="16">
        <x:v>0</x:v>
      </x:c>
      <x:c r="AF266" s="2" t="s">
        <x:v>51</x:v>
      </x:c>
    </x:row>
    <x:row r="267">
      <x:c r="A267" s="4" t="s">
        <x:v>816</x:v>
      </x:c>
      <x:c r="B267" s="4" t="s">
        <x:v>817</x:v>
      </x:c>
      <x:c r="C267" s="4" t="s">
        <x:v>818</x:v>
      </x:c>
      <x:c r="D267" s="8">
        <x:v>8</x:v>
      </x:c>
      <x:c r="E267" s="6"/>
      <x:c r="F267" s="8">
        <x:v>24</x:v>
      </x:c>
      <x:c r="G267" s="8">
        <x:v>39</x:v>
      </x:c>
      <x:c r="H267" s="8">
        <x:v>17</x:v>
      </x:c>
      <x:c r="I267" s="8">
        <x:v>32</x:v>
      </x:c>
      <x:c r="J267" s="8">
        <x:v>6</x:v>
      </x:c>
      <x:c r="K267" s="8">
        <x:v>35</x:v>
      </x:c>
      <x:c r="L267" s="8">
        <x:v>2</x:v>
      </x:c>
      <x:c r="M267" s="8">
        <x:v>3</x:v>
      </x:c>
      <x:c r="N267" s="8">
        <x:v>47</x:v>
      </x:c>
      <x:c r="O267" s="8">
        <x:v>5</x:v>
      </x:c>
      <x:c r="P267" s="8">
        <x:v>3</x:v>
      </x:c>
      <x:c r="Q267" s="10">
        <x:v>0.2581</x:v>
      </x:c>
      <x:c r="R267" s="10">
        <x:v>0</x:v>
      </x:c>
      <x:c r="S267" s="10">
        <x:v>0.6957</x:v>
      </x:c>
      <x:c r="T267" s="10">
        <x:v>1.2581</x:v>
      </x:c>
      <x:c r="U267" s="10">
        <x:v>0.5667</x:v>
      </x:c>
      <x:c r="V267" s="10">
        <x:v>1.0323</x:v>
      </x:c>
      <x:c r="W267" s="10">
        <x:v>0.2419</x:v>
      </x:c>
      <x:c r="X267" s="19">
        <x:v>2.4221</x:v>
      </x:c>
      <x:c r="Y267" s="22">
        <x:v>0</x:v>
      </x:c>
      <x:c r="Z267" s="19">
        <x:v>0.1587</x:v>
      </x:c>
      <x:c r="AA267" s="10">
        <x:v>1.4439</x:v>
      </x:c>
      <x:c r="AB267" s="10">
        <x:v>0.1449</x:v>
      </x:c>
      <x:c r="AC267" s="13">
        <x:v>0.0968</x:v>
      </x:c>
      <x:c r="AD267" s="10">
        <x:v>0.6268</x:v>
      </x:c>
      <x:c r="AE267" s="10">
        <x:v>0.6268</x:v>
      </x:c>
      <x:c r="AF267" s="2" t="s">
        <x:v>35</x:v>
      </x:c>
    </x:row>
    <x:row r="268">
      <x:c r="A268" s="4" t="s">
        <x:v>819</x:v>
      </x:c>
      <x:c r="B268" s="4" t="s">
        <x:v>820</x:v>
      </x:c>
      <x:c r="C268" s="4" t="s">
        <x:v>344</x:v>
      </x:c>
      <x:c r="D268" s="8">
        <x:v>242</x:v>
      </x:c>
      <x:c r="E268" s="8">
        <x:v>274</x:v>
      </x:c>
      <x:c r="F268" s="8">
        <x:v>309</x:v>
      </x:c>
      <x:c r="G268" s="8">
        <x:v>280</x:v>
      </x:c>
      <x:c r="H268" s="8">
        <x:v>241</x:v>
      </x:c>
      <x:c r="I268" s="8">
        <x:v>235</x:v>
      </x:c>
      <x:c r="J268" s="8">
        <x:v>215</x:v>
      </x:c>
      <x:c r="K268" s="8">
        <x:v>247</x:v>
      </x:c>
      <x:c r="L268" s="8">
        <x:v>352</x:v>
      </x:c>
      <x:c r="M268" s="8">
        <x:v>261</x:v>
      </x:c>
      <x:c r="N268" s="8">
        <x:v>329</x:v>
      </x:c>
      <x:c r="O268" s="8">
        <x:v>278</x:v>
      </x:c>
      <x:c r="P268" s="8">
        <x:v>176</x:v>
      </x:c>
      <x:c r="Q268" s="10">
        <x:v>7.8065</x:v>
      </x:c>
      <x:c r="R268" s="10">
        <x:v>8.8387</x:v>
      </x:c>
      <x:c r="S268" s="10">
        <x:v>8.9565</x:v>
      </x:c>
      <x:c r="T268" s="10">
        <x:v>9.0323</x:v>
      </x:c>
      <x:c r="U268" s="10">
        <x:v>8.0333</x:v>
      </x:c>
      <x:c r="V268" s="10">
        <x:v>7.5806</x:v>
      </x:c>
      <x:c r="W268" s="10">
        <x:v>8.6694</x:v>
      </x:c>
      <x:c r="X268" s="10">
        <x:v>10.3782</x:v>
      </x:c>
      <x:c r="Y268" s="10">
        <x:v>10.3226</x:v>
      </x:c>
      <x:c r="Z268" s="10">
        <x:v>9.6667</x:v>
      </x:c>
      <x:c r="AA268" s="10">
        <x:v>10.1075</x:v>
      </x:c>
      <x:c r="AB268" s="10">
        <x:v>8.058</x:v>
      </x:c>
      <x:c r="AC268" s="13">
        <x:v>5.6774</x:v>
      </x:c>
      <x:c r="AD268" s="10">
        <x:v>8.9542</x:v>
      </x:c>
      <x:c r="AE268" s="10">
        <x:v>8.9542</x:v>
      </x:c>
      <x:c r="AF268" s="2" t="s">
        <x:v>35</x:v>
      </x:c>
    </x:row>
    <x:row r="269">
      <x:c r="A269" s="4" t="s">
        <x:v>821</x:v>
      </x:c>
      <x:c r="B269" s="4" t="s">
        <x:v>822</x:v>
      </x:c>
      <x:c r="C269" s="4" t="s">
        <x:v>394</x:v>
      </x:c>
      <x:c r="D269" s="8">
        <x:v>142</x:v>
      </x:c>
      <x:c r="E269" s="8">
        <x:v>71</x:v>
      </x:c>
      <x:c r="F269" s="8">
        <x:v>48</x:v>
      </x:c>
      <x:c r="G269" s="8">
        <x:v>77</x:v>
      </x:c>
      <x:c r="H269" s="8">
        <x:v>41</x:v>
      </x:c>
      <x:c r="I269" s="8">
        <x:v>97</x:v>
      </x:c>
      <x:c r="J269" s="8">
        <x:v>55</x:v>
      </x:c>
      <x:c r="K269" s="8">
        <x:v>62</x:v>
      </x:c>
      <x:c r="L269" s="8">
        <x:v>56</x:v>
      </x:c>
      <x:c r="M269" s="8">
        <x:v>62</x:v>
      </x:c>
      <x:c r="N269" s="8">
        <x:v>79</x:v>
      </x:c>
      <x:c r="O269" s="8">
        <x:v>36</x:v>
      </x:c>
      <x:c r="P269" s="8">
        <x:v>101</x:v>
      </x:c>
      <x:c r="Q269" s="10">
        <x:v>4.5806</x:v>
      </x:c>
      <x:c r="R269" s="10">
        <x:v>2.2903</x:v>
      </x:c>
      <x:c r="S269" s="10">
        <x:v>1.3913</x:v>
      </x:c>
      <x:c r="T269" s="10">
        <x:v>2.4839</x:v>
      </x:c>
      <x:c r="U269" s="10">
        <x:v>1.3667</x:v>
      </x:c>
      <x:c r="V269" s="10">
        <x:v>3.129</x:v>
      </x:c>
      <x:c r="W269" s="10">
        <x:v>2.2177</x:v>
      </x:c>
      <x:c r="X269" s="10">
        <x:v>2.605</x:v>
      </x:c>
      <x:c r="Y269" s="10">
        <x:v>1.6422</x:v>
      </x:c>
      <x:c r="Z269" s="10">
        <x:v>2.2963</x:v>
      </x:c>
      <x:c r="AA269" s="10">
        <x:v>2.427</x:v>
      </x:c>
      <x:c r="AB269" s="10">
        <x:v>1.0435</x:v>
      </x:c>
      <x:c r="AC269" s="13">
        <x:v>3.2581</x:v>
      </x:c>
      <x:c r="AD269" s="10">
        <x:v>2.2895</x:v>
      </x:c>
      <x:c r="AE269" s="10">
        <x:v>2.2895</x:v>
      </x:c>
      <x:c r="AF269" s="2" t="s">
        <x:v>35</x:v>
      </x:c>
    </x:row>
    <x:row r="270">
      <x:c r="A270" s="4" t="s">
        <x:v>823</x:v>
      </x:c>
      <x:c r="B270" s="4" t="s">
        <x:v>824</x:v>
      </x:c>
      <x:c r="C270" s="4" t="s">
        <x:v>347</x:v>
      </x:c>
      <x:c r="D270" s="8">
        <x:v>96</x:v>
      </x:c>
      <x:c r="E270" s="8">
        <x:v>58</x:v>
      </x:c>
      <x:c r="F270" s="8">
        <x:v>64</x:v>
      </x:c>
      <x:c r="G270" s="8">
        <x:v>28</x:v>
      </x:c>
      <x:c r="H270" s="8">
        <x:v>35</x:v>
      </x:c>
      <x:c r="I270" s="8">
        <x:v>86</x:v>
      </x:c>
      <x:c r="J270" s="8">
        <x:v>18</x:v>
      </x:c>
      <x:c r="K270" s="8">
        <x:v>26</x:v>
      </x:c>
      <x:c r="L270" s="8">
        <x:v>94</x:v>
      </x:c>
      <x:c r="M270" s="8">
        <x:v>65</x:v>
      </x:c>
      <x:c r="N270" s="8">
        <x:v>73</x:v>
      </x:c>
      <x:c r="O270" s="8">
        <x:v>78</x:v>
      </x:c>
      <x:c r="P270" s="8">
        <x:v>97</x:v>
      </x:c>
      <x:c r="Q270" s="10">
        <x:v>3.0968</x:v>
      </x:c>
      <x:c r="R270" s="10">
        <x:v>1.871</x:v>
      </x:c>
      <x:c r="S270" s="10">
        <x:v>1.8551</x:v>
      </x:c>
      <x:c r="T270" s="10">
        <x:v>0.9032</x:v>
      </x:c>
      <x:c r="U270" s="10">
        <x:v>1.1667</x:v>
      </x:c>
      <x:c r="V270" s="10">
        <x:v>2.7742</x:v>
      </x:c>
      <x:c r="W270" s="10">
        <x:v>0.7258</x:v>
      </x:c>
      <x:c r="X270" s="10">
        <x:v>1.0924</x:v>
      </x:c>
      <x:c r="Y270" s="10">
        <x:v>2.7566</x:v>
      </x:c>
      <x:c r="Z270" s="10">
        <x:v>2.4074</x:v>
      </x:c>
      <x:c r="AA270" s="10">
        <x:v>2.2427</x:v>
      </x:c>
      <x:c r="AB270" s="10">
        <x:v>2.2609</x:v>
      </x:c>
      <x:c r="AC270" s="13">
        <x:v>3.129</x:v>
      </x:c>
      <x:c r="AD270" s="10">
        <x:v>1.9294</x:v>
      </x:c>
      <x:c r="AE270" s="10">
        <x:v>1.9294</x:v>
      </x:c>
      <x:c r="AF270" s="2" t="s">
        <x:v>35</x:v>
      </x:c>
    </x:row>
    <x:row r="271">
      <x:c r="A271" s="4" t="s">
        <x:v>825</x:v>
      </x:c>
      <x:c r="B271" s="4" t="s">
        <x:v>826</x:v>
      </x:c>
      <x:c r="C271" s="4" t="s">
        <x:v>382</x:v>
      </x:c>
      <x:c r="D271" s="8">
        <x:v>20</x:v>
      </x:c>
      <x:c r="E271" s="8">
        <x:v>7</x:v>
      </x:c>
      <x:c r="F271" s="8">
        <x:v>25</x:v>
      </x:c>
      <x:c r="G271" s="8">
        <x:v>24</x:v>
      </x:c>
      <x:c r="H271" s="8">
        <x:v>2</x:v>
      </x:c>
      <x:c r="I271" s="8">
        <x:v>16</x:v>
      </x:c>
      <x:c r="J271" s="8">
        <x:v>10</x:v>
      </x:c>
      <x:c r="K271" s="8">
        <x:v>36</x:v>
      </x:c>
      <x:c r="L271" s="8">
        <x:v>19</x:v>
      </x:c>
      <x:c r="M271" s="8">
        <x:v>27</x:v>
      </x:c>
      <x:c r="N271" s="8">
        <x:v>24</x:v>
      </x:c>
      <x:c r="O271" s="8">
        <x:v>18</x:v>
      </x:c>
      <x:c r="P271" s="8">
        <x:v>5</x:v>
      </x:c>
      <x:c r="Q271" s="10">
        <x:v>0.6452</x:v>
      </x:c>
      <x:c r="R271" s="10">
        <x:v>0.2258</x:v>
      </x:c>
      <x:c r="S271" s="10">
        <x:v>0.7246</x:v>
      </x:c>
      <x:c r="T271" s="10">
        <x:v>0.7742</x:v>
      </x:c>
      <x:c r="U271" s="10">
        <x:v>0.0667</x:v>
      </x:c>
      <x:c r="V271" s="10">
        <x:v>0.5161</x:v>
      </x:c>
      <x:c r="W271" s="10">
        <x:v>0.4032</x:v>
      </x:c>
      <x:c r="X271" s="10">
        <x:v>1.5126</x:v>
      </x:c>
      <x:c r="Y271" s="10">
        <x:v>0.5572</x:v>
      </x:c>
      <x:c r="Z271" s="10">
        <x:v>1</x:v>
      </x:c>
      <x:c r="AA271" s="10">
        <x:v>0.7373</x:v>
      </x:c>
      <x:c r="AB271" s="10">
        <x:v>0.5217</x:v>
      </x:c>
      <x:c r="AC271" s="13">
        <x:v>0.1613</x:v>
      </x:c>
      <x:c r="AD271" s="10">
        <x:v>0.6404</x:v>
      </x:c>
      <x:c r="AE271" s="10">
        <x:v>0.6404</x:v>
      </x:c>
      <x:c r="AF271" s="2" t="s">
        <x:v>35</x:v>
      </x:c>
    </x:row>
    <x:row r="272">
      <x:c r="A272" s="4" t="s">
        <x:v>827</x:v>
      </x:c>
      <x:c r="B272" s="4" t="s">
        <x:v>828</x:v>
      </x:c>
      <x:c r="C272" s="4" t="s">
        <x:v>829</x:v>
      </x:c>
      <x:c r="D272" s="8">
        <x:v>3</x:v>
      </x:c>
      <x:c r="E272" s="8">
        <x:v>5</x:v>
      </x:c>
      <x:c r="F272" s="8">
        <x:v>7</x:v>
      </x:c>
      <x:c r="G272" s="8">
        <x:v>2</x:v>
      </x:c>
      <x:c r="H272" s="8">
        <x:v>9</x:v>
      </x:c>
      <x:c r="I272" s="8">
        <x:v>4</x:v>
      </x:c>
      <x:c r="J272" s="8">
        <x:v>7</x:v>
      </x:c>
      <x:c r="K272" s="8">
        <x:v>5</x:v>
      </x:c>
      <x:c r="L272" s="6"/>
      <x:c r="M272" s="8">
        <x:v>3</x:v>
      </x:c>
      <x:c r="N272" s="8">
        <x:v>3</x:v>
      </x:c>
      <x:c r="O272" s="8">
        <x:v>1</x:v>
      </x:c>
      <x:c r="P272" s="8">
        <x:v>15</x:v>
      </x:c>
      <x:c r="Q272" s="19">
        <x:v>0.2727</x:v>
      </x:c>
      <x:c r="R272" s="10">
        <x:v>0.1613</x:v>
      </x:c>
      <x:c r="S272" s="10">
        <x:v>0.2029</x:v>
      </x:c>
      <x:c r="T272" s="10">
        <x:v>0.0645</x:v>
      </x:c>
      <x:c r="U272" s="10">
        <x:v>0.3</x:v>
      </x:c>
      <x:c r="V272" s="10">
        <x:v>0.129</x:v>
      </x:c>
      <x:c r="W272" s="10">
        <x:v>0.2823</x:v>
      </x:c>
      <x:c r="X272" s="19">
        <x:v>0.346</x:v>
      </x:c>
      <x:c r="Y272" s="19">
        <x:v>0</x:v>
      </x:c>
      <x:c r="Z272" s="19">
        <x:v>0.5556</x:v>
      </x:c>
      <x:c r="AA272" s="19">
        <x:v>0.0952</x:v>
      </x:c>
      <x:c r="AB272" s="10">
        <x:v>0.029</x:v>
      </x:c>
      <x:c r="AC272" s="16">
        <x:v>0.5769</x:v>
      </x:c>
      <x:c r="AD272" s="10">
        <x:v>0.167</x:v>
      </x:c>
      <x:c r="AE272" s="10">
        <x:v>0.167</x:v>
      </x:c>
      <x:c r="AF272" s="2" t="s">
        <x:v>35</x:v>
      </x:c>
    </x:row>
    <x:row r="273">
      <x:c r="A273" s="4" t="s">
        <x:v>830</x:v>
      </x:c>
      <x:c r="B273" s="4" t="s">
        <x:v>831</x:v>
      </x:c>
      <x:c r="C273" s="4" t="s">
        <x:v>832</x:v>
      </x:c>
      <x:c r="D273" s="6"/>
      <x:c r="E273" s="6"/>
      <x:c r="F273" s="6"/>
      <x:c r="G273" s="6"/>
      <x:c r="H273" s="6"/>
      <x:c r="I273" s="6"/>
      <x:c r="J273" s="6"/>
      <x:c r="K273" s="6"/>
      <x:c r="L273" s="8">
        <x:v>2</x:v>
      </x:c>
      <x:c r="M273" s="6"/>
      <x:c r="N273" s="8">
        <x:v>2</x:v>
      </x:c>
      <x:c r="O273" s="6"/>
      <x:c r="P273" s="6"/>
      <x:c r="Q273" s="22">
        <x:v>0</x:v>
      </x:c>
      <x:c r="R273" s="22">
        <x:v>0</x:v>
      </x:c>
      <x:c r="S273" s="22">
        <x:v>0</x:v>
      </x:c>
      <x:c r="T273" s="22">
        <x:v>0</x:v>
      </x:c>
      <x:c r="U273" s="22">
        <x:v>0</x:v>
      </x:c>
      <x:c r="V273" s="22">
        <x:v>0</x:v>
      </x:c>
      <x:c r="W273" s="22">
        <x:v>0</x:v>
      </x:c>
      <x:c r="X273" s="22">
        <x:v>0</x:v>
      </x:c>
      <x:c r="Y273" s="22">
        <x:v>0</x:v>
      </x:c>
      <x:c r="Z273" s="22">
        <x:v>0</x:v>
      </x:c>
      <x:c r="AA273" s="22">
        <x:v>0</x:v>
      </x:c>
      <x:c r="AB273" s="22">
        <x:v>0</x:v>
      </x:c>
      <x:c r="AC273" s="16">
        <x:v>0</x:v>
      </x:c>
      <x:c r="AF273" s="2" t="s">
        <x:v>35</x:v>
      </x:c>
    </x:row>
    <x:row r="274">
      <x:c r="A274" s="4" t="s">
        <x:v>833</x:v>
      </x:c>
      <x:c r="B274" s="4" t="s">
        <x:v>834</x:v>
      </x:c>
      <x:c r="C274" s="4" t="s">
        <x:v>835</x:v>
      </x:c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8">
        <x:v>3</x:v>
      </x:c>
      <x:c r="O274" s="6"/>
      <x:c r="P274" s="8">
        <x:v>1</x:v>
      </x:c>
      <x:c r="Q274" s="22">
        <x:v>0</x:v>
      </x:c>
      <x:c r="R274" s="22">
        <x:v>0</x:v>
      </x:c>
      <x:c r="S274" s="22">
        <x:v>0</x:v>
      </x:c>
      <x:c r="T274" s="22">
        <x:v>0</x:v>
      </x:c>
      <x:c r="U274" s="22">
        <x:v>0</x:v>
      </x:c>
      <x:c r="V274" s="22">
        <x:v>0</x:v>
      </x:c>
      <x:c r="W274" s="22">
        <x:v>0</x:v>
      </x:c>
      <x:c r="X274" s="22">
        <x:v>0</x:v>
      </x:c>
      <x:c r="Y274" s="22">
        <x:v>0</x:v>
      </x:c>
      <x:c r="Z274" s="22">
        <x:v>0</x:v>
      </x:c>
      <x:c r="AA274" s="22">
        <x:v>0</x:v>
      </x:c>
      <x:c r="AB274" s="22">
        <x:v>0</x:v>
      </x:c>
      <x:c r="AC274" s="16">
        <x:v>1</x:v>
      </x:c>
      <x:c r="AF274" s="2" t="s">
        <x:v>35</x:v>
      </x:c>
    </x:row>
    <x:row r="275">
      <x:c r="A275" s="4" t="s">
        <x:v>836</x:v>
      </x:c>
      <x:c r="B275" s="4" t="s">
        <x:v>837</x:v>
      </x:c>
      <x:c r="C275" s="4" t="s">
        <x:v>838</x:v>
      </x:c>
      <x:c r="D275" s="8">
        <x:v>4</x:v>
      </x:c>
      <x:c r="E275" s="8">
        <x:v>4</x:v>
      </x:c>
      <x:c r="F275" s="8">
        <x:v>3</x:v>
      </x:c>
      <x:c r="G275" s="8">
        <x:v>2</x:v>
      </x:c>
      <x:c r="H275" s="8">
        <x:v>3</x:v>
      </x:c>
      <x:c r="I275" s="8">
        <x:v>10</x:v>
      </x:c>
      <x:c r="J275" s="8">
        <x:v>1</x:v>
      </x:c>
      <x:c r="K275" s="8">
        <x:v>3</x:v>
      </x:c>
      <x:c r="L275" s="8">
        <x:v>4</x:v>
      </x:c>
      <x:c r="M275" s="8">
        <x:v>4</x:v>
      </x:c>
      <x:c r="N275" s="6"/>
      <x:c r="O275" s="8">
        <x:v>1</x:v>
      </x:c>
      <x:c r="P275" s="8">
        <x:v>5</x:v>
      </x:c>
      <x:c r="Q275" s="10">
        <x:v>0.129</x:v>
      </x:c>
      <x:c r="R275" s="10">
        <x:v>0.129</x:v>
      </x:c>
      <x:c r="S275" s="10">
        <x:v>0.087</x:v>
      </x:c>
      <x:c r="T275" s="10">
        <x:v>0.0645</x:v>
      </x:c>
      <x:c r="U275" s="10">
        <x:v>0.1</x:v>
      </x:c>
      <x:c r="V275" s="10">
        <x:v>0.3226</x:v>
      </x:c>
      <x:c r="W275" s="10">
        <x:v>0.0403</x:v>
      </x:c>
      <x:c r="X275" s="10">
        <x:v>0.1261</x:v>
      </x:c>
      <x:c r="Y275" s="10">
        <x:v>0.1173</x:v>
      </x:c>
      <x:c r="Z275" s="10">
        <x:v>0.1481</x:v>
      </x:c>
      <x:c r="AA275" s="10">
        <x:v>0</x:v>
      </x:c>
      <x:c r="AB275" s="10">
        <x:v>0.029</x:v>
      </x:c>
      <x:c r="AC275" s="13">
        <x:v>0.1613</x:v>
      </x:c>
      <x:c r="AD275" s="10">
        <x:v>0.1077</x:v>
      </x:c>
      <x:c r="AE275" s="10">
        <x:v>0.1077</x:v>
      </x:c>
      <x:c r="AF275" s="2" t="s">
        <x:v>35</x:v>
      </x:c>
    </x:row>
    <x:row r="276">
      <x:c r="A276" s="4" t="s">
        <x:v>839</x:v>
      </x:c>
      <x:c r="B276" s="4" t="s">
        <x:v>840</x:v>
      </x:c>
      <x:c r="C276" s="4" t="s">
        <x:v>841</x:v>
      </x:c>
      <x:c r="D276" s="8">
        <x:v>249</x:v>
      </x:c>
      <x:c r="E276" s="8">
        <x:v>282</x:v>
      </x:c>
      <x:c r="F276" s="8">
        <x:v>232</x:v>
      </x:c>
      <x:c r="G276" s="8">
        <x:v>224</x:v>
      </x:c>
      <x:c r="H276" s="8">
        <x:v>310</x:v>
      </x:c>
      <x:c r="I276" s="8">
        <x:v>121</x:v>
      </x:c>
      <x:c r="J276" s="8">
        <x:v>141</x:v>
      </x:c>
      <x:c r="K276" s="8">
        <x:v>137</x:v>
      </x:c>
      <x:c r="L276" s="8">
        <x:v>221</x:v>
      </x:c>
      <x:c r="M276" s="8">
        <x:v>175</x:v>
      </x:c>
      <x:c r="N276" s="8">
        <x:v>207</x:v>
      </x:c>
      <x:c r="O276" s="8">
        <x:v>164</x:v>
      </x:c>
      <x:c r="P276" s="8">
        <x:v>49</x:v>
      </x:c>
      <x:c r="Q276" s="10">
        <x:v>8.0323</x:v>
      </x:c>
      <x:c r="R276" s="10">
        <x:v>9.0968</x:v>
      </x:c>
      <x:c r="S276" s="10">
        <x:v>6.7246</x:v>
      </x:c>
      <x:c r="T276" s="10">
        <x:v>7.2258</x:v>
      </x:c>
      <x:c r="U276" s="10">
        <x:v>10.3333</x:v>
      </x:c>
      <x:c r="V276" s="10">
        <x:v>3.9032</x:v>
      </x:c>
      <x:c r="W276" s="10">
        <x:v>5.6855</x:v>
      </x:c>
      <x:c r="X276" s="10">
        <x:v>5.7563</x:v>
      </x:c>
      <x:c r="Y276" s="10">
        <x:v>6.4809</x:v>
      </x:c>
      <x:c r="Z276" s="10">
        <x:v>6.4815</x:v>
      </x:c>
      <x:c r="AA276" s="10">
        <x:v>6.3594</x:v>
      </x:c>
      <x:c r="AB276" s="10">
        <x:v>4.7536</x:v>
      </x:c>
      <x:c r="AC276" s="13">
        <x:v>1.5806</x:v>
      </x:c>
      <x:c r="AD276" s="10">
        <x:v>6.7361</x:v>
      </x:c>
      <x:c r="AE276" s="10">
        <x:v>6.7361</x:v>
      </x:c>
      <x:c r="AF276" s="2" t="s">
        <x:v>35</x:v>
      </x:c>
    </x:row>
    <x:row r="277">
      <x:c r="A277" s="4" t="s">
        <x:v>842</x:v>
      </x:c>
      <x:c r="B277" s="4" t="s">
        <x:v>843</x:v>
      </x:c>
      <x:c r="C277" s="4" t="s">
        <x:v>844</x:v>
      </x:c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22">
        <x:v>0</x:v>
      </x:c>
      <x:c r="R277" s="22">
        <x:v>0</x:v>
      </x:c>
      <x:c r="S277" s="22">
        <x:v>0</x:v>
      </x:c>
      <x:c r="T277" s="22">
        <x:v>0</x:v>
      </x:c>
      <x:c r="U277" s="22">
        <x:v>0</x:v>
      </x:c>
      <x:c r="V277" s="22">
        <x:v>0</x:v>
      </x:c>
      <x:c r="W277" s="22">
        <x:v>0</x:v>
      </x:c>
      <x:c r="X277" s="22">
        <x:v>0</x:v>
      </x:c>
      <x:c r="Y277" s="22">
        <x:v>0</x:v>
      </x:c>
      <x:c r="Z277" s="22">
        <x:v>0</x:v>
      </x:c>
      <x:c r="AA277" s="22">
        <x:v>0</x:v>
      </x:c>
      <x:c r="AB277" s="22">
        <x:v>0</x:v>
      </x:c>
      <x:c r="AC277" s="16">
        <x:v>0</x:v>
      </x:c>
      <x:c r="AF277" s="2" t="s">
        <x:v>51</x:v>
      </x:c>
    </x:row>
    <x:row r="278">
      <x:c r="A278" s="4" t="s">
        <x:v>845</x:v>
      </x:c>
      <x:c r="B278" s="4" t="s">
        <x:v>846</x:v>
      </x:c>
      <x:c r="C278" s="4" t="s">
        <x:v>847</x:v>
      </x:c>
      <x:c r="D278" s="8">
        <x:v>3</x:v>
      </x:c>
      <x:c r="E278" s="8">
        <x:v>10</x:v>
      </x:c>
      <x:c r="F278" s="8">
        <x:v>10</x:v>
      </x:c>
      <x:c r="G278" s="8">
        <x:v>10</x:v>
      </x:c>
      <x:c r="H278" s="8">
        <x:v>2</x:v>
      </x:c>
      <x:c r="I278" s="8">
        <x:v>16</x:v>
      </x:c>
      <x:c r="J278" s="8">
        <x:v>7</x:v>
      </x:c>
      <x:c r="K278" s="8">
        <x:v>8</x:v>
      </x:c>
      <x:c r="L278" s="6"/>
      <x:c r="M278" s="8">
        <x:v>3</x:v>
      </x:c>
      <x:c r="N278" s="8">
        <x:v>4</x:v>
      </x:c>
      <x:c r="O278" s="8">
        <x:v>3</x:v>
      </x:c>
      <x:c r="P278" s="8">
        <x:v>2</x:v>
      </x:c>
      <x:c r="Q278" s="10">
        <x:v>0.0968</x:v>
      </x:c>
      <x:c r="R278" s="10">
        <x:v>0.3226</x:v>
      </x:c>
      <x:c r="S278" s="10">
        <x:v>0.2899</x:v>
      </x:c>
      <x:c r="T278" s="10">
        <x:v>0.3226</x:v>
      </x:c>
      <x:c r="U278" s="10">
        <x:v>0.0667</x:v>
      </x:c>
      <x:c r="V278" s="19">
        <x:v>1.6</x:v>
      </x:c>
      <x:c r="W278" s="19">
        <x:v>0.3125</x:v>
      </x:c>
      <x:c r="X278" s="10">
        <x:v>0.3361</x:v>
      </x:c>
      <x:c r="Y278" s="10">
        <x:v>0</x:v>
      </x:c>
      <x:c r="Z278" s="10">
        <x:v>0.1111</x:v>
      </x:c>
      <x:c r="AA278" s="10">
        <x:v>0.1229</x:v>
      </x:c>
      <x:c r="AB278" s="10">
        <x:v>0.087</x:v>
      </x:c>
      <x:c r="AC278" s="13">
        <x:v>0.0645</x:v>
      </x:c>
      <x:c r="AD278" s="10">
        <x:v>0.1756</x:v>
      </x:c>
      <x:c r="AE278" s="10">
        <x:v>0.1756</x:v>
      </x:c>
      <x:c r="AF278" s="2" t="s">
        <x:v>35</x:v>
      </x:c>
    </x:row>
    <x:row r="279">
      <x:c r="A279" s="4" t="s">
        <x:v>848</x:v>
      </x:c>
      <x:c r="B279" s="4" t="s">
        <x:v>849</x:v>
      </x:c>
      <x:c r="C279" s="4" t="s">
        <x:v>850</x:v>
      </x:c>
      <x:c r="D279" s="8">
        <x:v>8</x:v>
      </x:c>
      <x:c r="E279" s="8">
        <x:v>15</x:v>
      </x:c>
      <x:c r="F279" s="8">
        <x:v>6</x:v>
      </x:c>
      <x:c r="G279" s="8">
        <x:v>9</x:v>
      </x:c>
      <x:c r="H279" s="8">
        <x:v>12</x:v>
      </x:c>
      <x:c r="I279" s="8">
        <x:v>1</x:v>
      </x:c>
      <x:c r="J279" s="8">
        <x:v>26</x:v>
      </x:c>
      <x:c r="K279" s="8">
        <x:v>10</x:v>
      </x:c>
      <x:c r="L279" s="8">
        <x:v>5</x:v>
      </x:c>
      <x:c r="M279" s="8">
        <x:v>7</x:v>
      </x:c>
      <x:c r="N279" s="8">
        <x:v>25</x:v>
      </x:c>
      <x:c r="O279" s="8">
        <x:v>14</x:v>
      </x:c>
      <x:c r="P279" s="8">
        <x:v>13</x:v>
      </x:c>
      <x:c r="Q279" s="10">
        <x:v>0.2581</x:v>
      </x:c>
      <x:c r="R279" s="10">
        <x:v>0.4839</x:v>
      </x:c>
      <x:c r="S279" s="10">
        <x:v>0.1739</x:v>
      </x:c>
      <x:c r="T279" s="10">
        <x:v>0.2903</x:v>
      </x:c>
      <x:c r="U279" s="10">
        <x:v>0.4</x:v>
      </x:c>
      <x:c r="V279" s="10">
        <x:v>0.0323</x:v>
      </x:c>
      <x:c r="W279" s="10">
        <x:v>1.0484</x:v>
      </x:c>
      <x:c r="X279" s="10">
        <x:v>0.4202</x:v>
      </x:c>
      <x:c r="Y279" s="10">
        <x:v>0.1466</x:v>
      </x:c>
      <x:c r="Z279" s="10">
        <x:v>0.2593</x:v>
      </x:c>
      <x:c r="AA279" s="10">
        <x:v>0.768</x:v>
      </x:c>
      <x:c r="AB279" s="10">
        <x:v>0.4058</x:v>
      </x:c>
      <x:c r="AC279" s="13">
        <x:v>0.4194</x:v>
      </x:c>
      <x:c r="AD279" s="10">
        <x:v>0.3906</x:v>
      </x:c>
      <x:c r="AE279" s="10">
        <x:v>0.3906</x:v>
      </x:c>
      <x:c r="AF279" s="2" t="s">
        <x:v>35</x:v>
      </x:c>
    </x:row>
    <x:row r="280">
      <x:c r="A280" s="4" t="s">
        <x:v>851</x:v>
      </x:c>
      <x:c r="B280" s="4" t="s">
        <x:v>852</x:v>
      </x:c>
      <x:c r="C280" s="4" t="s">
        <x:v>853</x:v>
      </x:c>
      <x:c r="D280" s="8">
        <x:v>2</x:v>
      </x:c>
      <x:c r="E280" s="6"/>
      <x:c r="F280" s="8">
        <x:v>2</x:v>
      </x:c>
      <x:c r="G280" s="6"/>
      <x:c r="H280" s="8">
        <x:v>5</x:v>
      </x:c>
      <x:c r="I280" s="8">
        <x:v>2</x:v>
      </x:c>
      <x:c r="J280" s="6"/>
      <x:c r="K280" s="6"/>
      <x:c r="L280" s="6"/>
      <x:c r="M280" s="8">
        <x:v>1</x:v>
      </x:c>
      <x:c r="N280" s="8">
        <x:v>5</x:v>
      </x:c>
      <x:c r="O280" s="6"/>
      <x:c r="P280" s="6"/>
      <x:c r="Q280" s="10">
        <x:v>0.0645</x:v>
      </x:c>
      <x:c r="R280" s="10">
        <x:v>0</x:v>
      </x:c>
      <x:c r="S280" s="10">
        <x:v>0.058</x:v>
      </x:c>
      <x:c r="T280" s="10">
        <x:v>0</x:v>
      </x:c>
      <x:c r="U280" s="10">
        <x:v>0.1667</x:v>
      </x:c>
      <x:c r="V280" s="10">
        <x:v>0.0645</x:v>
      </x:c>
      <x:c r="W280" s="10">
        <x:v>0</x:v>
      </x:c>
      <x:c r="X280" s="10">
        <x:v>0</x:v>
      </x:c>
      <x:c r="Y280" s="10">
        <x:v>0</x:v>
      </x:c>
      <x:c r="Z280" s="10">
        <x:v>0.037</x:v>
      </x:c>
      <x:c r="AA280" s="10">
        <x:v>0.1536</x:v>
      </x:c>
      <x:c r="AB280" s="10">
        <x:v>0</x:v>
      </x:c>
      <x:c r="AC280" s="13">
        <x:v>0</x:v>
      </x:c>
      <x:c r="AD280" s="10">
        <x:v>0.0454</x:v>
      </x:c>
      <x:c r="AE280" s="10">
        <x:v>0.0454</x:v>
      </x:c>
      <x:c r="AF280" s="2" t="s">
        <x:v>35</x:v>
      </x:c>
    </x:row>
    <x:row r="281">
      <x:c r="A281" s="4" t="s">
        <x:v>854</x:v>
      </x:c>
      <x:c r="B281" s="4" t="s">
        <x:v>855</x:v>
      </x:c>
      <x:c r="C281" s="4" t="s">
        <x:v>856</x:v>
      </x:c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22">
        <x:v>0</x:v>
      </x:c>
      <x:c r="R281" s="22">
        <x:v>0</x:v>
      </x:c>
      <x:c r="S281" s="22">
        <x:v>0</x:v>
      </x:c>
      <x:c r="T281" s="22">
        <x:v>0</x:v>
      </x:c>
      <x:c r="U281" s="22">
        <x:v>0</x:v>
      </x:c>
      <x:c r="V281" s="22">
        <x:v>0</x:v>
      </x:c>
      <x:c r="W281" s="22">
        <x:v>0</x:v>
      </x:c>
      <x:c r="X281" s="22">
        <x:v>0</x:v>
      </x:c>
      <x:c r="Y281" s="22">
        <x:v>0</x:v>
      </x:c>
      <x:c r="Z281" s="22">
        <x:v>0</x:v>
      </x:c>
      <x:c r="AA281" s="22">
        <x:v>0</x:v>
      </x:c>
      <x:c r="AB281" s="22">
        <x:v>0</x:v>
      </x:c>
      <x:c r="AC281" s="16">
        <x:v>0</x:v>
      </x:c>
      <x:c r="AF281" s="2" t="s">
        <x:v>51</x:v>
      </x:c>
    </x:row>
    <x:row r="282">
      <x:c r="A282" s="4" t="s">
        <x:v>857</x:v>
      </x:c>
      <x:c r="B282" s="4" t="s">
        <x:v>858</x:v>
      </x:c>
      <x:c r="C282" s="4" t="s">
        <x:v>859</x:v>
      </x:c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22">
        <x:v>0</x:v>
      </x:c>
      <x:c r="R282" s="22">
        <x:v>0</x:v>
      </x:c>
      <x:c r="S282" s="22">
        <x:v>0</x:v>
      </x:c>
      <x:c r="T282" s="22">
        <x:v>0</x:v>
      </x:c>
      <x:c r="U282" s="22">
        <x:v>0</x:v>
      </x:c>
      <x:c r="V282" s="22">
        <x:v>0</x:v>
      </x:c>
      <x:c r="W282" s="22">
        <x:v>0</x:v>
      </x:c>
      <x:c r="X282" s="22">
        <x:v>0</x:v>
      </x:c>
      <x:c r="Y282" s="22">
        <x:v>0</x:v>
      </x:c>
      <x:c r="Z282" s="22">
        <x:v>0</x:v>
      </x:c>
      <x:c r="AA282" s="22">
        <x:v>0</x:v>
      </x:c>
      <x:c r="AB282" s="22">
        <x:v>0</x:v>
      </x:c>
      <x:c r="AC282" s="16">
        <x:v>0</x:v>
      </x:c>
      <x:c r="AF282" s="2" t="s">
        <x:v>51</x:v>
      </x:c>
    </x:row>
    <x:row r="283">
      <x:c r="A283" s="4" t="s">
        <x:v>860</x:v>
      </x:c>
      <x:c r="B283" s="4" t="s">
        <x:v>861</x:v>
      </x:c>
      <x:c r="C283" s="4" t="s">
        <x:v>862</x:v>
      </x:c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22">
        <x:v>0</x:v>
      </x:c>
      <x:c r="R283" s="22">
        <x:v>0</x:v>
      </x:c>
      <x:c r="S283" s="22">
        <x:v>0</x:v>
      </x:c>
      <x:c r="T283" s="22">
        <x:v>0</x:v>
      </x:c>
      <x:c r="U283" s="22">
        <x:v>0</x:v>
      </x:c>
      <x:c r="V283" s="22">
        <x:v>0</x:v>
      </x:c>
      <x:c r="W283" s="22">
        <x:v>0</x:v>
      </x:c>
      <x:c r="X283" s="22">
        <x:v>0</x:v>
      </x:c>
      <x:c r="Y283" s="22">
        <x:v>0</x:v>
      </x:c>
      <x:c r="Z283" s="22">
        <x:v>0</x:v>
      </x:c>
      <x:c r="AA283" s="22">
        <x:v>0</x:v>
      </x:c>
      <x:c r="AB283" s="22">
        <x:v>0</x:v>
      </x:c>
      <x:c r="AC283" s="16">
        <x:v>0</x:v>
      </x:c>
      <x:c r="AF283" s="2" t="s">
        <x:v>51</x:v>
      </x:c>
    </x:row>
    <x:row r="284">
      <x:c r="A284" s="4" t="s">
        <x:v>863</x:v>
      </x:c>
      <x:c r="B284" s="4" t="s">
        <x:v>864</x:v>
      </x:c>
      <x:c r="C284" s="4" t="s">
        <x:v>865</x:v>
      </x:c>
      <x:c r="D284" s="6"/>
      <x:c r="E284" s="8">
        <x:v>1</x:v>
      </x:c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10">
        <x:v>0</x:v>
      </x:c>
      <x:c r="R284" s="10">
        <x:v>0.0323</x:v>
      </x:c>
      <x:c r="S284" s="10">
        <x:v>0</x:v>
      </x:c>
      <x:c r="T284" s="10">
        <x:v>0</x:v>
      </x:c>
      <x:c r="U284" s="10">
        <x:v>0</x:v>
      </x:c>
      <x:c r="V284" s="10">
        <x:v>0</x:v>
      </x:c>
      <x:c r="W284" s="10">
        <x:v>0</x:v>
      </x:c>
      <x:c r="X284" s="10">
        <x:v>0</x:v>
      </x:c>
      <x:c r="Y284" s="10">
        <x:v>0</x:v>
      </x:c>
      <x:c r="Z284" s="10">
        <x:v>0</x:v>
      </x:c>
      <x:c r="AA284" s="10">
        <x:v>0</x:v>
      </x:c>
      <x:c r="AB284" s="10">
        <x:v>0</x:v>
      </x:c>
      <x:c r="AC284" s="13">
        <x:v>0</x:v>
      </x:c>
      <x:c r="AD284" s="10">
        <x:v>0.0027</x:v>
      </x:c>
      <x:c r="AE284" s="10">
        <x:v>0.0027</x:v>
      </x:c>
      <x:c r="AF284" s="2" t="s">
        <x:v>35</x:v>
      </x:c>
    </x:row>
    <x:row r="285">
      <x:c r="A285" s="4" t="s">
        <x:v>866</x:v>
      </x:c>
      <x:c r="B285" s="4" t="s">
        <x:v>867</x:v>
      </x:c>
      <x:c r="C285" s="4" t="s">
        <x:v>868</x:v>
      </x:c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22">
        <x:v>0</x:v>
      </x:c>
      <x:c r="R285" s="22">
        <x:v>0</x:v>
      </x:c>
      <x:c r="S285" s="22">
        <x:v>0</x:v>
      </x:c>
      <x:c r="T285" s="22">
        <x:v>0</x:v>
      </x:c>
      <x:c r="U285" s="22">
        <x:v>0</x:v>
      </x:c>
      <x:c r="V285" s="22">
        <x:v>0</x:v>
      </x:c>
      <x:c r="W285" s="22">
        <x:v>0</x:v>
      </x:c>
      <x:c r="X285" s="22">
        <x:v>0</x:v>
      </x:c>
      <x:c r="Y285" s="22">
        <x:v>0</x:v>
      </x:c>
      <x:c r="Z285" s="22">
        <x:v>0</x:v>
      </x:c>
      <x:c r="AA285" s="22">
        <x:v>0</x:v>
      </x:c>
      <x:c r="AB285" s="22">
        <x:v>0</x:v>
      </x:c>
      <x:c r="AC285" s="16">
        <x:v>0</x:v>
      </x:c>
      <x:c r="AF285" s="2" t="s">
        <x:v>51</x:v>
      </x:c>
    </x:row>
    <x:row r="286">
      <x:c r="A286" s="4" t="s">
        <x:v>869</x:v>
      </x:c>
      <x:c r="B286" s="4" t="s">
        <x:v>870</x:v>
      </x:c>
      <x:c r="C286" s="4" t="s">
        <x:v>871</x:v>
      </x:c>
      <x:c r="D286" s="6"/>
      <x:c r="E286" s="8">
        <x:v>5</x:v>
      </x:c>
      <x:c r="F286" s="8">
        <x:v>4</x:v>
      </x:c>
      <x:c r="G286" s="8">
        <x:v>1</x:v>
      </x:c>
      <x:c r="H286" s="6"/>
      <x:c r="I286" s="8">
        <x:v>2</x:v>
      </x:c>
      <x:c r="J286" s="8">
        <x:v>2</x:v>
      </x:c>
      <x:c r="K286" s="6"/>
      <x:c r="L286" s="6"/>
      <x:c r="M286" s="8">
        <x:v>2</x:v>
      </x:c>
      <x:c r="N286" s="6"/>
      <x:c r="O286" s="8">
        <x:v>1</x:v>
      </x:c>
      <x:c r="P286" s="6"/>
      <x:c r="Q286" s="10">
        <x:v>0</x:v>
      </x:c>
      <x:c r="R286" s="10">
        <x:v>0.1613</x:v>
      </x:c>
      <x:c r="S286" s="10">
        <x:v>0.1159</x:v>
      </x:c>
      <x:c r="T286" s="10">
        <x:v>0.0323</x:v>
      </x:c>
      <x:c r="U286" s="10">
        <x:v>0</x:v>
      </x:c>
      <x:c r="V286" s="10">
        <x:v>0.0645</x:v>
      </x:c>
      <x:c r="W286" s="10">
        <x:v>0.0806</x:v>
      </x:c>
      <x:c r="X286" s="10">
        <x:v>0</x:v>
      </x:c>
      <x:c r="Y286" s="10">
        <x:v>0</x:v>
      </x:c>
      <x:c r="Z286" s="10">
        <x:v>0.0741</x:v>
      </x:c>
      <x:c r="AA286" s="10">
        <x:v>0</x:v>
      </x:c>
      <x:c r="AB286" s="10">
        <x:v>0.029</x:v>
      </x:c>
      <x:c r="AC286" s="13">
        <x:v>0</x:v>
      </x:c>
      <x:c r="AD286" s="10">
        <x:v>0.0465</x:v>
      </x:c>
      <x:c r="AE286" s="10">
        <x:v>0.0465</x:v>
      </x:c>
      <x:c r="AF286" s="2" t="s">
        <x:v>35</x:v>
      </x:c>
    </x:row>
    <x:row r="287">
      <x:c r="A287" s="4" t="s">
        <x:v>872</x:v>
      </x:c>
      <x:c r="B287" s="4" t="s">
        <x:v>873</x:v>
      </x:c>
      <x:c r="C287" s="4" t="s">
        <x:v>874</x:v>
      </x:c>
      <x:c r="D287" s="8">
        <x:v>84</x:v>
      </x:c>
      <x:c r="E287" s="8">
        <x:v>76</x:v>
      </x:c>
      <x:c r="F287" s="8">
        <x:v>65</x:v>
      </x:c>
      <x:c r="G287" s="8">
        <x:v>106</x:v>
      </x:c>
      <x:c r="H287" s="8">
        <x:v>75</x:v>
      </x:c>
      <x:c r="I287" s="8">
        <x:v>46</x:v>
      </x:c>
      <x:c r="J287" s="8">
        <x:v>32</x:v>
      </x:c>
      <x:c r="K287" s="8">
        <x:v>9</x:v>
      </x:c>
      <x:c r="L287" s="8">
        <x:v>57</x:v>
      </x:c>
      <x:c r="M287" s="8">
        <x:v>15</x:v>
      </x:c>
      <x:c r="N287" s="8">
        <x:v>15</x:v>
      </x:c>
      <x:c r="O287" s="8">
        <x:v>3</x:v>
      </x:c>
      <x:c r="P287" s="8">
        <x:v>25</x:v>
      </x:c>
      <x:c r="Q287" s="10">
        <x:v>2.7097</x:v>
      </x:c>
      <x:c r="R287" s="10">
        <x:v>2.4516</x:v>
      </x:c>
      <x:c r="S287" s="10">
        <x:v>1.8841</x:v>
      </x:c>
      <x:c r="T287" s="10">
        <x:v>3.4194</x:v>
      </x:c>
      <x:c r="U287" s="10">
        <x:v>2.5</x:v>
      </x:c>
      <x:c r="V287" s="10">
        <x:v>1.4839</x:v>
      </x:c>
      <x:c r="W287" s="10">
        <x:v>1.2903</x:v>
      </x:c>
      <x:c r="X287" s="10">
        <x:v>0.3782</x:v>
      </x:c>
      <x:c r="Y287" s="10">
        <x:v>1.6716</x:v>
      </x:c>
      <x:c r="Z287" s="10">
        <x:v>0.5556</x:v>
      </x:c>
      <x:c r="AA287" s="10">
        <x:v>0.4608</x:v>
      </x:c>
      <x:c r="AB287" s="10">
        <x:v>0.087</x:v>
      </x:c>
      <x:c r="AC287" s="13">
        <x:v>0.8065</x:v>
      </x:c>
      <x:c r="AD287" s="10">
        <x:v>1.5744</x:v>
      </x:c>
      <x:c r="AE287" s="10">
        <x:v>1.5744</x:v>
      </x:c>
      <x:c r="AF287" s="2" t="s">
        <x:v>35</x:v>
      </x:c>
    </x:row>
    <x:row r="288">
      <x:c r="A288" s="4" t="s">
        <x:v>875</x:v>
      </x:c>
      <x:c r="B288" s="4" t="s">
        <x:v>876</x:v>
      </x:c>
      <x:c r="C288" s="4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22">
        <x:v>0</x:v>
      </x:c>
      <x:c r="R288" s="22">
        <x:v>0</x:v>
      </x:c>
      <x:c r="S288" s="22">
        <x:v>0</x:v>
      </x:c>
      <x:c r="T288" s="22">
        <x:v>0</x:v>
      </x:c>
      <x:c r="U288" s="22">
        <x:v>0</x:v>
      </x:c>
      <x:c r="V288" s="22">
        <x:v>0</x:v>
      </x:c>
      <x:c r="W288" s="22">
        <x:v>0</x:v>
      </x:c>
      <x:c r="X288" s="22">
        <x:v>0</x:v>
      </x:c>
      <x:c r="Y288" s="22">
        <x:v>0</x:v>
      </x:c>
      <x:c r="Z288" s="22">
        <x:v>0</x:v>
      </x:c>
      <x:c r="AA288" s="22">
        <x:v>0</x:v>
      </x:c>
      <x:c r="AB288" s="22">
        <x:v>0</x:v>
      </x:c>
      <x:c r="AC288" s="16">
        <x:v>0</x:v>
      </x:c>
      <x:c r="AF288" s="2" t="s">
        <x:v>35</x:v>
      </x:c>
    </x:row>
    <x:row r="289">
      <x:c r="A289" s="4" t="s">
        <x:v>877</x:v>
      </x:c>
      <x:c r="B289" s="4" t="s">
        <x:v>878</x:v>
      </x:c>
      <x:c r="C289" s="4" t="s">
        <x:v>879</x:v>
      </x:c>
      <x:c r="D289" s="6"/>
      <x:c r="E289" s="8">
        <x:v>1</x:v>
      </x:c>
      <x:c r="F289" s="6"/>
      <x:c r="G289" s="6"/>
      <x:c r="H289" s="6"/>
      <x:c r="I289" s="6"/>
      <x:c r="J289" s="6"/>
      <x:c r="K289" s="8">
        <x:v>1</x:v>
      </x:c>
      <x:c r="L289" s="6"/>
      <x:c r="M289" s="6"/>
      <x:c r="N289" s="6"/>
      <x:c r="O289" s="6"/>
      <x:c r="P289" s="6"/>
      <x:c r="Q289" s="22">
        <x:v>0</x:v>
      </x:c>
      <x:c r="R289" s="22">
        <x:v>0</x:v>
      </x:c>
      <x:c r="S289" s="22">
        <x:v>0</x:v>
      </x:c>
      <x:c r="T289" s="22">
        <x:v>0</x:v>
      </x:c>
      <x:c r="U289" s="22">
        <x:v>0</x:v>
      </x:c>
      <x:c r="V289" s="22">
        <x:v>0</x:v>
      </x:c>
      <x:c r="W289" s="22">
        <x:v>0</x:v>
      </x:c>
      <x:c r="X289" s="22">
        <x:v>0</x:v>
      </x:c>
      <x:c r="Y289" s="22">
        <x:v>0</x:v>
      </x:c>
      <x:c r="Z289" s="22">
        <x:v>0</x:v>
      </x:c>
      <x:c r="AA289" s="22">
        <x:v>0</x:v>
      </x:c>
      <x:c r="AB289" s="22">
        <x:v>0</x:v>
      </x:c>
      <x:c r="AC289" s="16">
        <x:v>0</x:v>
      </x:c>
      <x:c r="AF289" s="2" t="s">
        <x:v>35</x:v>
      </x:c>
    </x:row>
    <x:row r="290">
      <x:c r="A290" s="4" t="s">
        <x:v>880</x:v>
      </x:c>
      <x:c r="B290" s="4" t="s">
        <x:v>881</x:v>
      </x:c>
      <x:c r="C290" s="4" t="s">
        <x:v>882</x:v>
      </x:c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22">
        <x:v>0</x:v>
      </x:c>
      <x:c r="R290" s="22">
        <x:v>0</x:v>
      </x:c>
      <x:c r="S290" s="22">
        <x:v>0</x:v>
      </x:c>
      <x:c r="T290" s="22">
        <x:v>0</x:v>
      </x:c>
      <x:c r="U290" s="22">
        <x:v>0</x:v>
      </x:c>
      <x:c r="V290" s="22">
        <x:v>0</x:v>
      </x:c>
      <x:c r="W290" s="22">
        <x:v>0</x:v>
      </x:c>
      <x:c r="X290" s="22">
        <x:v>0</x:v>
      </x:c>
      <x:c r="Y290" s="22">
        <x:v>0</x:v>
      </x:c>
      <x:c r="Z290" s="22">
        <x:v>0</x:v>
      </x:c>
      <x:c r="AA290" s="22">
        <x:v>0</x:v>
      </x:c>
      <x:c r="AB290" s="22">
        <x:v>0</x:v>
      </x:c>
      <x:c r="AC290" s="16">
        <x:v>0</x:v>
      </x:c>
      <x:c r="AF290" s="2" t="s">
        <x:v>51</x:v>
      </x:c>
    </x:row>
    <x:row r="291">
      <x:c r="A291" s="4" t="s">
        <x:v>883</x:v>
      </x:c>
      <x:c r="B291" s="4" t="s">
        <x:v>884</x:v>
      </x:c>
      <x:c r="C291" s="4" t="s">
        <x:v>885</x:v>
      </x:c>
      <x:c r="D291" s="6"/>
      <x:c r="E291" s="6"/>
      <x:c r="F291" s="8">
        <x:v>1</x:v>
      </x:c>
      <x:c r="G291" s="6"/>
      <x:c r="H291" s="6"/>
      <x:c r="I291" s="8">
        <x:v>2</x:v>
      </x:c>
      <x:c r="J291" s="6"/>
      <x:c r="K291" s="6"/>
      <x:c r="L291" s="8">
        <x:v>2</x:v>
      </x:c>
      <x:c r="M291" s="6"/>
      <x:c r="N291" s="6"/>
      <x:c r="O291" s="6"/>
      <x:c r="P291" s="6"/>
      <x:c r="Q291" s="10">
        <x:v>0</x:v>
      </x:c>
      <x:c r="R291" s="10">
        <x:v>0</x:v>
      </x:c>
      <x:c r="S291" s="10">
        <x:v>0.029</x:v>
      </x:c>
      <x:c r="T291" s="10">
        <x:v>0</x:v>
      </x:c>
      <x:c r="U291" s="10">
        <x:v>0</x:v>
      </x:c>
      <x:c r="V291" s="10">
        <x:v>0.0645</x:v>
      </x:c>
      <x:c r="W291" s="10">
        <x:v>0</x:v>
      </x:c>
      <x:c r="X291" s="10">
        <x:v>0</x:v>
      </x:c>
      <x:c r="Y291" s="10">
        <x:v>0.0587</x:v>
      </x:c>
      <x:c r="Z291" s="10">
        <x:v>0</x:v>
      </x:c>
      <x:c r="AA291" s="10">
        <x:v>0</x:v>
      </x:c>
      <x:c r="AB291" s="10">
        <x:v>0</x:v>
      </x:c>
      <x:c r="AC291" s="13">
        <x:v>0</x:v>
      </x:c>
      <x:c r="AD291" s="10">
        <x:v>0.0127</x:v>
      </x:c>
      <x:c r="AE291" s="10">
        <x:v>0.0127</x:v>
      </x:c>
      <x:c r="AF291" s="2" t="s">
        <x:v>35</x:v>
      </x:c>
    </x:row>
    <x:row r="292">
      <x:c r="A292" s="4" t="s">
        <x:v>886</x:v>
      </x:c>
      <x:c r="B292" s="4" t="s">
        <x:v>887</x:v>
      </x:c>
      <x:c r="C292" s="4" t="s">
        <x:v>888</x:v>
      </x:c>
      <x:c r="D292" s="8">
        <x:v>14</x:v>
      </x:c>
      <x:c r="E292" s="8">
        <x:v>6</x:v>
      </x:c>
      <x:c r="F292" s="8">
        <x:v>6</x:v>
      </x:c>
      <x:c r="G292" s="8">
        <x:v>10</x:v>
      </x:c>
      <x:c r="H292" s="8">
        <x:v>5</x:v>
      </x:c>
      <x:c r="I292" s="8">
        <x:v>3</x:v>
      </x:c>
      <x:c r="J292" s="8">
        <x:v>1</x:v>
      </x:c>
      <x:c r="K292" s="8">
        <x:v>4</x:v>
      </x:c>
      <x:c r="L292" s="8">
        <x:v>2</x:v>
      </x:c>
      <x:c r="M292" s="8">
        <x:v>4</x:v>
      </x:c>
      <x:c r="N292" s="8">
        <x:v>5</x:v>
      </x:c>
      <x:c r="O292" s="8">
        <x:v>2</x:v>
      </x:c>
      <x:c r="P292" s="8">
        <x:v>8</x:v>
      </x:c>
      <x:c r="Q292" s="10">
        <x:v>0.4516</x:v>
      </x:c>
      <x:c r="R292" s="10">
        <x:v>0.1935</x:v>
      </x:c>
      <x:c r="S292" s="10">
        <x:v>0.1739</x:v>
      </x:c>
      <x:c r="T292" s="10">
        <x:v>0.3226</x:v>
      </x:c>
      <x:c r="U292" s="10">
        <x:v>0.1667</x:v>
      </x:c>
      <x:c r="V292" s="10">
        <x:v>0.0968</x:v>
      </x:c>
      <x:c r="W292" s="10">
        <x:v>0.0403</x:v>
      </x:c>
      <x:c r="X292" s="10">
        <x:v>0.1681</x:v>
      </x:c>
      <x:c r="Y292" s="10">
        <x:v>0.0587</x:v>
      </x:c>
      <x:c r="Z292" s="10">
        <x:v>0.1481</x:v>
      </x:c>
      <x:c r="AA292" s="10">
        <x:v>0.1536</x:v>
      </x:c>
      <x:c r="AB292" s="10">
        <x:v>0.058</x:v>
      </x:c>
      <x:c r="AC292" s="13">
        <x:v>0.2581</x:v>
      </x:c>
      <x:c r="AD292" s="10">
        <x:v>0.1693</x:v>
      </x:c>
      <x:c r="AE292" s="10">
        <x:v>0.1693</x:v>
      </x:c>
      <x:c r="AF292" s="2" t="s">
        <x:v>35</x:v>
      </x:c>
    </x:row>
    <x:row r="293">
      <x:c r="A293" s="4" t="s">
        <x:v>889</x:v>
      </x:c>
      <x:c r="B293" s="4" t="s">
        <x:v>890</x:v>
      </x:c>
      <x:c r="C293" s="4" t="s">
        <x:v>891</x:v>
      </x:c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22">
        <x:v>0</x:v>
      </x:c>
      <x:c r="R293" s="22">
        <x:v>0</x:v>
      </x:c>
      <x:c r="S293" s="22">
        <x:v>0</x:v>
      </x:c>
      <x:c r="T293" s="22">
        <x:v>0</x:v>
      </x:c>
      <x:c r="U293" s="22">
        <x:v>0</x:v>
      </x:c>
      <x:c r="V293" s="22">
        <x:v>0</x:v>
      </x:c>
      <x:c r="W293" s="22">
        <x:v>0</x:v>
      </x:c>
      <x:c r="X293" s="22">
        <x:v>0</x:v>
      </x:c>
      <x:c r="Y293" s="22">
        <x:v>0</x:v>
      </x:c>
      <x:c r="Z293" s="22">
        <x:v>0</x:v>
      </x:c>
      <x:c r="AA293" s="22">
        <x:v>0</x:v>
      </x:c>
      <x:c r="AB293" s="22">
        <x:v>0</x:v>
      </x:c>
      <x:c r="AC293" s="16">
        <x:v>0</x:v>
      </x:c>
      <x:c r="AF293" s="2" t="s">
        <x:v>35</x:v>
      </x:c>
    </x:row>
    <x:row r="294">
      <x:c r="A294" s="4" t="s">
        <x:v>892</x:v>
      </x:c>
      <x:c r="B294" s="4" t="s">
        <x:v>893</x:v>
      </x:c>
      <x:c r="C294" s="4" t="s">
        <x:v>894</x:v>
      </x:c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22">
        <x:v>0</x:v>
      </x:c>
      <x:c r="R294" s="22">
        <x:v>0</x:v>
      </x:c>
      <x:c r="S294" s="22">
        <x:v>0</x:v>
      </x:c>
      <x:c r="T294" s="22">
        <x:v>0</x:v>
      </x:c>
      <x:c r="U294" s="22">
        <x:v>0</x:v>
      </x:c>
      <x:c r="V294" s="22">
        <x:v>0</x:v>
      </x:c>
      <x:c r="W294" s="22">
        <x:v>0</x:v>
      </x:c>
      <x:c r="X294" s="22">
        <x:v>0</x:v>
      </x:c>
      <x:c r="Y294" s="22">
        <x:v>0</x:v>
      </x:c>
      <x:c r="Z294" s="22">
        <x:v>0</x:v>
      </x:c>
      <x:c r="AA294" s="22">
        <x:v>0</x:v>
      </x:c>
      <x:c r="AB294" s="22">
        <x:v>0</x:v>
      </x:c>
      <x:c r="AC294" s="16">
        <x:v>0</x:v>
      </x:c>
      <x:c r="AF294" s="2" t="s">
        <x:v>35</x:v>
      </x:c>
    </x:row>
    <x:row r="295">
      <x:c r="A295" s="4" t="s">
        <x:v>895</x:v>
      </x:c>
      <x:c r="B295" s="4" t="s">
        <x:v>896</x:v>
      </x:c>
      <x:c r="C295" s="4" t="s">
        <x:v>897</x:v>
      </x:c>
      <x:c r="D295" s="8">
        <x:v>38</x:v>
      </x:c>
      <x:c r="E295" s="8">
        <x:v>18</x:v>
      </x:c>
      <x:c r="F295" s="8">
        <x:v>-4</x:v>
      </x:c>
      <x:c r="G295" s="8">
        <x:v>38</x:v>
      </x:c>
      <x:c r="H295" s="8">
        <x:v>11</x:v>
      </x:c>
      <x:c r="I295" s="8">
        <x:v>16</x:v>
      </x:c>
      <x:c r="J295" s="8">
        <x:v>34</x:v>
      </x:c>
      <x:c r="K295" s="8">
        <x:v>18</x:v>
      </x:c>
      <x:c r="L295" s="8">
        <x:v>70</x:v>
      </x:c>
      <x:c r="M295" s="8">
        <x:v>26</x:v>
      </x:c>
      <x:c r="N295" s="8">
        <x:v>26</x:v>
      </x:c>
      <x:c r="O295" s="8">
        <x:v>12</x:v>
      </x:c>
      <x:c r="P295" s="8">
        <x:v>16</x:v>
      </x:c>
      <x:c r="Q295" s="10">
        <x:v>1.2258</x:v>
      </x:c>
      <x:c r="R295" s="10">
        <x:v>0.5806</x:v>
      </x:c>
      <x:c r="S295" s="10">
        <x:v>-0.1159</x:v>
      </x:c>
      <x:c r="T295" s="10">
        <x:v>1.2258</x:v>
      </x:c>
      <x:c r="U295" s="10">
        <x:v>0.3667</x:v>
      </x:c>
      <x:c r="V295" s="10">
        <x:v>0.5161</x:v>
      </x:c>
      <x:c r="W295" s="10">
        <x:v>1.371</x:v>
      </x:c>
      <x:c r="X295" s="10">
        <x:v>0.7563</x:v>
      </x:c>
      <x:c r="Y295" s="10">
        <x:v>2.0528</x:v>
      </x:c>
      <x:c r="Z295" s="10">
        <x:v>0.963</x:v>
      </x:c>
      <x:c r="AA295" s="10">
        <x:v>0.7988</x:v>
      </x:c>
      <x:c r="AB295" s="10">
        <x:v>0.3478</x:v>
      </x:c>
      <x:c r="AC295" s="13">
        <x:v>0.5161</x:v>
      </x:c>
      <x:c r="AD295" s="10">
        <x:v>0.8407</x:v>
      </x:c>
      <x:c r="AE295" s="10">
        <x:v>0.8407</x:v>
      </x:c>
      <x:c r="AF295" s="2" t="s">
        <x:v>35</x:v>
      </x:c>
    </x:row>
    <x:row r="296">
      <x:c r="A296" s="4" t="s">
        <x:v>898</x:v>
      </x:c>
      <x:c r="B296" s="4" t="s">
        <x:v>899</x:v>
      </x:c>
      <x:c r="C296" s="4" t="s">
        <x:v>900</x:v>
      </x:c>
      <x:c r="D296" s="8">
        <x:v>14</x:v>
      </x:c>
      <x:c r="E296" s="8">
        <x:v>9</x:v>
      </x:c>
      <x:c r="F296" s="8">
        <x:v>4</x:v>
      </x:c>
      <x:c r="G296" s="8">
        <x:v>12</x:v>
      </x:c>
      <x:c r="H296" s="8">
        <x:v>4</x:v>
      </x:c>
      <x:c r="I296" s="8">
        <x:v>9</x:v>
      </x:c>
      <x:c r="J296" s="8">
        <x:v>17</x:v>
      </x:c>
      <x:c r="K296" s="8">
        <x:v>10</x:v>
      </x:c>
      <x:c r="L296" s="8">
        <x:v>13</x:v>
      </x:c>
      <x:c r="M296" s="8">
        <x:v>6</x:v>
      </x:c>
      <x:c r="N296" s="8">
        <x:v>2</x:v>
      </x:c>
      <x:c r="O296" s="8">
        <x:v>8</x:v>
      </x:c>
      <x:c r="P296" s="8">
        <x:v>10</x:v>
      </x:c>
      <x:c r="Q296" s="10">
        <x:v>0.4516</x:v>
      </x:c>
      <x:c r="R296" s="10">
        <x:v>0.2903</x:v>
      </x:c>
      <x:c r="S296" s="10">
        <x:v>0.1159</x:v>
      </x:c>
      <x:c r="T296" s="10">
        <x:v>0.3871</x:v>
      </x:c>
      <x:c r="U296" s="10">
        <x:v>0.1333</x:v>
      </x:c>
      <x:c r="V296" s="10">
        <x:v>0.2903</x:v>
      </x:c>
      <x:c r="W296" s="10">
        <x:v>0.6855</x:v>
      </x:c>
      <x:c r="X296" s="10">
        <x:v>0.4202</x:v>
      </x:c>
      <x:c r="Y296" s="10">
        <x:v>0.3812</x:v>
      </x:c>
      <x:c r="Z296" s="10">
        <x:v>0.2222</x:v>
      </x:c>
      <x:c r="AA296" s="10">
        <x:v>0.0614</x:v>
      </x:c>
      <x:c r="AB296" s="10">
        <x:v>0.2319</x:v>
      </x:c>
      <x:c r="AC296" s="13">
        <x:v>0.3226</x:v>
      </x:c>
      <x:c r="AD296" s="10">
        <x:v>0.3059</x:v>
      </x:c>
      <x:c r="AE296" s="10">
        <x:v>0.3059</x:v>
      </x:c>
      <x:c r="AF296" s="2" t="s">
        <x:v>35</x:v>
      </x:c>
    </x:row>
    <x:row r="297">
      <x:c r="A297" s="4" t="s">
        <x:v>901</x:v>
      </x:c>
      <x:c r="B297" s="4" t="s">
        <x:v>902</x:v>
      </x:c>
      <x:c r="C297" s="4" t="s">
        <x:v>903</x:v>
      </x:c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22">
        <x:v>0</x:v>
      </x:c>
      <x:c r="R297" s="22">
        <x:v>0</x:v>
      </x:c>
      <x:c r="S297" s="22">
        <x:v>0</x:v>
      </x:c>
      <x:c r="T297" s="22">
        <x:v>0</x:v>
      </x:c>
      <x:c r="U297" s="22">
        <x:v>0</x:v>
      </x:c>
      <x:c r="V297" s="22">
        <x:v>0</x:v>
      </x:c>
      <x:c r="W297" s="22">
        <x:v>0</x:v>
      </x:c>
      <x:c r="X297" s="22">
        <x:v>0</x:v>
      </x:c>
      <x:c r="Y297" s="22">
        <x:v>0</x:v>
      </x:c>
      <x:c r="Z297" s="22">
        <x:v>0</x:v>
      </x:c>
      <x:c r="AA297" s="22">
        <x:v>0</x:v>
      </x:c>
      <x:c r="AB297" s="22">
        <x:v>0</x:v>
      </x:c>
      <x:c r="AC297" s="16">
        <x:v>0</x:v>
      </x:c>
      <x:c r="AF297" s="2" t="s">
        <x:v>35</x:v>
      </x:c>
    </x:row>
    <x:row r="298">
      <x:c r="A298" s="4" t="s">
        <x:v>904</x:v>
      </x:c>
      <x:c r="B298" s="4" t="s">
        <x:v>905</x:v>
      </x:c>
      <x:c r="C298" s="4" t="s">
        <x:v>906</x:v>
      </x:c>
      <x:c r="D298" s="8">
        <x:v>13</x:v>
      </x:c>
      <x:c r="E298" s="8">
        <x:v>5</x:v>
      </x:c>
      <x:c r="F298" s="8">
        <x:v>4</x:v>
      </x:c>
      <x:c r="G298" s="8">
        <x:v>3</x:v>
      </x:c>
      <x:c r="H298" s="8">
        <x:v>4</x:v>
      </x:c>
      <x:c r="I298" s="8">
        <x:v>5</x:v>
      </x:c>
      <x:c r="J298" s="8">
        <x:v>15</x:v>
      </x:c>
      <x:c r="K298" s="6"/>
      <x:c r="L298" s="8">
        <x:v>3</x:v>
      </x:c>
      <x:c r="M298" s="8">
        <x:v>6</x:v>
      </x:c>
      <x:c r="N298" s="8">
        <x:v>3</x:v>
      </x:c>
      <x:c r="O298" s="8">
        <x:v>9</x:v>
      </x:c>
      <x:c r="P298" s="8">
        <x:v>2</x:v>
      </x:c>
      <x:c r="Q298" s="10">
        <x:v>0.4194</x:v>
      </x:c>
      <x:c r="R298" s="10">
        <x:v>0.1613</x:v>
      </x:c>
      <x:c r="S298" s="10">
        <x:v>0.1159</x:v>
      </x:c>
      <x:c r="T298" s="10">
        <x:v>0.0968</x:v>
      </x:c>
      <x:c r="U298" s="10">
        <x:v>0.1333</x:v>
      </x:c>
      <x:c r="V298" s="10">
        <x:v>0.1613</x:v>
      </x:c>
      <x:c r="W298" s="10">
        <x:v>0.6048</x:v>
      </x:c>
      <x:c r="X298" s="10">
        <x:v>0</x:v>
      </x:c>
      <x:c r="Y298" s="10">
        <x:v>0.088</x:v>
      </x:c>
      <x:c r="Z298" s="10">
        <x:v>0.2222</x:v>
      </x:c>
      <x:c r="AA298" s="10">
        <x:v>0.0922</x:v>
      </x:c>
      <x:c r="AB298" s="10">
        <x:v>0.2609</x:v>
      </x:c>
      <x:c r="AC298" s="13">
        <x:v>0.0645</x:v>
      </x:c>
      <x:c r="AD298" s="10">
        <x:v>0.1963</x:v>
      </x:c>
      <x:c r="AE298" s="10">
        <x:v>0.1963</x:v>
      </x:c>
      <x:c r="AF298" s="2" t="s">
        <x:v>35</x:v>
      </x:c>
    </x:row>
    <x:row r="299">
      <x:c r="A299" s="4" t="s">
        <x:v>907</x:v>
      </x:c>
      <x:c r="B299" s="4" t="s">
        <x:v>908</x:v>
      </x:c>
      <x:c r="C299" s="4" t="s">
        <x:v>909</x:v>
      </x:c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22">
        <x:v>0</x:v>
      </x:c>
      <x:c r="R299" s="22">
        <x:v>0</x:v>
      </x:c>
      <x:c r="S299" s="22">
        <x:v>0</x:v>
      </x:c>
      <x:c r="T299" s="22">
        <x:v>0</x:v>
      </x:c>
      <x:c r="U299" s="22">
        <x:v>0</x:v>
      </x:c>
      <x:c r="V299" s="22">
        <x:v>0</x:v>
      </x:c>
      <x:c r="W299" s="22">
        <x:v>0</x:v>
      </x:c>
      <x:c r="X299" s="22">
        <x:v>0</x:v>
      </x:c>
      <x:c r="Y299" s="22">
        <x:v>0</x:v>
      </x:c>
      <x:c r="Z299" s="22">
        <x:v>0</x:v>
      </x:c>
      <x:c r="AA299" s="22">
        <x:v>0</x:v>
      </x:c>
      <x:c r="AB299" s="22">
        <x:v>0</x:v>
      </x:c>
      <x:c r="AC299" s="16">
        <x:v>0</x:v>
      </x:c>
      <x:c r="AF299" s="2" t="s">
        <x:v>51</x:v>
      </x:c>
    </x:row>
    <x:row r="300">
      <x:c r="A300" s="4" t="s">
        <x:v>910</x:v>
      </x:c>
      <x:c r="B300" s="4" t="s">
        <x:v>911</x:v>
      </x:c>
      <x:c r="C300" s="4" t="s">
        <x:v>912</x:v>
      </x:c>
      <x:c r="D300" s="8">
        <x:v>12</x:v>
      </x:c>
      <x:c r="E300" s="8">
        <x:v>25</x:v>
      </x:c>
      <x:c r="F300" s="8">
        <x:v>20</x:v>
      </x:c>
      <x:c r="G300" s="8">
        <x:v>15</x:v>
      </x:c>
      <x:c r="H300" s="8">
        <x:v>28</x:v>
      </x:c>
      <x:c r="I300" s="8">
        <x:v>15</x:v>
      </x:c>
      <x:c r="J300" s="8">
        <x:v>14</x:v>
      </x:c>
      <x:c r="K300" s="8">
        <x:v>8</x:v>
      </x:c>
      <x:c r="L300" s="8">
        <x:v>24</x:v>
      </x:c>
      <x:c r="M300" s="8">
        <x:v>10</x:v>
      </x:c>
      <x:c r="N300" s="8">
        <x:v>4</x:v>
      </x:c>
      <x:c r="O300" s="8">
        <x:v>7</x:v>
      </x:c>
      <x:c r="P300" s="8">
        <x:v>15</x:v>
      </x:c>
      <x:c r="Q300" s="10">
        <x:v>0.3871</x:v>
      </x:c>
      <x:c r="R300" s="10">
        <x:v>0.8065</x:v>
      </x:c>
      <x:c r="S300" s="10">
        <x:v>0.5797</x:v>
      </x:c>
      <x:c r="T300" s="10">
        <x:v>0.4839</x:v>
      </x:c>
      <x:c r="U300" s="10">
        <x:v>0.9333</x:v>
      </x:c>
      <x:c r="V300" s="10">
        <x:v>0.4839</x:v>
      </x:c>
      <x:c r="W300" s="10">
        <x:v>0.5645</x:v>
      </x:c>
      <x:c r="X300" s="10">
        <x:v>0.3361</x:v>
      </x:c>
      <x:c r="Y300" s="10">
        <x:v>0.7038</x:v>
      </x:c>
      <x:c r="Z300" s="10">
        <x:v>0.3704</x:v>
      </x:c>
      <x:c r="AA300" s="10">
        <x:v>0.1229</x:v>
      </x:c>
      <x:c r="AB300" s="10">
        <x:v>0.2029</x:v>
      </x:c>
      <x:c r="AC300" s="13">
        <x:v>0.4839</x:v>
      </x:c>
      <x:c r="AD300" s="10">
        <x:v>0.4979</x:v>
      </x:c>
      <x:c r="AE300" s="10">
        <x:v>0.4979</x:v>
      </x:c>
      <x:c r="AF300" s="2" t="s">
        <x:v>35</x:v>
      </x:c>
    </x:row>
    <x:row r="301">
      <x:c r="A301" s="4" t="s">
        <x:v>913</x:v>
      </x:c>
      <x:c r="B301" s="4" t="s">
        <x:v>914</x:v>
      </x:c>
      <x:c r="C301" s="4" t="s">
        <x:v>915</x:v>
      </x:c>
      <x:c r="D301" s="8">
        <x:v>18</x:v>
      </x:c>
      <x:c r="E301" s="8">
        <x:v>9</x:v>
      </x:c>
      <x:c r="F301" s="8">
        <x:v>26</x:v>
      </x:c>
      <x:c r="G301" s="8">
        <x:v>6</x:v>
      </x:c>
      <x:c r="H301" s="8">
        <x:v>7</x:v>
      </x:c>
      <x:c r="I301" s="8">
        <x:v>9</x:v>
      </x:c>
      <x:c r="J301" s="8">
        <x:v>24</x:v>
      </x:c>
      <x:c r="K301" s="8">
        <x:v>5</x:v>
      </x:c>
      <x:c r="L301" s="8">
        <x:v>37</x:v>
      </x:c>
      <x:c r="M301" s="8">
        <x:v>6</x:v>
      </x:c>
      <x:c r="N301" s="8">
        <x:v>3</x:v>
      </x:c>
      <x:c r="O301" s="8">
        <x:v>42</x:v>
      </x:c>
      <x:c r="P301" s="8">
        <x:v>5</x:v>
      </x:c>
      <x:c r="Q301" s="10">
        <x:v>0.5806</x:v>
      </x:c>
      <x:c r="R301" s="10">
        <x:v>0.2903</x:v>
      </x:c>
      <x:c r="S301" s="19">
        <x:v>0.7796</x:v>
      </x:c>
      <x:c r="T301" s="19">
        <x:v>0.375</x:v>
      </x:c>
      <x:c r="U301" s="10">
        <x:v>0.2333</x:v>
      </x:c>
      <x:c r="V301" s="10">
        <x:v>0.2903</x:v>
      </x:c>
      <x:c r="W301" s="10">
        <x:v>0.9677</x:v>
      </x:c>
      <x:c r="X301" s="10">
        <x:v>0.2101</x:v>
      </x:c>
      <x:c r="Y301" s="10">
        <x:v>1.085</x:v>
      </x:c>
      <x:c r="Z301" s="10">
        <x:v>0.2222</x:v>
      </x:c>
      <x:c r="AA301" s="10">
        <x:v>0.0922</x:v>
      </x:c>
      <x:c r="AB301" s="10">
        <x:v>1.2174</x:v>
      </x:c>
      <x:c r="AC301" s="13">
        <x:v>0.1613</x:v>
      </x:c>
      <x:c r="AD301" s="10">
        <x:v>0.5189</x:v>
      </x:c>
      <x:c r="AE301" s="10">
        <x:v>0.5189</x:v>
      </x:c>
      <x:c r="AF301" s="2" t="s">
        <x:v>35</x:v>
      </x:c>
    </x:row>
    <x:row r="302">
      <x:c r="A302" s="4" t="s">
        <x:v>916</x:v>
      </x:c>
      <x:c r="B302" s="4" t="s">
        <x:v>917</x:v>
      </x:c>
      <x:c r="C302" s="4" t="s">
        <x:v>918</x:v>
      </x:c>
      <x:c r="D302" s="6"/>
      <x:c r="E302" s="6"/>
      <x:c r="F302" s="8">
        <x:v>2</x:v>
      </x:c>
      <x:c r="G302" s="8">
        <x:v>2</x:v>
      </x:c>
      <x:c r="H302" s="6"/>
      <x:c r="I302" s="8">
        <x:v>3</x:v>
      </x:c>
      <x:c r="J302" s="6"/>
      <x:c r="K302" s="6"/>
      <x:c r="L302" s="6"/>
      <x:c r="M302" s="6"/>
      <x:c r="N302" s="6"/>
      <x:c r="O302" s="8">
        <x:v>3</x:v>
      </x:c>
      <x:c r="P302" s="8">
        <x:v>11</x:v>
      </x:c>
      <x:c r="Q302" s="22">
        <x:v>0</x:v>
      </x:c>
      <x:c r="R302" s="22">
        <x:v>0</x:v>
      </x:c>
      <x:c r="S302" s="19">
        <x:v>0.2174</x:v>
      </x:c>
      <x:c r="T302" s="10">
        <x:v>0.0645</x:v>
      </x:c>
      <x:c r="U302" s="10">
        <x:v>0</x:v>
      </x:c>
      <x:c r="V302" s="19">
        <x:v>0.1875</x:v>
      </x:c>
      <x:c r="W302" s="22">
        <x:v>0</x:v>
      </x:c>
      <x:c r="X302" s="22">
        <x:v>0</x:v>
      </x:c>
      <x:c r="Y302" s="22">
        <x:v>0</x:v>
      </x:c>
      <x:c r="Z302" s="22">
        <x:v>0</x:v>
      </x:c>
      <x:c r="AA302" s="19">
        <x:v>0</x:v>
      </x:c>
      <x:c r="AB302" s="10">
        <x:v>0.087</x:v>
      </x:c>
      <x:c r="AC302" s="16">
        <x:v>1.5714</x:v>
      </x:c>
      <x:c r="AD302" s="10">
        <x:v>0.0505</x:v>
      </x:c>
      <x:c r="AE302" s="10">
        <x:v>0.0505</x:v>
      </x:c>
      <x:c r="AF302" s="2" t="s">
        <x:v>35</x:v>
      </x:c>
    </x:row>
    <x:row r="303">
      <x:c r="A303" s="4" t="s">
        <x:v>919</x:v>
      </x:c>
      <x:c r="B303" s="4" t="s">
        <x:v>920</x:v>
      </x:c>
      <x:c r="C303" s="4" t="s">
        <x:v>921</x:v>
      </x:c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8">
        <x:v>-1</x:v>
      </x:c>
      <x:c r="P303" s="6"/>
      <x:c r="Q303" s="22">
        <x:v>0</x:v>
      </x:c>
      <x:c r="R303" s="22">
        <x:v>0</x:v>
      </x:c>
      <x:c r="S303" s="22">
        <x:v>0</x:v>
      </x:c>
      <x:c r="T303" s="22">
        <x:v>0</x:v>
      </x:c>
      <x:c r="U303" s="22">
        <x:v>0</x:v>
      </x:c>
      <x:c r="V303" s="22">
        <x:v>0</x:v>
      </x:c>
      <x:c r="W303" s="22">
        <x:v>0</x:v>
      </x:c>
      <x:c r="X303" s="22">
        <x:v>0</x:v>
      </x:c>
      <x:c r="Y303" s="22">
        <x:v>0</x:v>
      </x:c>
      <x:c r="Z303" s="22">
        <x:v>0</x:v>
      </x:c>
      <x:c r="AA303" s="22">
        <x:v>0</x:v>
      </x:c>
      <x:c r="AB303" s="22">
        <x:v>0</x:v>
      </x:c>
      <x:c r="AC303" s="16">
        <x:v>0</x:v>
      </x:c>
      <x:c r="AF303" s="2" t="s">
        <x:v>35</x:v>
      </x:c>
    </x:row>
    <x:row r="304">
      <x:c r="A304" s="4" t="s">
        <x:v>922</x:v>
      </x:c>
      <x:c r="B304" s="4" t="s">
        <x:v>923</x:v>
      </x:c>
      <x:c r="C304" s="4" t="s">
        <x:v>924</x:v>
      </x:c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22">
        <x:v>0</x:v>
      </x:c>
      <x:c r="R304" s="22">
        <x:v>0</x:v>
      </x:c>
      <x:c r="S304" s="22">
        <x:v>0</x:v>
      </x:c>
      <x:c r="T304" s="22">
        <x:v>0</x:v>
      </x:c>
      <x:c r="U304" s="22">
        <x:v>0</x:v>
      </x:c>
      <x:c r="V304" s="22">
        <x:v>0</x:v>
      </x:c>
      <x:c r="W304" s="22">
        <x:v>0</x:v>
      </x:c>
      <x:c r="X304" s="22">
        <x:v>0</x:v>
      </x:c>
      <x:c r="Y304" s="22">
        <x:v>0</x:v>
      </x:c>
      <x:c r="Z304" s="22">
        <x:v>0</x:v>
      </x:c>
      <x:c r="AA304" s="22">
        <x:v>0</x:v>
      </x:c>
      <x:c r="AB304" s="22">
        <x:v>0</x:v>
      </x:c>
      <x:c r="AC304" s="16">
        <x:v>0</x:v>
      </x:c>
      <x:c r="AF304" s="2" t="s">
        <x:v>51</x:v>
      </x:c>
    </x:row>
    <x:row r="305">
      <x:c r="A305" s="4" t="s">
        <x:v>925</x:v>
      </x:c>
      <x:c r="B305" s="4" t="s">
        <x:v>926</x:v>
      </x:c>
      <x:c r="C305" s="4" t="s">
        <x:v>927</x:v>
      </x:c>
      <x:c r="D305" s="8">
        <x:v>11</x:v>
      </x:c>
      <x:c r="E305" s="8">
        <x:v>9</x:v>
      </x:c>
      <x:c r="F305" s="6"/>
      <x:c r="G305" s="8">
        <x:v>9</x:v>
      </x:c>
      <x:c r="H305" s="8">
        <x:v>1</x:v>
      </x:c>
      <x:c r="I305" s="8">
        <x:v>10</x:v>
      </x:c>
      <x:c r="J305" s="6"/>
      <x:c r="K305" s="8">
        <x:v>4</x:v>
      </x:c>
      <x:c r="L305" s="8">
        <x:v>10</x:v>
      </x:c>
      <x:c r="M305" s="8">
        <x:v>6</x:v>
      </x:c>
      <x:c r="N305" s="6"/>
      <x:c r="O305" s="8">
        <x:v>21</x:v>
      </x:c>
      <x:c r="P305" s="8">
        <x:v>7</x:v>
      </x:c>
      <x:c r="Q305" s="19">
        <x:v>1</x:v>
      </x:c>
      <x:c r="R305" s="19">
        <x:v>0.4737</x:v>
      </x:c>
      <x:c r="S305" s="22">
        <x:v>0</x:v>
      </x:c>
      <x:c r="T305" s="19">
        <x:v>0.5625</x:v>
      </x:c>
      <x:c r="U305" s="10">
        <x:v>0.0333</x:v>
      </x:c>
      <x:c r="V305" s="19">
        <x:v>0.3571</x:v>
      </x:c>
      <x:c r="W305" s="19">
        <x:v>0</x:v>
      </x:c>
      <x:c r="X305" s="10">
        <x:v>0.1681</x:v>
      </x:c>
      <x:c r="Y305" s="10">
        <x:v>0.2933</x:v>
      </x:c>
      <x:c r="Z305" s="19">
        <x:v>0.2564</x:v>
      </x:c>
      <x:c r="AA305" s="19">
        <x:v>0</x:v>
      </x:c>
      <x:c r="AB305" s="10">
        <x:v>0.6087</x:v>
      </x:c>
      <x:c r="AC305" s="13">
        <x:v>0.2258</x:v>
      </x:c>
      <x:c r="AD305" s="10">
        <x:v>0.2759</x:v>
      </x:c>
      <x:c r="AE305" s="10">
        <x:v>0.2759</x:v>
      </x:c>
      <x:c r="AF305" s="2" t="s">
        <x:v>35</x:v>
      </x:c>
    </x:row>
    <x:row r="306">
      <x:c r="A306" s="4" t="s">
        <x:v>928</x:v>
      </x:c>
      <x:c r="B306" s="4" t="s">
        <x:v>929</x:v>
      </x:c>
      <x:c r="C306" s="4" t="s">
        <x:v>930</x:v>
      </x:c>
      <x:c r="D306" s="6"/>
      <x:c r="E306" s="6"/>
      <x:c r="F306" s="6"/>
      <x:c r="G306" s="6"/>
      <x:c r="H306" s="6"/>
      <x:c r="I306" s="6"/>
      <x:c r="J306" s="6"/>
      <x:c r="K306" s="6"/>
      <x:c r="L306" s="8">
        <x:v>3</x:v>
      </x:c>
      <x:c r="M306" s="6"/>
      <x:c r="N306" s="8">
        <x:v>2</x:v>
      </x:c>
      <x:c r="O306" s="6"/>
      <x:c r="P306" s="6"/>
      <x:c r="Q306" s="22">
        <x:v>0</x:v>
      </x:c>
      <x:c r="R306" s="22">
        <x:v>0</x:v>
      </x:c>
      <x:c r="S306" s="22">
        <x:v>0</x:v>
      </x:c>
      <x:c r="T306" s="22">
        <x:v>0</x:v>
      </x:c>
      <x:c r="U306" s="22">
        <x:v>0</x:v>
      </x:c>
      <x:c r="V306" s="22">
        <x:v>0</x:v>
      </x:c>
      <x:c r="W306" s="22">
        <x:v>0</x:v>
      </x:c>
      <x:c r="X306" s="22">
        <x:v>0</x:v>
      </x:c>
      <x:c r="Y306" s="19">
        <x:v>1.3636</x:v>
      </x:c>
      <x:c r="Z306" s="22">
        <x:v>0</x:v>
      </x:c>
      <x:c r="AA306" s="22">
        <x:v>0</x:v>
      </x:c>
      <x:c r="AB306" s="22">
        <x:v>0</x:v>
      </x:c>
      <x:c r="AC306" s="16">
        <x:v>0</x:v>
      </x:c>
      <x:c r="AF306" s="2" t="s">
        <x:v>35</x:v>
      </x:c>
    </x:row>
    <x:row r="307">
      <x:c r="A307" s="4" t="s">
        <x:v>931</x:v>
      </x:c>
      <x:c r="B307" s="4" t="s">
        <x:v>932</x:v>
      </x:c>
      <x:c r="C307" s="4" t="s">
        <x:v>933</x:v>
      </x:c>
      <x:c r="D307" s="6"/>
      <x:c r="E307" s="6"/>
      <x:c r="F307" s="6"/>
      <x:c r="G307" s="6"/>
      <x:c r="H307" s="8">
        <x:v>1</x:v>
      </x:c>
      <x:c r="I307" s="6"/>
      <x:c r="J307" s="6"/>
      <x:c r="K307" s="6"/>
      <x:c r="L307" s="6"/>
      <x:c r="M307" s="6"/>
      <x:c r="N307" s="6"/>
      <x:c r="O307" s="6"/>
      <x:c r="P307" s="6"/>
      <x:c r="Q307" s="22">
        <x:v>0</x:v>
      </x:c>
      <x:c r="R307" s="22">
        <x:v>0</x:v>
      </x:c>
      <x:c r="S307" s="22">
        <x:v>0</x:v>
      </x:c>
      <x:c r="T307" s="22">
        <x:v>0</x:v>
      </x:c>
      <x:c r="U307" s="22">
        <x:v>0</x:v>
      </x:c>
      <x:c r="V307" s="22">
        <x:v>0</x:v>
      </x:c>
      <x:c r="W307" s="22">
        <x:v>0</x:v>
      </x:c>
      <x:c r="X307" s="22">
        <x:v>0</x:v>
      </x:c>
      <x:c r="Y307" s="22">
        <x:v>0</x:v>
      </x:c>
      <x:c r="Z307" s="22">
        <x:v>0</x:v>
      </x:c>
      <x:c r="AA307" s="22">
        <x:v>0</x:v>
      </x:c>
      <x:c r="AB307" s="22">
        <x:v>0</x:v>
      </x:c>
      <x:c r="AC307" s="16">
        <x:v>0</x:v>
      </x:c>
      <x:c r="AF307" s="2" t="s">
        <x:v>35</x:v>
      </x:c>
    </x:row>
    <x:row r="308">
      <x:c r="A308" s="4" t="s">
        <x:v>934</x:v>
      </x:c>
      <x:c r="B308" s="4" t="s">
        <x:v>935</x:v>
      </x:c>
      <x:c r="C308" s="4" t="s">
        <x:v>936</x:v>
      </x:c>
      <x:c r="D308" s="6"/>
      <x:c r="E308" s="6"/>
      <x:c r="F308" s="6"/>
      <x:c r="G308" s="6"/>
      <x:c r="H308" s="8">
        <x:v>1</x:v>
      </x:c>
      <x:c r="I308" s="6"/>
      <x:c r="J308" s="6"/>
      <x:c r="K308" s="6"/>
      <x:c r="L308" s="6"/>
      <x:c r="M308" s="6"/>
      <x:c r="N308" s="6"/>
      <x:c r="O308" s="6"/>
      <x:c r="P308" s="6"/>
      <x:c r="Q308" s="22">
        <x:v>0</x:v>
      </x:c>
      <x:c r="R308" s="22">
        <x:v>0</x:v>
      </x:c>
      <x:c r="S308" s="22">
        <x:v>0</x:v>
      </x:c>
      <x:c r="T308" s="22">
        <x:v>0</x:v>
      </x:c>
      <x:c r="U308" s="22">
        <x:v>0</x:v>
      </x:c>
      <x:c r="V308" s="22">
        <x:v>0</x:v>
      </x:c>
      <x:c r="W308" s="22">
        <x:v>0</x:v>
      </x:c>
      <x:c r="X308" s="22">
        <x:v>0</x:v>
      </x:c>
      <x:c r="Y308" s="22">
        <x:v>0</x:v>
      </x:c>
      <x:c r="Z308" s="22">
        <x:v>0</x:v>
      </x:c>
      <x:c r="AA308" s="22">
        <x:v>0</x:v>
      </x:c>
      <x:c r="AB308" s="22">
        <x:v>0</x:v>
      </x:c>
      <x:c r="AC308" s="16">
        <x:v>0</x:v>
      </x:c>
      <x:c r="AF308" s="2" t="s">
        <x:v>51</x:v>
      </x:c>
    </x:row>
    <x:row r="309">
      <x:c r="A309" s="4" t="s">
        <x:v>937</x:v>
      </x:c>
      <x:c r="B309" s="4" t="s">
        <x:v>938</x:v>
      </x:c>
      <x:c r="C309" s="4" t="s">
        <x:v>939</x:v>
      </x:c>
      <x:c r="D309" s="6"/>
      <x:c r="E309" s="6"/>
      <x:c r="F309" s="6"/>
      <x:c r="G309" s="6"/>
      <x:c r="H309" s="8">
        <x:v>1</x:v>
      </x:c>
      <x:c r="I309" s="6"/>
      <x:c r="J309" s="6"/>
      <x:c r="K309" s="6"/>
      <x:c r="L309" s="6"/>
      <x:c r="M309" s="6"/>
      <x:c r="N309" s="6"/>
      <x:c r="O309" s="6"/>
      <x:c r="P309" s="6"/>
      <x:c r="Q309" s="22">
        <x:v>0</x:v>
      </x:c>
      <x:c r="R309" s="22">
        <x:v>0</x:v>
      </x:c>
      <x:c r="S309" s="22">
        <x:v>0</x:v>
      </x:c>
      <x:c r="T309" s="22">
        <x:v>0</x:v>
      </x:c>
      <x:c r="U309" s="22">
        <x:v>0</x:v>
      </x:c>
      <x:c r="V309" s="22">
        <x:v>0</x:v>
      </x:c>
      <x:c r="W309" s="22">
        <x:v>0</x:v>
      </x:c>
      <x:c r="X309" s="22">
        <x:v>0</x:v>
      </x:c>
      <x:c r="Y309" s="22">
        <x:v>0</x:v>
      </x:c>
      <x:c r="Z309" s="22">
        <x:v>0</x:v>
      </x:c>
      <x:c r="AA309" s="22">
        <x:v>0</x:v>
      </x:c>
      <x:c r="AB309" s="22">
        <x:v>0</x:v>
      </x:c>
      <x:c r="AC309" s="16">
        <x:v>0</x:v>
      </x:c>
      <x:c r="AF309" s="2" t="s">
        <x:v>51</x:v>
      </x:c>
    </x:row>
    <x:row r="310">
      <x:c r="A310" s="4" t="s">
        <x:v>940</x:v>
      </x:c>
      <x:c r="B310" s="4" t="s">
        <x:v>941</x:v>
      </x:c>
      <x:c r="C310" s="4" t="s">
        <x:v>942</x:v>
      </x:c>
      <x:c r="D310" s="6"/>
      <x:c r="E310" s="6"/>
      <x:c r="F310" s="6"/>
      <x:c r="G310" s="6"/>
      <x:c r="H310" s="8">
        <x:v>1</x:v>
      </x:c>
      <x:c r="I310" s="6"/>
      <x:c r="J310" s="6"/>
      <x:c r="K310" s="6"/>
      <x:c r="L310" s="6"/>
      <x:c r="M310" s="6"/>
      <x:c r="N310" s="6"/>
      <x:c r="O310" s="6"/>
      <x:c r="P310" s="6"/>
      <x:c r="Q310" s="22">
        <x:v>0</x:v>
      </x:c>
      <x:c r="R310" s="22">
        <x:v>0</x:v>
      </x:c>
      <x:c r="S310" s="22">
        <x:v>0</x:v>
      </x:c>
      <x:c r="T310" s="22">
        <x:v>0</x:v>
      </x:c>
      <x:c r="U310" s="22">
        <x:v>0</x:v>
      </x:c>
      <x:c r="V310" s="22">
        <x:v>0</x:v>
      </x:c>
      <x:c r="W310" s="22">
        <x:v>0</x:v>
      </x:c>
      <x:c r="X310" s="22">
        <x:v>0</x:v>
      </x:c>
      <x:c r="Y310" s="22">
        <x:v>0</x:v>
      </x:c>
      <x:c r="Z310" s="22">
        <x:v>0</x:v>
      </x:c>
      <x:c r="AA310" s="22">
        <x:v>0</x:v>
      </x:c>
      <x:c r="AB310" s="22">
        <x:v>0</x:v>
      </x:c>
      <x:c r="AC310" s="16">
        <x:v>0</x:v>
      </x:c>
      <x:c r="AF310" s="2" t="s">
        <x:v>51</x:v>
      </x:c>
    </x:row>
    <x:row r="311">
      <x:c r="A311" s="4" t="s">
        <x:v>943</x:v>
      </x:c>
      <x:c r="B311" s="4" t="s">
        <x:v>944</x:v>
      </x:c>
      <x:c r="C311" s="4" t="s">
        <x:v>945</x:v>
      </x:c>
      <x:c r="D311" s="8">
        <x:v>2</x:v>
      </x:c>
      <x:c r="E311" s="6"/>
      <x:c r="F311" s="8">
        <x:v>2</x:v>
      </x:c>
      <x:c r="G311" s="8">
        <x:v>2</x:v>
      </x:c>
      <x:c r="H311" s="6"/>
      <x:c r="I311" s="8">
        <x:v>3</x:v>
      </x:c>
      <x:c r="J311" s="6"/>
      <x:c r="K311" s="6"/>
      <x:c r="L311" s="6"/>
      <x:c r="M311" s="8">
        <x:v>1</x:v>
      </x:c>
      <x:c r="N311" s="8">
        <x:v>1</x:v>
      </x:c>
      <x:c r="O311" s="6"/>
      <x:c r="P311" s="6"/>
      <x:c r="Q311" s="10">
        <x:v>0.0645</x:v>
      </x:c>
      <x:c r="R311" s="10">
        <x:v>0</x:v>
      </x:c>
      <x:c r="S311" s="10">
        <x:v>0.058</x:v>
      </x:c>
      <x:c r="T311" s="10">
        <x:v>0.0645</x:v>
      </x:c>
      <x:c r="U311" s="10">
        <x:v>0</x:v>
      </x:c>
      <x:c r="V311" s="10">
        <x:v>0.0968</x:v>
      </x:c>
      <x:c r="W311" s="10">
        <x:v>0</x:v>
      </x:c>
      <x:c r="X311" s="10">
        <x:v>0</x:v>
      </x:c>
      <x:c r="Y311" s="10">
        <x:v>0</x:v>
      </x:c>
      <x:c r="Z311" s="10">
        <x:v>0.037</x:v>
      </x:c>
      <x:c r="AA311" s="10">
        <x:v>0.0307</x:v>
      </x:c>
      <x:c r="AB311" s="10">
        <x:v>0</x:v>
      </x:c>
      <x:c r="AC311" s="13">
        <x:v>0</x:v>
      </x:c>
      <x:c r="AD311" s="10">
        <x:v>0.0293</x:v>
      </x:c>
      <x:c r="AE311" s="10">
        <x:v>0.0293</x:v>
      </x:c>
      <x:c r="AF311" s="2" t="s">
        <x:v>35</x:v>
      </x:c>
    </x:row>
    <x:row r="312">
      <x:c r="A312" s="4" t="s">
        <x:v>946</x:v>
      </x:c>
      <x:c r="B312" s="4" t="s">
        <x:v>947</x:v>
      </x:c>
      <x:c r="C312" s="4" t="s">
        <x:v>948</x:v>
      </x:c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22">
        <x:v>0</x:v>
      </x:c>
      <x:c r="R312" s="22">
        <x:v>0</x:v>
      </x:c>
      <x:c r="S312" s="22">
        <x:v>0</x:v>
      </x:c>
      <x:c r="T312" s="22">
        <x:v>0</x:v>
      </x:c>
      <x:c r="U312" s="22">
        <x:v>0</x:v>
      </x:c>
      <x:c r="V312" s="22">
        <x:v>0</x:v>
      </x:c>
      <x:c r="W312" s="22">
        <x:v>0</x:v>
      </x:c>
      <x:c r="X312" s="22">
        <x:v>0</x:v>
      </x:c>
      <x:c r="Y312" s="22">
        <x:v>0</x:v>
      </x:c>
      <x:c r="Z312" s="22">
        <x:v>0</x:v>
      </x:c>
      <x:c r="AA312" s="22">
        <x:v>0</x:v>
      </x:c>
      <x:c r="AB312" s="22">
        <x:v>0</x:v>
      </x:c>
      <x:c r="AC312" s="16">
        <x:v>0</x:v>
      </x:c>
      <x:c r="AF312" s="2" t="s">
        <x:v>51</x:v>
      </x:c>
    </x:row>
    <x:row r="313">
      <x:c r="A313" s="4" t="s">
        <x:v>949</x:v>
      </x:c>
      <x:c r="B313" s="4" t="s">
        <x:v>950</x:v>
      </x:c>
      <x:c r="C313" s="4" t="s">
        <x:v>951</x:v>
      </x:c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22">
        <x:v>0</x:v>
      </x:c>
      <x:c r="R313" s="22">
        <x:v>0</x:v>
      </x:c>
      <x:c r="S313" s="22">
        <x:v>0</x:v>
      </x:c>
      <x:c r="T313" s="22">
        <x:v>0</x:v>
      </x:c>
      <x:c r="U313" s="22">
        <x:v>0</x:v>
      </x:c>
      <x:c r="V313" s="22">
        <x:v>0</x:v>
      </x:c>
      <x:c r="W313" s="22">
        <x:v>0</x:v>
      </x:c>
      <x:c r="X313" s="22">
        <x:v>0</x:v>
      </x:c>
      <x:c r="Y313" s="22">
        <x:v>0</x:v>
      </x:c>
      <x:c r="Z313" s="22">
        <x:v>0</x:v>
      </x:c>
      <x:c r="AA313" s="22">
        <x:v>0</x:v>
      </x:c>
      <x:c r="AB313" s="22">
        <x:v>0</x:v>
      </x:c>
      <x:c r="AC313" s="16">
        <x:v>0</x:v>
      </x:c>
      <x:c r="AF313" s="2" t="s">
        <x:v>51</x:v>
      </x:c>
    </x:row>
    <x:row r="314">
      <x:c r="A314" s="4" t="s">
        <x:v>952</x:v>
      </x:c>
      <x:c r="B314" s="4" t="s">
        <x:v>953</x:v>
      </x:c>
      <x:c r="C314" s="4" t="s">
        <x:v>954</x:v>
      </x:c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22">
        <x:v>0</x:v>
      </x:c>
      <x:c r="R314" s="22">
        <x:v>0</x:v>
      </x:c>
      <x:c r="S314" s="22">
        <x:v>0</x:v>
      </x:c>
      <x:c r="T314" s="22">
        <x:v>0</x:v>
      </x:c>
      <x:c r="U314" s="22">
        <x:v>0</x:v>
      </x:c>
      <x:c r="V314" s="22">
        <x:v>0</x:v>
      </x:c>
      <x:c r="W314" s="22">
        <x:v>0</x:v>
      </x:c>
      <x:c r="X314" s="22">
        <x:v>0</x:v>
      </x:c>
      <x:c r="Y314" s="22">
        <x:v>0</x:v>
      </x:c>
      <x:c r="Z314" s="22">
        <x:v>0</x:v>
      </x:c>
      <x:c r="AA314" s="22">
        <x:v>0</x:v>
      </x:c>
      <x:c r="AB314" s="22">
        <x:v>0</x:v>
      </x:c>
      <x:c r="AC314" s="16">
        <x:v>0</x:v>
      </x:c>
      <x:c r="AF314" s="2" t="s">
        <x:v>51</x:v>
      </x:c>
    </x:row>
    <x:row r="315">
      <x:c r="A315" s="4" t="s">
        <x:v>955</x:v>
      </x:c>
      <x:c r="B315" s="4" t="s">
        <x:v>956</x:v>
      </x:c>
      <x:c r="C315" s="4" t="s">
        <x:v>957</x:v>
      </x:c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22">
        <x:v>0</x:v>
      </x:c>
      <x:c r="R315" s="22">
        <x:v>0</x:v>
      </x:c>
      <x:c r="S315" s="22">
        <x:v>0</x:v>
      </x:c>
      <x:c r="T315" s="22">
        <x:v>0</x:v>
      </x:c>
      <x:c r="U315" s="22">
        <x:v>0</x:v>
      </x:c>
      <x:c r="V315" s="22">
        <x:v>0</x:v>
      </x:c>
      <x:c r="W315" s="22">
        <x:v>0</x:v>
      </x:c>
      <x:c r="X315" s="22">
        <x:v>0</x:v>
      </x:c>
      <x:c r="Y315" s="22">
        <x:v>0</x:v>
      </x:c>
      <x:c r="Z315" s="22">
        <x:v>0</x:v>
      </x:c>
      <x:c r="AA315" s="22">
        <x:v>0</x:v>
      </x:c>
      <x:c r="AB315" s="22">
        <x:v>0</x:v>
      </x:c>
      <x:c r="AC315" s="16">
        <x:v>0</x:v>
      </x:c>
      <x:c r="AF315" s="2" t="s">
        <x:v>51</x:v>
      </x:c>
    </x:row>
    <x:row r="316">
      <x:c r="A316" s="4" t="s">
        <x:v>958</x:v>
      </x:c>
      <x:c r="B316" s="4" t="s">
        <x:v>959</x:v>
      </x:c>
      <x:c r="C316" s="4" t="s">
        <x:v>960</x:v>
      </x:c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22">
        <x:v>0</x:v>
      </x:c>
      <x:c r="R316" s="22">
        <x:v>0</x:v>
      </x:c>
      <x:c r="S316" s="22">
        <x:v>0</x:v>
      </x:c>
      <x:c r="T316" s="22">
        <x:v>0</x:v>
      </x:c>
      <x:c r="U316" s="22">
        <x:v>0</x:v>
      </x:c>
      <x:c r="V316" s="22">
        <x:v>0</x:v>
      </x:c>
      <x:c r="W316" s="22">
        <x:v>0</x:v>
      </x:c>
      <x:c r="X316" s="22">
        <x:v>0</x:v>
      </x:c>
      <x:c r="Y316" s="22">
        <x:v>0</x:v>
      </x:c>
      <x:c r="Z316" s="22">
        <x:v>0</x:v>
      </x:c>
      <x:c r="AA316" s="22">
        <x:v>0</x:v>
      </x:c>
      <x:c r="AB316" s="22">
        <x:v>0</x:v>
      </x:c>
      <x:c r="AC316" s="16">
        <x:v>0</x:v>
      </x:c>
      <x:c r="AF316" s="2" t="s">
        <x:v>51</x:v>
      </x:c>
    </x:row>
    <x:row r="317">
      <x:c r="A317" s="4" t="s">
        <x:v>961</x:v>
      </x:c>
      <x:c r="B317" s="4" t="s">
        <x:v>962</x:v>
      </x:c>
      <x:c r="C317" s="4" t="s">
        <x:v>963</x:v>
      </x:c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22">
        <x:v>0</x:v>
      </x:c>
      <x:c r="R317" s="22">
        <x:v>0</x:v>
      </x:c>
      <x:c r="S317" s="22">
        <x:v>0</x:v>
      </x:c>
      <x:c r="T317" s="22">
        <x:v>0</x:v>
      </x:c>
      <x:c r="U317" s="22">
        <x:v>0</x:v>
      </x:c>
      <x:c r="V317" s="22">
        <x:v>0</x:v>
      </x:c>
      <x:c r="W317" s="22">
        <x:v>0</x:v>
      </x:c>
      <x:c r="X317" s="22">
        <x:v>0</x:v>
      </x:c>
      <x:c r="Y317" s="22">
        <x:v>0</x:v>
      </x:c>
      <x:c r="Z317" s="22">
        <x:v>0</x:v>
      </x:c>
      <x:c r="AA317" s="22">
        <x:v>0</x:v>
      </x:c>
      <x:c r="AB317" s="22">
        <x:v>0</x:v>
      </x:c>
      <x:c r="AC317" s="16">
        <x:v>0</x:v>
      </x:c>
      <x:c r="AF317" s="2" t="s">
        <x:v>51</x:v>
      </x:c>
    </x:row>
    <x:row r="318">
      <x:c r="A318" s="4" t="s">
        <x:v>964</x:v>
      </x:c>
      <x:c r="B318" s="4" t="s">
        <x:v>965</x:v>
      </x:c>
      <x:c r="C318" s="4" t="s">
        <x:v>966</x:v>
      </x:c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22">
        <x:v>0</x:v>
      </x:c>
      <x:c r="R318" s="22">
        <x:v>0</x:v>
      </x:c>
      <x:c r="S318" s="22">
        <x:v>0</x:v>
      </x:c>
      <x:c r="T318" s="22">
        <x:v>0</x:v>
      </x:c>
      <x:c r="U318" s="22">
        <x:v>0</x:v>
      </x:c>
      <x:c r="V318" s="22">
        <x:v>0</x:v>
      </x:c>
      <x:c r="W318" s="22">
        <x:v>0</x:v>
      </x:c>
      <x:c r="X318" s="22">
        <x:v>0</x:v>
      </x:c>
      <x:c r="Y318" s="22">
        <x:v>0</x:v>
      </x:c>
      <x:c r="Z318" s="22">
        <x:v>0</x:v>
      </x:c>
      <x:c r="AA318" s="22">
        <x:v>0</x:v>
      </x:c>
      <x:c r="AB318" s="22">
        <x:v>0</x:v>
      </x:c>
      <x:c r="AC318" s="16">
        <x:v>0</x:v>
      </x:c>
      <x:c r="AF318" s="2" t="s">
        <x:v>51</x:v>
      </x:c>
    </x:row>
    <x:row r="319">
      <x:c r="A319" s="4" t="s">
        <x:v>967</x:v>
      </x:c>
      <x:c r="B319" s="4" t="s">
        <x:v>968</x:v>
      </x:c>
      <x:c r="C319" s="4" t="s">
        <x:v>969</x:v>
      </x:c>
      <x:c r="D319" s="8">
        <x:v>10</x:v>
      </x:c>
      <x:c r="E319" s="6"/>
      <x:c r="F319" s="8">
        <x:v>9</x:v>
      </x:c>
      <x:c r="G319" s="8">
        <x:v>10</x:v>
      </x:c>
      <x:c r="H319" s="8">
        <x:v>2</x:v>
      </x:c>
      <x:c r="I319" s="8">
        <x:v>3</x:v>
      </x:c>
      <x:c r="J319" s="8">
        <x:v>7</x:v>
      </x:c>
      <x:c r="K319" s="8">
        <x:v>8</x:v>
      </x:c>
      <x:c r="L319" s="8">
        <x:v>5</x:v>
      </x:c>
      <x:c r="M319" s="8">
        <x:v>3</x:v>
      </x:c>
      <x:c r="N319" s="8">
        <x:v>6</x:v>
      </x:c>
      <x:c r="O319" s="8">
        <x:v>22</x:v>
      </x:c>
      <x:c r="P319" s="8">
        <x:v>8</x:v>
      </x:c>
      <x:c r="Q319" s="19">
        <x:v>0.9091</x:v>
      </x:c>
      <x:c r="R319" s="10">
        <x:v>0</x:v>
      </x:c>
      <x:c r="S319" s="10">
        <x:v>0.2609</x:v>
      </x:c>
      <x:c r="T319" s="10">
        <x:v>0.3226</x:v>
      </x:c>
      <x:c r="U319" s="10">
        <x:v>0.0667</x:v>
      </x:c>
      <x:c r="V319" s="10">
        <x:v>0.0968</x:v>
      </x:c>
      <x:c r="W319" s="10">
        <x:v>0.2823</x:v>
      </x:c>
      <x:c r="X319" s="10">
        <x:v>0.3361</x:v>
      </x:c>
      <x:c r="Y319" s="10">
        <x:v>0.1466</x:v>
      </x:c>
      <x:c r="Z319" s="10">
        <x:v>0.1111</x:v>
      </x:c>
      <x:c r="AA319" s="10">
        <x:v>0.1843</x:v>
      </x:c>
      <x:c r="AB319" s="10">
        <x:v>0.6377</x:v>
      </x:c>
      <x:c r="AC319" s="13">
        <x:v>0.2581</x:v>
      </x:c>
      <x:c r="AD319" s="10">
        <x:v>0.2223</x:v>
      </x:c>
      <x:c r="AE319" s="10">
        <x:v>0.2223</x:v>
      </x:c>
      <x:c r="AF319" s="2" t="s">
        <x:v>35</x:v>
      </x:c>
    </x:row>
    <x:row r="320">
      <x:c r="A320" s="4" t="s">
        <x:v>970</x:v>
      </x:c>
      <x:c r="B320" s="4" t="s">
        <x:v>971</x:v>
      </x:c>
      <x:c r="C320" s="4" t="s">
        <x:v>972</x:v>
      </x:c>
      <x:c r="D320" s="8">
        <x:v>48</x:v>
      </x:c>
      <x:c r="E320" s="8">
        <x:v>29</x:v>
      </x:c>
      <x:c r="F320" s="8">
        <x:v>41</x:v>
      </x:c>
      <x:c r="G320" s="8">
        <x:v>37</x:v>
      </x:c>
      <x:c r="H320" s="8">
        <x:v>74</x:v>
      </x:c>
      <x:c r="I320" s="8">
        <x:v>21</x:v>
      </x:c>
      <x:c r="J320" s="8">
        <x:v>47</x:v>
      </x:c>
      <x:c r="K320" s="8">
        <x:v>48</x:v>
      </x:c>
      <x:c r="L320" s="8">
        <x:v>37</x:v>
      </x:c>
      <x:c r="M320" s="8">
        <x:v>50</x:v>
      </x:c>
      <x:c r="N320" s="8">
        <x:v>52</x:v>
      </x:c>
      <x:c r="O320" s="8">
        <x:v>21</x:v>
      </x:c>
      <x:c r="P320" s="8">
        <x:v>13</x:v>
      </x:c>
      <x:c r="Q320" s="10">
        <x:v>1.5484</x:v>
      </x:c>
      <x:c r="R320" s="10">
        <x:v>0.9355</x:v>
      </x:c>
      <x:c r="S320" s="10">
        <x:v>1.1884</x:v>
      </x:c>
      <x:c r="T320" s="10">
        <x:v>1.1935</x:v>
      </x:c>
      <x:c r="U320" s="10">
        <x:v>2.4667</x:v>
      </x:c>
      <x:c r="V320" s="10">
        <x:v>0.6774</x:v>
      </x:c>
      <x:c r="W320" s="10">
        <x:v>1.8952</x:v>
      </x:c>
      <x:c r="X320" s="10">
        <x:v>2.0168</x:v>
      </x:c>
      <x:c r="Y320" s="10">
        <x:v>1.085</x:v>
      </x:c>
      <x:c r="Z320" s="10">
        <x:v>1.8519</x:v>
      </x:c>
      <x:c r="AA320" s="10">
        <x:v>1.5975</x:v>
      </x:c>
      <x:c r="AB320" s="10">
        <x:v>0.6087</x:v>
      </x:c>
      <x:c r="AC320" s="13">
        <x:v>0.4194</x:v>
      </x:c>
      <x:c r="AD320" s="10">
        <x:v>1.4221</x:v>
      </x:c>
      <x:c r="AE320" s="10">
        <x:v>1.4221</x:v>
      </x:c>
      <x:c r="AF320" s="2" t="s">
        <x:v>35</x:v>
      </x:c>
    </x:row>
    <x:row r="321">
      <x:c r="A321" s="4" t="s">
        <x:v>973</x:v>
      </x:c>
      <x:c r="B321" s="4" t="s">
        <x:v>974</x:v>
      </x:c>
      <x:c r="C321" s="4" t="s">
        <x:v>975</x:v>
      </x:c>
      <x:c r="D321" s="8">
        <x:v>6</x:v>
      </x:c>
      <x:c r="E321" s="6"/>
      <x:c r="F321" s="6"/>
      <x:c r="G321" s="8">
        <x:v>5</x:v>
      </x:c>
      <x:c r="H321" s="8">
        <x:v>2</x:v>
      </x:c>
      <x:c r="I321" s="6"/>
      <x:c r="J321" s="6"/>
      <x:c r="K321" s="6"/>
      <x:c r="L321" s="8">
        <x:v>12</x:v>
      </x:c>
      <x:c r="M321" s="6"/>
      <x:c r="N321" s="8">
        <x:v>3</x:v>
      </x:c>
      <x:c r="O321" s="8">
        <x:v>5</x:v>
      </x:c>
      <x:c r="P321" s="6"/>
      <x:c r="Q321" s="19">
        <x:v>0.75</x:v>
      </x:c>
      <x:c r="R321" s="22">
        <x:v>0</x:v>
      </x:c>
      <x:c r="S321" s="22">
        <x:v>0</x:v>
      </x:c>
      <x:c r="T321" s="22">
        <x:v>0</x:v>
      </x:c>
      <x:c r="U321" s="22">
        <x:v>0</x:v>
      </x:c>
      <x:c r="V321" s="22">
        <x:v>0</x:v>
      </x:c>
      <x:c r="W321" s="19">
        <x:v>0</x:v>
      </x:c>
      <x:c r="X321" s="10">
        <x:v>0</x:v>
      </x:c>
      <x:c r="Y321" s="10">
        <x:v>0.3519</x:v>
      </x:c>
      <x:c r="Z321" s="10">
        <x:v>0</x:v>
      </x:c>
      <x:c r="AA321" s="10">
        <x:v>0.0922</x:v>
      </x:c>
      <x:c r="AB321" s="19">
        <x:v>0.207</x:v>
      </x:c>
      <x:c r="AC321" s="16">
        <x:v>0</x:v>
      </x:c>
      <x:c r="AD321" s="10">
        <x:v>0.111</x:v>
      </x:c>
      <x:c r="AE321" s="10">
        <x:v>0.111</x:v>
      </x:c>
      <x:c r="AF321" s="2" t="s">
        <x:v>35</x:v>
      </x:c>
    </x:row>
    <x:row r="322">
      <x:c r="A322" s="4" t="s">
        <x:v>976</x:v>
      </x:c>
      <x:c r="B322" s="4" t="s">
        <x:v>977</x:v>
      </x:c>
      <x:c r="C322" s="4" t="s">
        <x:v>978</x:v>
      </x:c>
      <x:c r="D322" s="6"/>
      <x:c r="E322" s="6"/>
      <x:c r="F322" s="6"/>
      <x:c r="G322" s="6"/>
      <x:c r="H322" s="6"/>
      <x:c r="I322" s="6"/>
      <x:c r="J322" s="8">
        <x:v>1</x:v>
      </x:c>
      <x:c r="K322" s="6"/>
      <x:c r="L322" s="6"/>
      <x:c r="M322" s="6"/>
      <x:c r="N322" s="6"/>
      <x:c r="O322" s="6"/>
      <x:c r="P322" s="6"/>
      <x:c r="Q322" s="22">
        <x:v>0</x:v>
      </x:c>
      <x:c r="R322" s="22">
        <x:v>0</x:v>
      </x:c>
      <x:c r="S322" s="22">
        <x:v>0</x:v>
      </x:c>
      <x:c r="T322" s="22">
        <x:v>0</x:v>
      </x:c>
      <x:c r="U322" s="22">
        <x:v>0</x:v>
      </x:c>
      <x:c r="V322" s="22">
        <x:v>0</x:v>
      </x:c>
      <x:c r="W322" s="22">
        <x:v>0</x:v>
      </x:c>
      <x:c r="X322" s="22">
        <x:v>0</x:v>
      </x:c>
      <x:c r="Y322" s="22">
        <x:v>0</x:v>
      </x:c>
      <x:c r="Z322" s="22">
        <x:v>0</x:v>
      </x:c>
      <x:c r="AA322" s="22">
        <x:v>0</x:v>
      </x:c>
      <x:c r="AB322" s="22">
        <x:v>0</x:v>
      </x:c>
      <x:c r="AC322" s="16">
        <x:v>0</x:v>
      </x:c>
      <x:c r="AF322" s="2" t="s">
        <x:v>35</x:v>
      </x:c>
    </x:row>
    <x:row r="323">
      <x:c r="A323" s="4" t="s">
        <x:v>979</x:v>
      </x:c>
      <x:c r="B323" s="4" t="s">
        <x:v>980</x:v>
      </x:c>
      <x:c r="C323" s="4" t="s">
        <x:v>981</x:v>
      </x:c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22">
        <x:v>0</x:v>
      </x:c>
      <x:c r="R323" s="22">
        <x:v>0</x:v>
      </x:c>
      <x:c r="S323" s="22">
        <x:v>0</x:v>
      </x:c>
      <x:c r="T323" s="22">
        <x:v>0</x:v>
      </x:c>
      <x:c r="U323" s="22">
        <x:v>0</x:v>
      </x:c>
      <x:c r="V323" s="22">
        <x:v>0</x:v>
      </x:c>
      <x:c r="W323" s="22">
        <x:v>0</x:v>
      </x:c>
      <x:c r="X323" s="22">
        <x:v>0</x:v>
      </x:c>
      <x:c r="Y323" s="22">
        <x:v>0</x:v>
      </x:c>
      <x:c r="Z323" s="22">
        <x:v>0</x:v>
      </x:c>
      <x:c r="AA323" s="22">
        <x:v>0</x:v>
      </x:c>
      <x:c r="AB323" s="22">
        <x:v>0</x:v>
      </x:c>
      <x:c r="AC323" s="16">
        <x:v>0</x:v>
      </x:c>
      <x:c r="AF323" s="2" t="s">
        <x:v>35</x:v>
      </x:c>
    </x:row>
    <x:row r="324">
      <x:c r="A324" s="4" t="s">
        <x:v>982</x:v>
      </x:c>
      <x:c r="B324" s="4" t="s">
        <x:v>983</x:v>
      </x:c>
      <x:c r="C324" s="4" t="s">
        <x:v>984</x:v>
      </x:c>
      <x:c r="D324" s="6"/>
      <x:c r="E324" s="6"/>
      <x:c r="F324" s="6"/>
      <x:c r="G324" s="6"/>
      <x:c r="H324" s="6"/>
      <x:c r="I324" s="6"/>
      <x:c r="J324" s="6"/>
      <x:c r="K324" s="6"/>
      <x:c r="L324" s="6"/>
      <x:c r="M324" s="8">
        <x:v>1</x:v>
      </x:c>
      <x:c r="N324" s="6"/>
      <x:c r="O324" s="6"/>
      <x:c r="P324" s="6"/>
      <x:c r="Q324" s="10">
        <x:v>0</x:v>
      </x:c>
      <x:c r="R324" s="10">
        <x:v>0</x:v>
      </x:c>
      <x:c r="S324" s="10">
        <x:v>0</x:v>
      </x:c>
      <x:c r="T324" s="10">
        <x:v>0</x:v>
      </x:c>
      <x:c r="U324" s="10">
        <x:v>0</x:v>
      </x:c>
      <x:c r="V324" s="10">
        <x:v>0</x:v>
      </x:c>
      <x:c r="W324" s="10">
        <x:v>0</x:v>
      </x:c>
      <x:c r="X324" s="10">
        <x:v>0</x:v>
      </x:c>
      <x:c r="Y324" s="10">
        <x:v>0</x:v>
      </x:c>
      <x:c r="Z324" s="10">
        <x:v>0.037</x:v>
      </x:c>
      <x:c r="AA324" s="10">
        <x:v>0</x:v>
      </x:c>
      <x:c r="AB324" s="10">
        <x:v>0</x:v>
      </x:c>
      <x:c r="AC324" s="13">
        <x:v>0</x:v>
      </x:c>
      <x:c r="AD324" s="10">
        <x:v>0.0031</x:v>
      </x:c>
      <x:c r="AE324" s="10">
        <x:v>0.0031</x:v>
      </x:c>
      <x:c r="AF324" s="2" t="s">
        <x:v>51</x:v>
      </x:c>
    </x:row>
    <x:row r="325">
      <x:c r="A325" s="4" t="s">
        <x:v>985</x:v>
      </x:c>
      <x:c r="B325" s="4" t="s">
        <x:v>986</x:v>
      </x:c>
      <x:c r="C325" s="4" t="s">
        <x:v>987</x:v>
      </x:c>
      <x:c r="D325" s="6"/>
      <x:c r="E325" s="6"/>
      <x:c r="F325" s="6"/>
      <x:c r="G325" s="8">
        <x:v>2</x:v>
      </x:c>
      <x:c r="H325" s="6"/>
      <x:c r="I325" s="6"/>
      <x:c r="J325" s="6"/>
      <x:c r="K325" s="6"/>
      <x:c r="L325" s="8">
        <x:v>2</x:v>
      </x:c>
      <x:c r="M325" s="6"/>
      <x:c r="N325" s="8">
        <x:v>2</x:v>
      </x:c>
      <x:c r="O325" s="6"/>
      <x:c r="P325" s="8">
        <x:v>2</x:v>
      </x:c>
      <x:c r="Q325" s="10">
        <x:v>0</x:v>
      </x:c>
      <x:c r="R325" s="10">
        <x:v>0</x:v>
      </x:c>
      <x:c r="S325" s="10">
        <x:v>0</x:v>
      </x:c>
      <x:c r="T325" s="10">
        <x:v>0.0645</x:v>
      </x:c>
      <x:c r="U325" s="10">
        <x:v>0</x:v>
      </x:c>
      <x:c r="V325" s="10">
        <x:v>0</x:v>
      </x:c>
      <x:c r="W325" s="10">
        <x:v>0</x:v>
      </x:c>
      <x:c r="X325" s="10">
        <x:v>0</x:v>
      </x:c>
      <x:c r="Y325" s="10">
        <x:v>0.0587</x:v>
      </x:c>
      <x:c r="Z325" s="10">
        <x:v>0</x:v>
      </x:c>
      <x:c r="AA325" s="10">
        <x:v>0.0614</x:v>
      </x:c>
      <x:c r="AB325" s="10">
        <x:v>0</x:v>
      </x:c>
      <x:c r="AC325" s="13">
        <x:v>0.0645</x:v>
      </x:c>
      <x:c r="AD325" s="10">
        <x:v>0.0154</x:v>
      </x:c>
      <x:c r="AE325" s="10">
        <x:v>0.0154</x:v>
      </x:c>
      <x:c r="AF325" s="2" t="s">
        <x:v>35</x:v>
      </x:c>
    </x:row>
    <x:row r="326">
      <x:c r="A326" s="4" t="s">
        <x:v>988</x:v>
      </x:c>
      <x:c r="B326" s="4" t="s">
        <x:v>989</x:v>
      </x:c>
      <x:c r="C326" s="4" t="s">
        <x:v>990</x:v>
      </x:c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22">
        <x:v>0</x:v>
      </x:c>
      <x:c r="R326" s="22">
        <x:v>0</x:v>
      </x:c>
      <x:c r="S326" s="22">
        <x:v>0</x:v>
      </x:c>
      <x:c r="T326" s="22">
        <x:v>0</x:v>
      </x:c>
      <x:c r="U326" s="22">
        <x:v>0</x:v>
      </x:c>
      <x:c r="V326" s="22">
        <x:v>0</x:v>
      </x:c>
      <x:c r="W326" s="22">
        <x:v>0</x:v>
      </x:c>
      <x:c r="X326" s="22">
        <x:v>0</x:v>
      </x:c>
      <x:c r="Y326" s="22">
        <x:v>0</x:v>
      </x:c>
      <x:c r="Z326" s="22">
        <x:v>0</x:v>
      </x:c>
      <x:c r="AA326" s="22">
        <x:v>0</x:v>
      </x:c>
      <x:c r="AB326" s="22">
        <x:v>0</x:v>
      </x:c>
      <x:c r="AC326" s="16">
        <x:v>0</x:v>
      </x:c>
      <x:c r="AF326" s="2" t="s">
        <x:v>35</x:v>
      </x:c>
    </x:row>
    <x:row r="327">
      <x:c r="A327" s="4" t="s">
        <x:v>991</x:v>
      </x:c>
      <x:c r="B327" s="4" t="s">
        <x:v>992</x:v>
      </x:c>
      <x:c r="C327" s="4" t="s">
        <x:v>993</x:v>
      </x:c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22">
        <x:v>0</x:v>
      </x:c>
      <x:c r="R327" s="22">
        <x:v>0</x:v>
      </x:c>
      <x:c r="S327" s="22">
        <x:v>0</x:v>
      </x:c>
      <x:c r="T327" s="22">
        <x:v>0</x:v>
      </x:c>
      <x:c r="U327" s="22">
        <x:v>0</x:v>
      </x:c>
      <x:c r="V327" s="22">
        <x:v>0</x:v>
      </x:c>
      <x:c r="W327" s="22">
        <x:v>0</x:v>
      </x:c>
      <x:c r="X327" s="22">
        <x:v>0</x:v>
      </x:c>
      <x:c r="Y327" s="22">
        <x:v>0</x:v>
      </x:c>
      <x:c r="Z327" s="22">
        <x:v>0</x:v>
      </x:c>
      <x:c r="AA327" s="22">
        <x:v>0</x:v>
      </x:c>
      <x:c r="AB327" s="22">
        <x:v>0</x:v>
      </x:c>
      <x:c r="AC327" s="16">
        <x:v>0</x:v>
      </x:c>
      <x:c r="AF327" s="2" t="s">
        <x:v>35</x:v>
      </x:c>
    </x:row>
    <x:row r="328">
      <x:c r="A328" s="4" t="s">
        <x:v>994</x:v>
      </x:c>
      <x:c r="B328" s="4" t="s">
        <x:v>995</x:v>
      </x:c>
      <x:c r="C328" s="4" t="s">
        <x:v>996</x:v>
      </x:c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22">
        <x:v>0</x:v>
      </x:c>
      <x:c r="R328" s="22">
        <x:v>0</x:v>
      </x:c>
      <x:c r="S328" s="22">
        <x:v>0</x:v>
      </x:c>
      <x:c r="T328" s="22">
        <x:v>0</x:v>
      </x:c>
      <x:c r="U328" s="22">
        <x:v>0</x:v>
      </x:c>
      <x:c r="V328" s="22">
        <x:v>0</x:v>
      </x:c>
      <x:c r="W328" s="22">
        <x:v>0</x:v>
      </x:c>
      <x:c r="X328" s="22">
        <x:v>0</x:v>
      </x:c>
      <x:c r="Y328" s="22">
        <x:v>0</x:v>
      </x:c>
      <x:c r="Z328" s="22">
        <x:v>0</x:v>
      </x:c>
      <x:c r="AA328" s="22">
        <x:v>0</x:v>
      </x:c>
      <x:c r="AB328" s="22">
        <x:v>0</x:v>
      </x:c>
      <x:c r="AC328" s="16">
        <x:v>0</x:v>
      </x:c>
      <x:c r="AF328" s="2" t="s">
        <x:v>35</x:v>
      </x:c>
    </x:row>
    <x:row r="329">
      <x:c r="A329" s="4" t="s">
        <x:v>997</x:v>
      </x:c>
      <x:c r="B329" s="4" t="s">
        <x:v>998</x:v>
      </x:c>
      <x:c r="C329" s="4" t="s">
        <x:v>999</x:v>
      </x:c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22">
        <x:v>0</x:v>
      </x:c>
      <x:c r="R329" s="22">
        <x:v>0</x:v>
      </x:c>
      <x:c r="S329" s="22">
        <x:v>0</x:v>
      </x:c>
      <x:c r="T329" s="22">
        <x:v>0</x:v>
      </x:c>
      <x:c r="U329" s="22">
        <x:v>0</x:v>
      </x:c>
      <x:c r="V329" s="22">
        <x:v>0</x:v>
      </x:c>
      <x:c r="W329" s="22">
        <x:v>0</x:v>
      </x:c>
      <x:c r="X329" s="22">
        <x:v>0</x:v>
      </x:c>
      <x:c r="Y329" s="22">
        <x:v>0</x:v>
      </x:c>
      <x:c r="Z329" s="22">
        <x:v>0</x:v>
      </x:c>
      <x:c r="AA329" s="22">
        <x:v>0</x:v>
      </x:c>
      <x:c r="AB329" s="22">
        <x:v>0</x:v>
      </x:c>
      <x:c r="AC329" s="16">
        <x:v>0</x:v>
      </x:c>
      <x:c r="AF329" s="2" t="s">
        <x:v>35</x:v>
      </x:c>
    </x:row>
    <x:row r="330">
      <x:c r="A330" s="4" t="s">
        <x:v>1000</x:v>
      </x:c>
      <x:c r="B330" s="4" t="s">
        <x:v>1001</x:v>
      </x:c>
      <x:c r="C330" s="4" t="s">
        <x:v>1002</x:v>
      </x:c>
      <x:c r="D330" s="8">
        <x:v>2</x:v>
      </x:c>
      <x:c r="E330" s="8">
        <x:v>12</x:v>
      </x:c>
      <x:c r="F330" s="8">
        <x:v>-2</x:v>
      </x:c>
      <x:c r="G330" s="8">
        <x:v>3</x:v>
      </x:c>
      <x:c r="H330" s="8">
        <x:v>5</x:v>
      </x:c>
      <x:c r="I330" s="8">
        <x:v>4</x:v>
      </x:c>
      <x:c r="J330" s="8">
        <x:v>7</x:v>
      </x:c>
      <x:c r="K330" s="6"/>
      <x:c r="L330" s="8">
        <x:v>5</x:v>
      </x:c>
      <x:c r="M330" s="8">
        <x:v>3</x:v>
      </x:c>
      <x:c r="N330" s="8">
        <x:v>6</x:v>
      </x:c>
      <x:c r="O330" s="8">
        <x:v>2</x:v>
      </x:c>
      <x:c r="P330" s="8">
        <x:v>2</x:v>
      </x:c>
      <x:c r="Q330" s="19">
        <x:v>0.1818</x:v>
      </x:c>
      <x:c r="R330" s="19">
        <x:v>0.4615</x:v>
      </x:c>
      <x:c r="S330" s="22">
        <x:v>0</x:v>
      </x:c>
      <x:c r="T330" s="19">
        <x:v>0.1875</x:v>
      </x:c>
      <x:c r="U330" s="19">
        <x:v>0.3571</x:v>
      </x:c>
      <x:c r="V330" s="22">
        <x:v>0</x:v>
      </x:c>
      <x:c r="W330" s="19">
        <x:v>0.9722</x:v>
      </x:c>
      <x:c r="X330" s="10">
        <x:v>0</x:v>
      </x:c>
      <x:c r="Y330" s="10">
        <x:v>0.1466</x:v>
      </x:c>
      <x:c r="Z330" s="10">
        <x:v>0.1111</x:v>
      </x:c>
      <x:c r="AA330" s="10">
        <x:v>0.1843</x:v>
      </x:c>
      <x:c r="AB330" s="10">
        <x:v>0.058</x:v>
      </x:c>
      <x:c r="AC330" s="13">
        <x:v>0.0645</x:v>
      </x:c>
      <x:c r="AD330" s="10">
        <x:v>0.1</x:v>
      </x:c>
      <x:c r="AE330" s="10">
        <x:v>0.1</x:v>
      </x:c>
      <x:c r="AF330" s="2" t="s">
        <x:v>35</x:v>
      </x:c>
    </x:row>
    <x:row r="331">
      <x:c r="A331" s="4" t="s">
        <x:v>1003</x:v>
      </x:c>
      <x:c r="B331" s="4" t="s">
        <x:v>1004</x:v>
      </x:c>
      <x:c r="C331" s="4" t="s">
        <x:v>1005</x:v>
      </x:c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22">
        <x:v>0</x:v>
      </x:c>
      <x:c r="R331" s="22">
        <x:v>0</x:v>
      </x:c>
      <x:c r="S331" s="22">
        <x:v>0</x:v>
      </x:c>
      <x:c r="T331" s="22">
        <x:v>0</x:v>
      </x:c>
      <x:c r="U331" s="22">
        <x:v>0</x:v>
      </x:c>
      <x:c r="V331" s="22">
        <x:v>0</x:v>
      </x:c>
      <x:c r="W331" s="22">
        <x:v>0</x:v>
      </x:c>
      <x:c r="X331" s="22">
        <x:v>0</x:v>
      </x:c>
      <x:c r="Y331" s="22">
        <x:v>0</x:v>
      </x:c>
      <x:c r="Z331" s="22">
        <x:v>0</x:v>
      </x:c>
      <x:c r="AA331" s="22">
        <x:v>0</x:v>
      </x:c>
      <x:c r="AB331" s="22">
        <x:v>0</x:v>
      </x:c>
      <x:c r="AC331" s="16">
        <x:v>0</x:v>
      </x:c>
      <x:c r="AF331" s="2" t="s">
        <x:v>51</x:v>
      </x:c>
    </x:row>
    <x:row r="332">
      <x:c r="A332" s="4" t="s">
        <x:v>1006</x:v>
      </x:c>
      <x:c r="B332" s="4" t="s">
        <x:v>1007</x:v>
      </x:c>
      <x:c r="C332" s="4" t="s">
        <x:v>1008</x:v>
      </x:c>
      <x:c r="D332" s="6"/>
      <x:c r="E332" s="6"/>
      <x:c r="F332" s="8">
        <x:v>7</x:v>
      </x:c>
      <x:c r="G332" s="8">
        <x:v>2</x:v>
      </x:c>
      <x:c r="H332" s="6"/>
      <x:c r="I332" s="6"/>
      <x:c r="J332" s="6"/>
      <x:c r="K332" s="8">
        <x:v>6</x:v>
      </x:c>
      <x:c r="L332" s="6"/>
      <x:c r="M332" s="8">
        <x:v>5</x:v>
      </x:c>
      <x:c r="N332" s="8">
        <x:v>1</x:v>
      </x:c>
      <x:c r="O332" s="8">
        <x:v>2</x:v>
      </x:c>
      <x:c r="P332" s="8">
        <x:v>6</x:v>
      </x:c>
      <x:c r="Q332" s="22">
        <x:v>0</x:v>
      </x:c>
      <x:c r="R332" s="22">
        <x:v>0</x:v>
      </x:c>
      <x:c r="S332" s="19">
        <x:v>6.087</x:v>
      </x:c>
      <x:c r="T332" s="22">
        <x:v>0</x:v>
      </x:c>
      <x:c r="U332" s="22">
        <x:v>0</x:v>
      </x:c>
      <x:c r="V332" s="22">
        <x:v>0</x:v>
      </x:c>
      <x:c r="W332" s="19">
        <x:v>0</x:v>
      </x:c>
      <x:c r="X332" s="10">
        <x:v>0.2521</x:v>
      </x:c>
      <x:c r="Y332" s="10">
        <x:v>0</x:v>
      </x:c>
      <x:c r="Z332" s="19">
        <x:v>0.6944</x:v>
      </x:c>
      <x:c r="AA332" s="19">
        <x:v>0.0366</x:v>
      </x:c>
      <x:c r="AB332" s="22">
        <x:v>0</x:v>
      </x:c>
      <x:c r="AC332" s="16">
        <x:v>0.3333</x:v>
      </x:c>
      <x:c r="AD332" s="10">
        <x:v>0.1261</x:v>
      </x:c>
      <x:c r="AE332" s="10">
        <x:v>0.1261</x:v>
      </x:c>
      <x:c r="AF332" s="2" t="s">
        <x:v>35</x:v>
      </x:c>
    </x:row>
    <x:row r="333">
      <x:c r="A333" s="4" t="s">
        <x:v>1009</x:v>
      </x:c>
      <x:c r="B333" s="4" t="s">
        <x:v>1010</x:v>
      </x:c>
      <x:c r="C333" s="4" t="s">
        <x:v>1011</x:v>
      </x:c>
      <x:c r="D333" s="6"/>
      <x:c r="E333" s="6"/>
      <x:c r="F333" s="6"/>
      <x:c r="G333" s="6"/>
      <x:c r="H333" s="8">
        <x:v>1</x:v>
      </x:c>
      <x:c r="I333" s="6"/>
      <x:c r="J333" s="6"/>
      <x:c r="K333" s="6"/>
      <x:c r="L333" s="6"/>
      <x:c r="M333" s="6"/>
      <x:c r="N333" s="6"/>
      <x:c r="O333" s="6"/>
      <x:c r="P333" s="6"/>
      <x:c r="Q333" s="10">
        <x:v>0</x:v>
      </x:c>
      <x:c r="R333" s="10">
        <x:v>0</x:v>
      </x:c>
      <x:c r="S333" s="10">
        <x:v>0</x:v>
      </x:c>
      <x:c r="T333" s="10">
        <x:v>0</x:v>
      </x:c>
      <x:c r="U333" s="10">
        <x:v>0.0333</x:v>
      </x:c>
      <x:c r="V333" s="10">
        <x:v>0</x:v>
      </x:c>
      <x:c r="W333" s="10">
        <x:v>0</x:v>
      </x:c>
      <x:c r="X333" s="10">
        <x:v>0</x:v>
      </x:c>
      <x:c r="Y333" s="10">
        <x:v>0</x:v>
      </x:c>
      <x:c r="Z333" s="10">
        <x:v>0</x:v>
      </x:c>
      <x:c r="AA333" s="10">
        <x:v>0</x:v>
      </x:c>
      <x:c r="AB333" s="10">
        <x:v>0</x:v>
      </x:c>
      <x:c r="AC333" s="13">
        <x:v>0</x:v>
      </x:c>
      <x:c r="AD333" s="10">
        <x:v>0.0028</x:v>
      </x:c>
      <x:c r="AE333" s="10">
        <x:v>0.0028</x:v>
      </x:c>
      <x:c r="AF333" s="2" t="s">
        <x:v>35</x:v>
      </x:c>
    </x:row>
    <x:row r="334">
      <x:c r="A334" s="4" t="s">
        <x:v>1012</x:v>
      </x:c>
      <x:c r="B334" s="4" t="s">
        <x:v>1013</x:v>
      </x:c>
      <x:c r="C334" s="4" t="s">
        <x:v>1014</x:v>
      </x:c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22">
        <x:v>0</x:v>
      </x:c>
      <x:c r="R334" s="22">
        <x:v>0</x:v>
      </x:c>
      <x:c r="S334" s="22">
        <x:v>0</x:v>
      </x:c>
      <x:c r="T334" s="22">
        <x:v>0</x:v>
      </x:c>
      <x:c r="U334" s="22">
        <x:v>0</x:v>
      </x:c>
      <x:c r="V334" s="22">
        <x:v>0</x:v>
      </x:c>
      <x:c r="W334" s="22">
        <x:v>0</x:v>
      </x:c>
      <x:c r="X334" s="22">
        <x:v>0</x:v>
      </x:c>
      <x:c r="Y334" s="22">
        <x:v>0</x:v>
      </x:c>
      <x:c r="Z334" s="22">
        <x:v>0</x:v>
      </x:c>
      <x:c r="AA334" s="22">
        <x:v>0</x:v>
      </x:c>
      <x:c r="AB334" s="22">
        <x:v>0</x:v>
      </x:c>
      <x:c r="AC334" s="16">
        <x:v>0</x:v>
      </x:c>
      <x:c r="AF334" s="2" t="s">
        <x:v>51</x:v>
      </x:c>
    </x:row>
    <x:row r="335">
      <x:c r="A335" s="4" t="s">
        <x:v>1015</x:v>
      </x:c>
      <x:c r="B335" s="4" t="s">
        <x:v>1016</x:v>
      </x:c>
      <x:c r="C335" s="4" t="s">
        <x:v>1017</x:v>
      </x:c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22">
        <x:v>0</x:v>
      </x:c>
      <x:c r="R335" s="22">
        <x:v>0</x:v>
      </x:c>
      <x:c r="S335" s="22">
        <x:v>0</x:v>
      </x:c>
      <x:c r="T335" s="22">
        <x:v>0</x:v>
      </x:c>
      <x:c r="U335" s="22">
        <x:v>0</x:v>
      </x:c>
      <x:c r="V335" s="22">
        <x:v>0</x:v>
      </x:c>
      <x:c r="W335" s="22">
        <x:v>0</x:v>
      </x:c>
      <x:c r="X335" s="22">
        <x:v>0</x:v>
      </x:c>
      <x:c r="Y335" s="22">
        <x:v>0</x:v>
      </x:c>
      <x:c r="Z335" s="22">
        <x:v>0</x:v>
      </x:c>
      <x:c r="AA335" s="22">
        <x:v>0</x:v>
      </x:c>
      <x:c r="AB335" s="22">
        <x:v>0</x:v>
      </x:c>
      <x:c r="AC335" s="16">
        <x:v>0</x:v>
      </x:c>
      <x:c r="AF335" s="2" t="s">
        <x:v>35</x:v>
      </x:c>
    </x:row>
    <x:row r="336">
      <x:c r="A336" s="4" t="s">
        <x:v>1018</x:v>
      </x:c>
      <x:c r="B336" s="4" t="s">
        <x:v>1019</x:v>
      </x:c>
      <x:c r="C336" s="4" t="s">
        <x:v>1020</x:v>
      </x:c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22">
        <x:v>0</x:v>
      </x:c>
      <x:c r="R336" s="22">
        <x:v>0</x:v>
      </x:c>
      <x:c r="S336" s="22">
        <x:v>0</x:v>
      </x:c>
      <x:c r="T336" s="22">
        <x:v>0</x:v>
      </x:c>
      <x:c r="U336" s="22">
        <x:v>0</x:v>
      </x:c>
      <x:c r="V336" s="22">
        <x:v>0</x:v>
      </x:c>
      <x:c r="W336" s="22">
        <x:v>0</x:v>
      </x:c>
      <x:c r="X336" s="22">
        <x:v>0</x:v>
      </x:c>
      <x:c r="Y336" s="22">
        <x:v>0</x:v>
      </x:c>
      <x:c r="Z336" s="22">
        <x:v>0</x:v>
      </x:c>
      <x:c r="AA336" s="22">
        <x:v>0</x:v>
      </x:c>
      <x:c r="AB336" s="22">
        <x:v>0</x:v>
      </x:c>
      <x:c r="AC336" s="16">
        <x:v>0</x:v>
      </x:c>
      <x:c r="AF336" s="2" t="s">
        <x:v>35</x:v>
      </x:c>
    </x:row>
    <x:row r="337">
      <x:c r="A337" s="4" t="s">
        <x:v>1021</x:v>
      </x:c>
      <x:c r="B337" s="4" t="s">
        <x:v>1022</x:v>
      </x:c>
      <x:c r="C337" s="4" t="s">
        <x:v>1023</x:v>
      </x:c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22">
        <x:v>0</x:v>
      </x:c>
      <x:c r="R337" s="22">
        <x:v>0</x:v>
      </x:c>
      <x:c r="S337" s="22">
        <x:v>0</x:v>
      </x:c>
      <x:c r="T337" s="22">
        <x:v>0</x:v>
      </x:c>
      <x:c r="U337" s="22">
        <x:v>0</x:v>
      </x:c>
      <x:c r="V337" s="22">
        <x:v>0</x:v>
      </x:c>
      <x:c r="W337" s="22">
        <x:v>0</x:v>
      </x:c>
      <x:c r="X337" s="22">
        <x:v>0</x:v>
      </x:c>
      <x:c r="Y337" s="22">
        <x:v>0</x:v>
      </x:c>
      <x:c r="Z337" s="22">
        <x:v>0</x:v>
      </x:c>
      <x:c r="AA337" s="22">
        <x:v>0</x:v>
      </x:c>
      <x:c r="AB337" s="22">
        <x:v>0</x:v>
      </x:c>
      <x:c r="AC337" s="16">
        <x:v>0</x:v>
      </x:c>
      <x:c r="AF337" s="2" t="s">
        <x:v>35</x:v>
      </x:c>
    </x:row>
    <x:row r="338">
      <x:c r="A338" s="4" t="s">
        <x:v>1024</x:v>
      </x:c>
      <x:c r="B338" s="4" t="s">
        <x:v>1025</x:v>
      </x:c>
      <x:c r="C338" s="4" t="s">
        <x:v>1026</x:v>
      </x:c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22">
        <x:v>0</x:v>
      </x:c>
      <x:c r="R338" s="22">
        <x:v>0</x:v>
      </x:c>
      <x:c r="S338" s="22">
        <x:v>0</x:v>
      </x:c>
      <x:c r="T338" s="22">
        <x:v>0</x:v>
      </x:c>
      <x:c r="U338" s="22">
        <x:v>0</x:v>
      </x:c>
      <x:c r="V338" s="22">
        <x:v>0</x:v>
      </x:c>
      <x:c r="W338" s="22">
        <x:v>0</x:v>
      </x:c>
      <x:c r="X338" s="22">
        <x:v>0</x:v>
      </x:c>
      <x:c r="Y338" s="22">
        <x:v>0</x:v>
      </x:c>
      <x:c r="Z338" s="22">
        <x:v>0</x:v>
      </x:c>
      <x:c r="AA338" s="22">
        <x:v>0</x:v>
      </x:c>
      <x:c r="AB338" s="22">
        <x:v>0</x:v>
      </x:c>
      <x:c r="AC338" s="16">
        <x:v>0</x:v>
      </x:c>
      <x:c r="AF338" s="2" t="s">
        <x:v>35</x:v>
      </x:c>
    </x:row>
    <x:row r="339">
      <x:c r="A339" s="4" t="s">
        <x:v>1027</x:v>
      </x:c>
      <x:c r="B339" s="4" t="s">
        <x:v>1028</x:v>
      </x:c>
      <x:c r="C339" s="4" t="s">
        <x:v>1029</x:v>
      </x:c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8">
        <x:v>1</x:v>
      </x:c>
      <x:c r="O339" s="6"/>
      <x:c r="P339" s="6"/>
      <x:c r="Q339" s="10">
        <x:v>0</x:v>
      </x:c>
      <x:c r="R339" s="10">
        <x:v>0</x:v>
      </x:c>
      <x:c r="S339" s="10">
        <x:v>0</x:v>
      </x:c>
      <x:c r="T339" s="10">
        <x:v>0</x:v>
      </x:c>
      <x:c r="U339" s="10">
        <x:v>0</x:v>
      </x:c>
      <x:c r="V339" s="10">
        <x:v>0</x:v>
      </x:c>
      <x:c r="W339" s="10">
        <x:v>0</x:v>
      </x:c>
      <x:c r="X339" s="10">
        <x:v>0</x:v>
      </x:c>
      <x:c r="Y339" s="10">
        <x:v>0</x:v>
      </x:c>
      <x:c r="Z339" s="10">
        <x:v>0</x:v>
      </x:c>
      <x:c r="AA339" s="10">
        <x:v>0.0307</x:v>
      </x:c>
      <x:c r="AB339" s="10">
        <x:v>0</x:v>
      </x:c>
      <x:c r="AC339" s="13">
        <x:v>0</x:v>
      </x:c>
      <x:c r="AD339" s="10">
        <x:v>0.0026</x:v>
      </x:c>
      <x:c r="AE339" s="10">
        <x:v>0.0026</x:v>
      </x:c>
      <x:c r="AF339" s="2" t="s">
        <x:v>35</x:v>
      </x:c>
    </x:row>
    <x:row r="340">
      <x:c r="A340" s="4" t="s">
        <x:v>1030</x:v>
      </x:c>
      <x:c r="B340" s="4" t="s">
        <x:v>1031</x:v>
      </x:c>
      <x:c r="C340" s="4" t="s">
        <x:v>1032</x:v>
      </x:c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22">
        <x:v>0</x:v>
      </x:c>
      <x:c r="R340" s="22">
        <x:v>0</x:v>
      </x:c>
      <x:c r="S340" s="22">
        <x:v>0</x:v>
      </x:c>
      <x:c r="T340" s="22">
        <x:v>0</x:v>
      </x:c>
      <x:c r="U340" s="22">
        <x:v>0</x:v>
      </x:c>
      <x:c r="V340" s="22">
        <x:v>0</x:v>
      </x:c>
      <x:c r="W340" s="22">
        <x:v>0</x:v>
      </x:c>
      <x:c r="X340" s="22">
        <x:v>0</x:v>
      </x:c>
      <x:c r="Y340" s="22">
        <x:v>0</x:v>
      </x:c>
      <x:c r="Z340" s="22">
        <x:v>0</x:v>
      </x:c>
      <x:c r="AA340" s="22">
        <x:v>0</x:v>
      </x:c>
      <x:c r="AB340" s="22">
        <x:v>0</x:v>
      </x:c>
      <x:c r="AC340" s="16">
        <x:v>0</x:v>
      </x:c>
      <x:c r="AF340" s="2" t="s">
        <x:v>35</x:v>
      </x:c>
    </x:row>
    <x:row r="341">
      <x:c r="A341" s="4" t="s">
        <x:v>1033</x:v>
      </x:c>
      <x:c r="B341" s="4" t="s">
        <x:v>1034</x:v>
      </x:c>
      <x:c r="C341" s="4"/>
      <x:c r="D341" s="6"/>
      <x:c r="E341" s="6"/>
      <x:c r="F341" s="6"/>
      <x:c r="G341" s="6"/>
      <x:c r="H341" s="6"/>
      <x:c r="I341" s="6"/>
      <x:c r="J341" s="8">
        <x:v>1</x:v>
      </x:c>
      <x:c r="K341" s="6"/>
      <x:c r="L341" s="6"/>
      <x:c r="M341" s="6"/>
      <x:c r="N341" s="6"/>
      <x:c r="O341" s="6"/>
      <x:c r="P341" s="6"/>
      <x:c r="Q341" s="22">
        <x:v>0</x:v>
      </x:c>
      <x:c r="R341" s="22">
        <x:v>0</x:v>
      </x:c>
      <x:c r="S341" s="22">
        <x:v>0</x:v>
      </x:c>
      <x:c r="T341" s="22">
        <x:v>0</x:v>
      </x:c>
      <x:c r="U341" s="22">
        <x:v>0</x:v>
      </x:c>
      <x:c r="V341" s="22">
        <x:v>0</x:v>
      </x:c>
      <x:c r="W341" s="22">
        <x:v>0</x:v>
      </x:c>
      <x:c r="X341" s="22">
        <x:v>0</x:v>
      </x:c>
      <x:c r="Y341" s="22">
        <x:v>0</x:v>
      </x:c>
      <x:c r="Z341" s="22">
        <x:v>0</x:v>
      </x:c>
      <x:c r="AA341" s="22">
        <x:v>0</x:v>
      </x:c>
      <x:c r="AB341" s="22">
        <x:v>0</x:v>
      </x:c>
      <x:c r="AC341" s="16">
        <x:v>0</x:v>
      </x:c>
      <x:c r="AF341" s="2" t="s">
        <x:v>51</x:v>
      </x:c>
    </x:row>
    <x:row r="342">
      <x:c r="A342" s="4" t="s">
        <x:v>1035</x:v>
      </x:c>
      <x:c r="B342" s="4" t="s">
        <x:v>1036</x:v>
      </x:c>
      <x:c r="C342" s="4" t="s">
        <x:v>1037</x:v>
      </x:c>
      <x:c r="D342" s="8">
        <x:v>4</x:v>
      </x:c>
      <x:c r="E342" s="8">
        <x:v>7</x:v>
      </x:c>
      <x:c r="F342" s="8">
        <x:v>5</x:v>
      </x:c>
      <x:c r="G342" s="8">
        <x:v>1</x:v>
      </x:c>
      <x:c r="H342" s="8">
        <x:v>3</x:v>
      </x:c>
      <x:c r="I342" s="8">
        <x:v>7</x:v>
      </x:c>
      <x:c r="J342" s="8">
        <x:v>5</x:v>
      </x:c>
      <x:c r="K342" s="8">
        <x:v>14</x:v>
      </x:c>
      <x:c r="L342" s="8">
        <x:v>10</x:v>
      </x:c>
      <x:c r="M342" s="8">
        <x:v>5</x:v>
      </x:c>
      <x:c r="N342" s="8">
        <x:v>5</x:v>
      </x:c>
      <x:c r="O342" s="8">
        <x:v>5</x:v>
      </x:c>
      <x:c r="P342" s="8">
        <x:v>19</x:v>
      </x:c>
      <x:c r="Q342" s="10">
        <x:v>0.129</x:v>
      </x:c>
      <x:c r="R342" s="10">
        <x:v>0.2258</x:v>
      </x:c>
      <x:c r="S342" s="10">
        <x:v>0.1449</x:v>
      </x:c>
      <x:c r="T342" s="10">
        <x:v>0.0323</x:v>
      </x:c>
      <x:c r="U342" s="10">
        <x:v>0.1</x:v>
      </x:c>
      <x:c r="V342" s="10">
        <x:v>0.2258</x:v>
      </x:c>
      <x:c r="W342" s="10">
        <x:v>0.2016</x:v>
      </x:c>
      <x:c r="X342" s="10">
        <x:v>0.5882</x:v>
      </x:c>
      <x:c r="Y342" s="19">
        <x:v>0.3788</x:v>
      </x:c>
      <x:c r="Z342" s="19">
        <x:v>5.5556</x:v>
      </x:c>
      <x:c r="AA342" s="19">
        <x:v>0.1832</x:v>
      </x:c>
      <x:c r="AB342" s="19">
        <x:v>0.4348</x:v>
      </x:c>
      <x:c r="AC342" s="16">
        <x:v>1.0556</x:v>
      </x:c>
      <x:c r="AD342" s="10">
        <x:v>0.206</x:v>
      </x:c>
      <x:c r="AE342" s="10">
        <x:v>0.206</x:v>
      </x:c>
      <x:c r="AF342" s="2" t="s">
        <x:v>35</x:v>
      </x:c>
    </x:row>
    <x:row r="343">
      <x:c r="A343" s="4" t="s">
        <x:v>1038</x:v>
      </x:c>
      <x:c r="B343" s="4" t="s">
        <x:v>1039</x:v>
      </x:c>
      <x:c r="C343" s="4" t="s">
        <x:v>1040</x:v>
      </x:c>
      <x:c r="D343" s="6"/>
      <x:c r="E343" s="8">
        <x:v>1</x:v>
      </x:c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10">
        <x:v>0</x:v>
      </x:c>
      <x:c r="R343" s="10">
        <x:v>0.0323</x:v>
      </x:c>
      <x:c r="S343" s="10">
        <x:v>0</x:v>
      </x:c>
      <x:c r="T343" s="10">
        <x:v>0</x:v>
      </x:c>
      <x:c r="U343" s="10">
        <x:v>0</x:v>
      </x:c>
      <x:c r="V343" s="10">
        <x:v>0</x:v>
      </x:c>
      <x:c r="W343" s="10">
        <x:v>0</x:v>
      </x:c>
      <x:c r="X343" s="10">
        <x:v>0</x:v>
      </x:c>
      <x:c r="Y343" s="10">
        <x:v>0</x:v>
      </x:c>
      <x:c r="Z343" s="10">
        <x:v>0</x:v>
      </x:c>
      <x:c r="AA343" s="10">
        <x:v>0</x:v>
      </x:c>
      <x:c r="AB343" s="10">
        <x:v>0</x:v>
      </x:c>
      <x:c r="AC343" s="13">
        <x:v>0</x:v>
      </x:c>
      <x:c r="AD343" s="10">
        <x:v>0.0027</x:v>
      </x:c>
      <x:c r="AE343" s="10">
        <x:v>0.0027</x:v>
      </x:c>
      <x:c r="AF343" s="2" t="s">
        <x:v>35</x:v>
      </x:c>
    </x:row>
    <x:row r="344">
      <x:c r="A344" s="4" t="s">
        <x:v>1041</x:v>
      </x:c>
      <x:c r="B344" s="4" t="s">
        <x:v>1042</x:v>
      </x:c>
      <x:c r="C344" s="4" t="s">
        <x:v>1043</x:v>
      </x:c>
      <x:c r="D344" s="6"/>
      <x:c r="E344" s="8">
        <x:v>1</x:v>
      </x:c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22">
        <x:v>0</x:v>
      </x:c>
      <x:c r="R344" s="22">
        <x:v>0</x:v>
      </x:c>
      <x:c r="S344" s="22">
        <x:v>0</x:v>
      </x:c>
      <x:c r="T344" s="22">
        <x:v>0</x:v>
      </x:c>
      <x:c r="U344" s="22">
        <x:v>0</x:v>
      </x:c>
      <x:c r="V344" s="22">
        <x:v>0</x:v>
      </x:c>
      <x:c r="W344" s="22">
        <x:v>0</x:v>
      </x:c>
      <x:c r="X344" s="22">
        <x:v>0</x:v>
      </x:c>
      <x:c r="Y344" s="22">
        <x:v>0</x:v>
      </x:c>
      <x:c r="Z344" s="22">
        <x:v>0</x:v>
      </x:c>
      <x:c r="AA344" s="22">
        <x:v>0</x:v>
      </x:c>
      <x:c r="AB344" s="22">
        <x:v>0</x:v>
      </x:c>
      <x:c r="AC344" s="16">
        <x:v>0</x:v>
      </x:c>
      <x:c r="AF344" s="2" t="s">
        <x:v>35</x:v>
      </x:c>
    </x:row>
    <x:row r="345">
      <x:c r="A345" s="4" t="s">
        <x:v>1044</x:v>
      </x:c>
      <x:c r="B345" s="4" t="s">
        <x:v>1045</x:v>
      </x:c>
      <x:c r="C345" s="4" t="s">
        <x:v>1046</x:v>
      </x:c>
      <x:c r="D345" s="6"/>
      <x:c r="E345" s="8">
        <x:v>1</x:v>
      </x:c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22">
        <x:v>0</x:v>
      </x:c>
      <x:c r="R345" s="22">
        <x:v>0</x:v>
      </x:c>
      <x:c r="S345" s="22">
        <x:v>0</x:v>
      </x:c>
      <x:c r="T345" s="22">
        <x:v>0</x:v>
      </x:c>
      <x:c r="U345" s="22">
        <x:v>0</x:v>
      </x:c>
      <x:c r="V345" s="22">
        <x:v>0</x:v>
      </x:c>
      <x:c r="W345" s="22">
        <x:v>0</x:v>
      </x:c>
      <x:c r="X345" s="22">
        <x:v>0</x:v>
      </x:c>
      <x:c r="Y345" s="22">
        <x:v>0</x:v>
      </x:c>
      <x:c r="Z345" s="22">
        <x:v>0</x:v>
      </x:c>
      <x:c r="AA345" s="22">
        <x:v>0</x:v>
      </x:c>
      <x:c r="AB345" s="22">
        <x:v>0</x:v>
      </x:c>
      <x:c r="AC345" s="16">
        <x:v>0</x:v>
      </x:c>
      <x:c r="AF345" s="2" t="s">
        <x:v>35</x:v>
      </x:c>
    </x:row>
    <x:row r="346">
      <x:c r="A346" s="4" t="s">
        <x:v>1047</x:v>
      </x:c>
      <x:c r="B346" s="4" t="s">
        <x:v>1048</x:v>
      </x:c>
      <x:c r="C346" s="4" t="s">
        <x:v>1049</x:v>
      </x:c>
      <x:c r="D346" s="6"/>
      <x:c r="E346" s="8">
        <x:v>1</x:v>
      </x:c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22">
        <x:v>0</x:v>
      </x:c>
      <x:c r="R346" s="22">
        <x:v>0</x:v>
      </x:c>
      <x:c r="S346" s="22">
        <x:v>0</x:v>
      </x:c>
      <x:c r="T346" s="22">
        <x:v>0</x:v>
      </x:c>
      <x:c r="U346" s="22">
        <x:v>0</x:v>
      </x:c>
      <x:c r="V346" s="22">
        <x:v>0</x:v>
      </x:c>
      <x:c r="W346" s="22">
        <x:v>0</x:v>
      </x:c>
      <x:c r="X346" s="22">
        <x:v>0</x:v>
      </x:c>
      <x:c r="Y346" s="22">
        <x:v>0</x:v>
      </x:c>
      <x:c r="Z346" s="22">
        <x:v>0</x:v>
      </x:c>
      <x:c r="AA346" s="22">
        <x:v>0</x:v>
      </x:c>
      <x:c r="AB346" s="22">
        <x:v>0</x:v>
      </x:c>
      <x:c r="AC346" s="16">
        <x:v>0</x:v>
      </x:c>
      <x:c r="AF346" s="2" t="s">
        <x:v>35</x:v>
      </x:c>
    </x:row>
    <x:row r="347">
      <x:c r="A347" s="4" t="s">
        <x:v>1050</x:v>
      </x:c>
      <x:c r="B347" s="4" t="s">
        <x:v>1051</x:v>
      </x:c>
      <x:c r="C347" s="4" t="s">
        <x:v>1052</x:v>
      </x:c>
      <x:c r="D347" s="6"/>
      <x:c r="E347" s="6"/>
      <x:c r="F347" s="8">
        <x:v>3</x:v>
      </x:c>
      <x:c r="G347" s="6"/>
      <x:c r="H347" s="6"/>
      <x:c r="I347" s="6"/>
      <x:c r="J347" s="6"/>
      <x:c r="K347" s="6"/>
      <x:c r="L347" s="6"/>
      <x:c r="M347" s="6"/>
      <x:c r="N347" s="8">
        <x:v>1</x:v>
      </x:c>
      <x:c r="O347" s="6"/>
      <x:c r="P347" s="6"/>
      <x:c r="Q347" s="22">
        <x:v>0</x:v>
      </x:c>
      <x:c r="R347" s="22">
        <x:v>0</x:v>
      </x:c>
      <x:c r="S347" s="22">
        <x:v>0</x:v>
      </x:c>
      <x:c r="T347" s="22">
        <x:v>0</x:v>
      </x:c>
      <x:c r="U347" s="22">
        <x:v>0</x:v>
      </x:c>
      <x:c r="V347" s="22">
        <x:v>0</x:v>
      </x:c>
      <x:c r="W347" s="22">
        <x:v>0</x:v>
      </x:c>
      <x:c r="X347" s="22">
        <x:v>0</x:v>
      </x:c>
      <x:c r="Y347" s="22">
        <x:v>0</x:v>
      </x:c>
      <x:c r="Z347" s="22">
        <x:v>0</x:v>
      </x:c>
      <x:c r="AA347" s="22">
        <x:v>0</x:v>
      </x:c>
      <x:c r="AB347" s="22">
        <x:v>0</x:v>
      </x:c>
      <x:c r="AC347" s="16">
        <x:v>0</x:v>
      </x:c>
      <x:c r="AF347" s="2" t="s">
        <x:v>35</x:v>
      </x:c>
    </x:row>
    <x:row r="348">
      <x:c r="A348" s="4" t="s">
        <x:v>1053</x:v>
      </x:c>
      <x:c r="B348" s="4" t="s">
        <x:v>1054</x:v>
      </x:c>
      <x:c r="C348" s="4" t="s">
        <x:v>1055</x:v>
      </x:c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22">
        <x:v>0</x:v>
      </x:c>
      <x:c r="R348" s="22">
        <x:v>0</x:v>
      </x:c>
      <x:c r="S348" s="22">
        <x:v>0</x:v>
      </x:c>
      <x:c r="T348" s="22">
        <x:v>0</x:v>
      </x:c>
      <x:c r="U348" s="22">
        <x:v>0</x:v>
      </x:c>
      <x:c r="V348" s="22">
        <x:v>0</x:v>
      </x:c>
      <x:c r="W348" s="22">
        <x:v>0</x:v>
      </x:c>
      <x:c r="X348" s="22">
        <x:v>0</x:v>
      </x:c>
      <x:c r="Y348" s="22">
        <x:v>0</x:v>
      </x:c>
      <x:c r="Z348" s="22">
        <x:v>0</x:v>
      </x:c>
      <x:c r="AA348" s="22">
        <x:v>0</x:v>
      </x:c>
      <x:c r="AB348" s="22">
        <x:v>0</x:v>
      </x:c>
      <x:c r="AC348" s="16">
        <x:v>0</x:v>
      </x:c>
      <x:c r="AF348" s="2" t="s">
        <x:v>35</x:v>
      </x:c>
    </x:row>
    <x:row r="349">
      <x:c r="A349" s="4" t="s">
        <x:v>1056</x:v>
      </x:c>
      <x:c r="B349" s="4" t="s">
        <x:v>1057</x:v>
      </x:c>
      <x:c r="C349" s="4" t="s">
        <x:v>1058</x:v>
      </x:c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22">
        <x:v>0</x:v>
      </x:c>
      <x:c r="R349" s="22">
        <x:v>0</x:v>
      </x:c>
      <x:c r="S349" s="22">
        <x:v>0</x:v>
      </x:c>
      <x:c r="T349" s="22">
        <x:v>0</x:v>
      </x:c>
      <x:c r="U349" s="22">
        <x:v>0</x:v>
      </x:c>
      <x:c r="V349" s="22">
        <x:v>0</x:v>
      </x:c>
      <x:c r="W349" s="22">
        <x:v>0</x:v>
      </x:c>
      <x:c r="X349" s="22">
        <x:v>0</x:v>
      </x:c>
      <x:c r="Y349" s="22">
        <x:v>0</x:v>
      </x:c>
      <x:c r="Z349" s="22">
        <x:v>0</x:v>
      </x:c>
      <x:c r="AA349" s="22">
        <x:v>0</x:v>
      </x:c>
      <x:c r="AB349" s="22">
        <x:v>0</x:v>
      </x:c>
      <x:c r="AC349" s="16">
        <x:v>0</x:v>
      </x:c>
      <x:c r="AF349" s="2" t="s">
        <x:v>51</x:v>
      </x:c>
    </x:row>
    <x:row r="350">
      <x:c r="A350" s="4" t="s">
        <x:v>1059</x:v>
      </x:c>
      <x:c r="B350" s="4" t="s">
        <x:v>1060</x:v>
      </x:c>
      <x:c r="C350" s="4" t="s">
        <x:v>1061</x:v>
      </x:c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22">
        <x:v>0</x:v>
      </x:c>
      <x:c r="R350" s="22">
        <x:v>0</x:v>
      </x:c>
      <x:c r="S350" s="22">
        <x:v>0</x:v>
      </x:c>
      <x:c r="T350" s="22">
        <x:v>0</x:v>
      </x:c>
      <x:c r="U350" s="22">
        <x:v>0</x:v>
      </x:c>
      <x:c r="V350" s="22">
        <x:v>0</x:v>
      </x:c>
      <x:c r="W350" s="22">
        <x:v>0</x:v>
      </x:c>
      <x:c r="X350" s="22">
        <x:v>0</x:v>
      </x:c>
      <x:c r="Y350" s="22">
        <x:v>0</x:v>
      </x:c>
      <x:c r="Z350" s="22">
        <x:v>0</x:v>
      </x:c>
      <x:c r="AA350" s="22">
        <x:v>0</x:v>
      </x:c>
      <x:c r="AB350" s="22">
        <x:v>0</x:v>
      </x:c>
      <x:c r="AC350" s="16">
        <x:v>0</x:v>
      </x:c>
      <x:c r="AF350" s="2" t="s">
        <x:v>51</x:v>
      </x:c>
    </x:row>
    <x:row r="351">
      <x:c r="A351" s="4" t="s">
        <x:v>1062</x:v>
      </x:c>
      <x:c r="B351" s="4" t="s">
        <x:v>1063</x:v>
      </x:c>
      <x:c r="C351" s="4" t="s">
        <x:v>1064</x:v>
      </x:c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22">
        <x:v>0</x:v>
      </x:c>
      <x:c r="R351" s="22">
        <x:v>0</x:v>
      </x:c>
      <x:c r="S351" s="22">
        <x:v>0</x:v>
      </x:c>
      <x:c r="T351" s="22">
        <x:v>0</x:v>
      </x:c>
      <x:c r="U351" s="22">
        <x:v>0</x:v>
      </x:c>
      <x:c r="V351" s="22">
        <x:v>0</x:v>
      </x:c>
      <x:c r="W351" s="22">
        <x:v>0</x:v>
      </x:c>
      <x:c r="X351" s="22">
        <x:v>0</x:v>
      </x:c>
      <x:c r="Y351" s="22">
        <x:v>0</x:v>
      </x:c>
      <x:c r="Z351" s="22">
        <x:v>0</x:v>
      </x:c>
      <x:c r="AA351" s="22">
        <x:v>0</x:v>
      </x:c>
      <x:c r="AB351" s="22">
        <x:v>0</x:v>
      </x:c>
      <x:c r="AC351" s="16">
        <x:v>0</x:v>
      </x:c>
      <x:c r="AF351" s="2" t="s">
        <x:v>35</x:v>
      </x:c>
    </x:row>
    <x:row r="352">
      <x:c r="A352" s="4" t="s">
        <x:v>1065</x:v>
      </x:c>
      <x:c r="B352" s="4" t="s">
        <x:v>1066</x:v>
      </x:c>
      <x:c r="C352" s="4" t="s">
        <x:v>1067</x:v>
      </x:c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22">
        <x:v>0</x:v>
      </x:c>
      <x:c r="R352" s="22">
        <x:v>0</x:v>
      </x:c>
      <x:c r="S352" s="22">
        <x:v>0</x:v>
      </x:c>
      <x:c r="T352" s="22">
        <x:v>0</x:v>
      </x:c>
      <x:c r="U352" s="22">
        <x:v>0</x:v>
      </x:c>
      <x:c r="V352" s="22">
        <x:v>0</x:v>
      </x:c>
      <x:c r="W352" s="22">
        <x:v>0</x:v>
      </x:c>
      <x:c r="X352" s="22">
        <x:v>0</x:v>
      </x:c>
      <x:c r="Y352" s="22">
        <x:v>0</x:v>
      </x:c>
      <x:c r="Z352" s="22">
        <x:v>0</x:v>
      </x:c>
      <x:c r="AA352" s="22">
        <x:v>0</x:v>
      </x:c>
      <x:c r="AB352" s="22">
        <x:v>0</x:v>
      </x:c>
      <x:c r="AC352" s="16">
        <x:v>0</x:v>
      </x:c>
      <x:c r="AF352" s="2" t="s">
        <x:v>35</x:v>
      </x:c>
    </x:row>
    <x:row r="353">
      <x:c r="A353" s="4" t="s">
        <x:v>1068</x:v>
      </x:c>
      <x:c r="B353" s="4" t="s">
        <x:v>1069</x:v>
      </x:c>
      <x:c r="C353" s="4" t="s">
        <x:v>1070</x:v>
      </x:c>
      <x:c r="D353" s="6"/>
      <x:c r="E353" s="8">
        <x:v>1</x:v>
      </x:c>
      <x:c r="F353" s="6"/>
      <x:c r="G353" s="8">
        <x:v>1</x:v>
      </x:c>
      <x:c r="H353" s="8">
        <x:v>6</x:v>
      </x:c>
      <x:c r="I353" s="6"/>
      <x:c r="J353" s="6"/>
      <x:c r="K353" s="6"/>
      <x:c r="L353" s="6"/>
      <x:c r="M353" s="8">
        <x:v>1</x:v>
      </x:c>
      <x:c r="N353" s="6"/>
      <x:c r="O353" s="6"/>
      <x:c r="P353" s="8">
        <x:v>3</x:v>
      </x:c>
      <x:c r="Q353" s="22">
        <x:v>0</x:v>
      </x:c>
      <x:c r="R353" s="22">
        <x:v>0</x:v>
      </x:c>
      <x:c r="S353" s="22">
        <x:v>0</x:v>
      </x:c>
      <x:c r="T353" s="22">
        <x:v>0</x:v>
      </x:c>
      <x:c r="U353" s="22">
        <x:v>0</x:v>
      </x:c>
      <x:c r="V353" s="22">
        <x:v>0</x:v>
      </x:c>
      <x:c r="W353" s="22">
        <x:v>0</x:v>
      </x:c>
      <x:c r="X353" s="22">
        <x:v>0</x:v>
      </x:c>
      <x:c r="Y353" s="22">
        <x:v>0</x:v>
      </x:c>
      <x:c r="Z353" s="22">
        <x:v>0</x:v>
      </x:c>
      <x:c r="AA353" s="22">
        <x:v>0</x:v>
      </x:c>
      <x:c r="AB353" s="22">
        <x:v>0</x:v>
      </x:c>
      <x:c r="AC353" s="16">
        <x:v>0.1667</x:v>
      </x:c>
      <x:c r="AF353" s="2" t="s">
        <x:v>35</x:v>
      </x:c>
    </x:row>
    <x:row r="354">
      <x:c r="A354" s="4" t="s">
        <x:v>1071</x:v>
      </x:c>
      <x:c r="B354" s="4" t="s">
        <x:v>1072</x:v>
      </x:c>
      <x:c r="C354" s="4" t="s">
        <x:v>1073</x:v>
      </x:c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22">
        <x:v>0</x:v>
      </x:c>
      <x:c r="R354" s="22">
        <x:v>0</x:v>
      </x:c>
      <x:c r="S354" s="22">
        <x:v>0</x:v>
      </x:c>
      <x:c r="T354" s="22">
        <x:v>0</x:v>
      </x:c>
      <x:c r="U354" s="22">
        <x:v>0</x:v>
      </x:c>
      <x:c r="V354" s="22">
        <x:v>0</x:v>
      </x:c>
      <x:c r="W354" s="22">
        <x:v>0</x:v>
      </x:c>
      <x:c r="X354" s="22">
        <x:v>0</x:v>
      </x:c>
      <x:c r="Y354" s="22">
        <x:v>0</x:v>
      </x:c>
      <x:c r="Z354" s="22">
        <x:v>0</x:v>
      </x:c>
      <x:c r="AA354" s="22">
        <x:v>0</x:v>
      </x:c>
      <x:c r="AB354" s="22">
        <x:v>0</x:v>
      </x:c>
      <x:c r="AC354" s="16">
        <x:v>0</x:v>
      </x:c>
      <x:c r="AF354" s="2" t="s">
        <x:v>35</x:v>
      </x:c>
    </x:row>
    <x:row r="355">
      <x:c r="A355" s="4" t="s">
        <x:v>1074</x:v>
      </x:c>
      <x:c r="B355" s="4" t="s">
        <x:v>1075</x:v>
      </x:c>
      <x:c r="C355" s="4" t="s">
        <x:v>1076</x:v>
      </x:c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22">
        <x:v>0</x:v>
      </x:c>
      <x:c r="R355" s="22">
        <x:v>0</x:v>
      </x:c>
      <x:c r="S355" s="22">
        <x:v>0</x:v>
      </x:c>
      <x:c r="T355" s="22">
        <x:v>0</x:v>
      </x:c>
      <x:c r="U355" s="22">
        <x:v>0</x:v>
      </x:c>
      <x:c r="V355" s="22">
        <x:v>0</x:v>
      </x:c>
      <x:c r="W355" s="22">
        <x:v>0</x:v>
      </x:c>
      <x:c r="X355" s="22">
        <x:v>0</x:v>
      </x:c>
      <x:c r="Y355" s="22">
        <x:v>0</x:v>
      </x:c>
      <x:c r="Z355" s="22">
        <x:v>0</x:v>
      </x:c>
      <x:c r="AA355" s="22">
        <x:v>0</x:v>
      </x:c>
      <x:c r="AB355" s="22">
        <x:v>0</x:v>
      </x:c>
      <x:c r="AC355" s="16">
        <x:v>0</x:v>
      </x:c>
      <x:c r="AF355" s="2" t="s">
        <x:v>35</x:v>
      </x:c>
    </x:row>
    <x:row r="356">
      <x:c r="A356" s="4" t="s">
        <x:v>1077</x:v>
      </x:c>
      <x:c r="B356" s="4" t="s">
        <x:v>1078</x:v>
      </x:c>
      <x:c r="C356" s="4" t="s">
        <x:v>1079</x:v>
      </x:c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22">
        <x:v>0</x:v>
      </x:c>
      <x:c r="R356" s="22">
        <x:v>0</x:v>
      </x:c>
      <x:c r="S356" s="22">
        <x:v>0</x:v>
      </x:c>
      <x:c r="T356" s="22">
        <x:v>0</x:v>
      </x:c>
      <x:c r="U356" s="22">
        <x:v>0</x:v>
      </x:c>
      <x:c r="V356" s="22">
        <x:v>0</x:v>
      </x:c>
      <x:c r="W356" s="22">
        <x:v>0</x:v>
      </x:c>
      <x:c r="X356" s="22">
        <x:v>0</x:v>
      </x:c>
      <x:c r="Y356" s="22">
        <x:v>0</x:v>
      </x:c>
      <x:c r="Z356" s="22">
        <x:v>0</x:v>
      </x:c>
      <x:c r="AA356" s="22">
        <x:v>0</x:v>
      </x:c>
      <x:c r="AB356" s="22">
        <x:v>0</x:v>
      </x:c>
      <x:c r="AC356" s="16">
        <x:v>0</x:v>
      </x:c>
      <x:c r="AF356" s="2" t="s">
        <x:v>35</x:v>
      </x:c>
    </x:row>
    <x:row r="357">
      <x:c r="A357" s="4" t="s">
        <x:v>1080</x:v>
      </x:c>
      <x:c r="B357" s="4" t="s">
        <x:v>1081</x:v>
      </x:c>
      <x:c r="C357" s="4" t="s">
        <x:v>1082</x:v>
      </x:c>
      <x:c r="D357" s="8">
        <x:v>1</x:v>
      </x:c>
      <x:c r="E357" s="6"/>
      <x:c r="F357" s="8">
        <x:v>2</x:v>
      </x:c>
      <x:c r="G357" s="8">
        <x:v>2</x:v>
      </x:c>
      <x:c r="H357" s="6"/>
      <x:c r="I357" s="6"/>
      <x:c r="J357" s="8">
        <x:v>2</x:v>
      </x:c>
      <x:c r="K357" s="6"/>
      <x:c r="L357" s="6"/>
      <x:c r="M357" s="8">
        <x:v>1</x:v>
      </x:c>
      <x:c r="N357" s="8">
        <x:v>2</x:v>
      </x:c>
      <x:c r="O357" s="6"/>
      <x:c r="P357" s="6"/>
      <x:c r="Q357" s="19">
        <x:v>0.0909</x:v>
      </x:c>
      <x:c r="R357" s="10">
        <x:v>0</x:v>
      </x:c>
      <x:c r="S357" s="10">
        <x:v>0.058</x:v>
      </x:c>
      <x:c r="T357" s="10">
        <x:v>0.0645</x:v>
      </x:c>
      <x:c r="U357" s="10">
        <x:v>0</x:v>
      </x:c>
      <x:c r="V357" s="10">
        <x:v>0</x:v>
      </x:c>
      <x:c r="W357" s="10">
        <x:v>0.0806</x:v>
      </x:c>
      <x:c r="X357" s="10">
        <x:v>0</x:v>
      </x:c>
      <x:c r="Y357" s="10">
        <x:v>0</x:v>
      </x:c>
      <x:c r="Z357" s="10">
        <x:v>0.037</x:v>
      </x:c>
      <x:c r="AA357" s="19">
        <x:v>0.381</x:v>
      </x:c>
      <x:c r="AB357" s="22">
        <x:v>0</x:v>
      </x:c>
      <x:c r="AC357" s="16">
        <x:v>0</x:v>
      </x:c>
      <x:c r="AD357" s="10">
        <x:v>0.0267</x:v>
      </x:c>
      <x:c r="AE357" s="10">
        <x:v>0.0267</x:v>
      </x:c>
      <x:c r="AF357" s="2" t="s">
        <x:v>35</x:v>
      </x:c>
    </x:row>
    <x:row r="358">
      <x:c r="A358" s="4" t="s">
        <x:v>1083</x:v>
      </x:c>
      <x:c r="B358" s="4" t="s">
        <x:v>1084</x:v>
      </x:c>
      <x:c r="C358" s="4" t="s">
        <x:v>1085</x:v>
      </x:c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22">
        <x:v>0</x:v>
      </x:c>
      <x:c r="R358" s="22">
        <x:v>0</x:v>
      </x:c>
      <x:c r="S358" s="22">
        <x:v>0</x:v>
      </x:c>
      <x:c r="T358" s="22">
        <x:v>0</x:v>
      </x:c>
      <x:c r="U358" s="22">
        <x:v>0</x:v>
      </x:c>
      <x:c r="V358" s="22">
        <x:v>0</x:v>
      </x:c>
      <x:c r="W358" s="22">
        <x:v>0</x:v>
      </x:c>
      <x:c r="X358" s="22">
        <x:v>0</x:v>
      </x:c>
      <x:c r="Y358" s="22">
        <x:v>0</x:v>
      </x:c>
      <x:c r="Z358" s="22">
        <x:v>0</x:v>
      </x:c>
      <x:c r="AA358" s="22">
        <x:v>0</x:v>
      </x:c>
      <x:c r="AB358" s="22">
        <x:v>0</x:v>
      </x:c>
      <x:c r="AC358" s="16">
        <x:v>0</x:v>
      </x:c>
      <x:c r="AF358" s="2" t="s">
        <x:v>35</x:v>
      </x:c>
    </x:row>
    <x:row r="359">
      <x:c r="A359" s="4" t="s">
        <x:v>1086</x:v>
      </x:c>
      <x:c r="B359" s="4" t="s">
        <x:v>1087</x:v>
      </x:c>
      <x:c r="C359" s="4" t="s">
        <x:v>1088</x:v>
      </x:c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22">
        <x:v>0</x:v>
      </x:c>
      <x:c r="R359" s="22">
        <x:v>0</x:v>
      </x:c>
      <x:c r="S359" s="22">
        <x:v>0</x:v>
      </x:c>
      <x:c r="T359" s="22">
        <x:v>0</x:v>
      </x:c>
      <x:c r="U359" s="22">
        <x:v>0</x:v>
      </x:c>
      <x:c r="V359" s="22">
        <x:v>0</x:v>
      </x:c>
      <x:c r="W359" s="22">
        <x:v>0</x:v>
      </x:c>
      <x:c r="X359" s="22">
        <x:v>0</x:v>
      </x:c>
      <x:c r="Y359" s="22">
        <x:v>0</x:v>
      </x:c>
      <x:c r="Z359" s="22">
        <x:v>0</x:v>
      </x:c>
      <x:c r="AA359" s="22">
        <x:v>0</x:v>
      </x:c>
      <x:c r="AB359" s="22">
        <x:v>0</x:v>
      </x:c>
      <x:c r="AC359" s="16">
        <x:v>0</x:v>
      </x:c>
      <x:c r="AF359" s="2" t="s">
        <x:v>35</x:v>
      </x:c>
    </x:row>
    <x:row r="360">
      <x:c r="A360" s="4" t="s">
        <x:v>1089</x:v>
      </x:c>
      <x:c r="B360" s="4" t="s">
        <x:v>1090</x:v>
      </x:c>
      <x:c r="C360" s="4" t="s">
        <x:v>1091</x:v>
      </x:c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22">
        <x:v>0</x:v>
      </x:c>
      <x:c r="R360" s="22">
        <x:v>0</x:v>
      </x:c>
      <x:c r="S360" s="22">
        <x:v>0</x:v>
      </x:c>
      <x:c r="T360" s="22">
        <x:v>0</x:v>
      </x:c>
      <x:c r="U360" s="22">
        <x:v>0</x:v>
      </x:c>
      <x:c r="V360" s="22">
        <x:v>0</x:v>
      </x:c>
      <x:c r="W360" s="22">
        <x:v>0</x:v>
      </x:c>
      <x:c r="X360" s="22">
        <x:v>0</x:v>
      </x:c>
      <x:c r="Y360" s="22">
        <x:v>0</x:v>
      </x:c>
      <x:c r="Z360" s="22">
        <x:v>0</x:v>
      </x:c>
      <x:c r="AA360" s="22">
        <x:v>0</x:v>
      </x:c>
      <x:c r="AB360" s="22">
        <x:v>0</x:v>
      </x:c>
      <x:c r="AC360" s="16">
        <x:v>0</x:v>
      </x:c>
      <x:c r="AF360" s="2" t="s">
        <x:v>35</x:v>
      </x:c>
    </x:row>
    <x:row r="361">
      <x:c r="A361" s="4" t="s">
        <x:v>1092</x:v>
      </x:c>
      <x:c r="B361" s="4" t="s">
        <x:v>1093</x:v>
      </x:c>
      <x:c r="C361" s="4" t="s">
        <x:v>1094</x:v>
      </x:c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22">
        <x:v>0</x:v>
      </x:c>
      <x:c r="R361" s="22">
        <x:v>0</x:v>
      </x:c>
      <x:c r="S361" s="22">
        <x:v>0</x:v>
      </x:c>
      <x:c r="T361" s="22">
        <x:v>0</x:v>
      </x:c>
      <x:c r="U361" s="22">
        <x:v>0</x:v>
      </x:c>
      <x:c r="V361" s="22">
        <x:v>0</x:v>
      </x:c>
      <x:c r="W361" s="22">
        <x:v>0</x:v>
      </x:c>
      <x:c r="X361" s="22">
        <x:v>0</x:v>
      </x:c>
      <x:c r="Y361" s="22">
        <x:v>0</x:v>
      </x:c>
      <x:c r="Z361" s="22">
        <x:v>0</x:v>
      </x:c>
      <x:c r="AA361" s="22">
        <x:v>0</x:v>
      </x:c>
      <x:c r="AB361" s="22">
        <x:v>0</x:v>
      </x:c>
      <x:c r="AC361" s="16">
        <x:v>0</x:v>
      </x:c>
      <x:c r="AF361" s="2" t="s">
        <x:v>35</x:v>
      </x:c>
    </x:row>
    <x:row r="362">
      <x:c r="A362" s="4" t="s">
        <x:v>1095</x:v>
      </x:c>
      <x:c r="B362" s="4" t="s">
        <x:v>1096</x:v>
      </x:c>
      <x:c r="C362" s="4" t="s">
        <x:v>1097</x:v>
      </x:c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22">
        <x:v>0</x:v>
      </x:c>
      <x:c r="R362" s="22">
        <x:v>0</x:v>
      </x:c>
      <x:c r="S362" s="22">
        <x:v>0</x:v>
      </x:c>
      <x:c r="T362" s="22">
        <x:v>0</x:v>
      </x:c>
      <x:c r="U362" s="22">
        <x:v>0</x:v>
      </x:c>
      <x:c r="V362" s="22">
        <x:v>0</x:v>
      </x:c>
      <x:c r="W362" s="22">
        <x:v>0</x:v>
      </x:c>
      <x:c r="X362" s="22">
        <x:v>0</x:v>
      </x:c>
      <x:c r="Y362" s="22">
        <x:v>0</x:v>
      </x:c>
      <x:c r="Z362" s="22">
        <x:v>0</x:v>
      </x:c>
      <x:c r="AA362" s="22">
        <x:v>0</x:v>
      </x:c>
      <x:c r="AB362" s="22">
        <x:v>0</x:v>
      </x:c>
      <x:c r="AC362" s="16">
        <x:v>0</x:v>
      </x:c>
      <x:c r="AF362" s="2" t="s">
        <x:v>35</x:v>
      </x:c>
    </x:row>
    <x:row r="363">
      <x:c r="A363" s="4" t="s">
        <x:v>1098</x:v>
      </x:c>
      <x:c r="B363" s="4" t="s">
        <x:v>1099</x:v>
      </x:c>
      <x:c r="C363" s="4" t="s">
        <x:v>1100</x:v>
      </x:c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22">
        <x:v>0</x:v>
      </x:c>
      <x:c r="R363" s="22">
        <x:v>0</x:v>
      </x:c>
      <x:c r="S363" s="22">
        <x:v>0</x:v>
      </x:c>
      <x:c r="T363" s="22">
        <x:v>0</x:v>
      </x:c>
      <x:c r="U363" s="22">
        <x:v>0</x:v>
      </x:c>
      <x:c r="V363" s="22">
        <x:v>0</x:v>
      </x:c>
      <x:c r="W363" s="22">
        <x:v>0</x:v>
      </x:c>
      <x:c r="X363" s="22">
        <x:v>0</x:v>
      </x:c>
      <x:c r="Y363" s="22">
        <x:v>0</x:v>
      </x:c>
      <x:c r="Z363" s="22">
        <x:v>0</x:v>
      </x:c>
      <x:c r="AA363" s="22">
        <x:v>0</x:v>
      </x:c>
      <x:c r="AB363" s="22">
        <x:v>0</x:v>
      </x:c>
      <x:c r="AC363" s="16">
        <x:v>0</x:v>
      </x:c>
      <x:c r="AF363" s="2" t="s">
        <x:v>35</x:v>
      </x:c>
    </x:row>
    <x:row r="364">
      <x:c r="A364" s="4" t="s">
        <x:v>1101</x:v>
      </x:c>
      <x:c r="B364" s="4" t="s">
        <x:v>1102</x:v>
      </x:c>
      <x:c r="C364" s="4" t="s">
        <x:v>1103</x:v>
      </x:c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22">
        <x:v>0</x:v>
      </x:c>
      <x:c r="R364" s="22">
        <x:v>0</x:v>
      </x:c>
      <x:c r="S364" s="22">
        <x:v>0</x:v>
      </x:c>
      <x:c r="T364" s="22">
        <x:v>0</x:v>
      </x:c>
      <x:c r="U364" s="22">
        <x:v>0</x:v>
      </x:c>
      <x:c r="V364" s="22">
        <x:v>0</x:v>
      </x:c>
      <x:c r="W364" s="22">
        <x:v>0</x:v>
      </x:c>
      <x:c r="X364" s="22">
        <x:v>0</x:v>
      </x:c>
      <x:c r="Y364" s="22">
        <x:v>0</x:v>
      </x:c>
      <x:c r="Z364" s="22">
        <x:v>0</x:v>
      </x:c>
      <x:c r="AA364" s="22">
        <x:v>0</x:v>
      </x:c>
      <x:c r="AB364" s="22">
        <x:v>0</x:v>
      </x:c>
      <x:c r="AC364" s="16">
        <x:v>0</x:v>
      </x:c>
      <x:c r="AF364" s="2" t="s">
        <x:v>35</x:v>
      </x:c>
    </x:row>
    <x:row r="365">
      <x:c r="A365" s="4" t="s">
        <x:v>1104</x:v>
      </x:c>
      <x:c r="B365" s="4" t="s">
        <x:v>1105</x:v>
      </x:c>
      <x:c r="C365" s="4" t="s">
        <x:v>1106</x:v>
      </x:c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22">
        <x:v>0</x:v>
      </x:c>
      <x:c r="R365" s="22">
        <x:v>0</x:v>
      </x:c>
      <x:c r="S365" s="22">
        <x:v>0</x:v>
      </x:c>
      <x:c r="T365" s="22">
        <x:v>0</x:v>
      </x:c>
      <x:c r="U365" s="22">
        <x:v>0</x:v>
      </x:c>
      <x:c r="V365" s="22">
        <x:v>0</x:v>
      </x:c>
      <x:c r="W365" s="22">
        <x:v>0</x:v>
      </x:c>
      <x:c r="X365" s="22">
        <x:v>0</x:v>
      </x:c>
      <x:c r="Y365" s="22">
        <x:v>0</x:v>
      </x:c>
      <x:c r="Z365" s="22">
        <x:v>0</x:v>
      </x:c>
      <x:c r="AA365" s="22">
        <x:v>0</x:v>
      </x:c>
      <x:c r="AB365" s="22">
        <x:v>0</x:v>
      </x:c>
      <x:c r="AC365" s="16">
        <x:v>0</x:v>
      </x:c>
      <x:c r="AF365" s="2" t="s">
        <x:v>35</x:v>
      </x:c>
    </x:row>
    <x:row r="366">
      <x:c r="A366" s="4" t="s">
        <x:v>1107</x:v>
      </x:c>
      <x:c r="B366" s="4" t="s">
        <x:v>1108</x:v>
      </x:c>
      <x:c r="C366" s="4" t="s">
        <x:v>1109</x:v>
      </x:c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22">
        <x:v>0</x:v>
      </x:c>
      <x:c r="R366" s="22">
        <x:v>0</x:v>
      </x:c>
      <x:c r="S366" s="22">
        <x:v>0</x:v>
      </x:c>
      <x:c r="T366" s="22">
        <x:v>0</x:v>
      </x:c>
      <x:c r="U366" s="22">
        <x:v>0</x:v>
      </x:c>
      <x:c r="V366" s="22">
        <x:v>0</x:v>
      </x:c>
      <x:c r="W366" s="22">
        <x:v>0</x:v>
      </x:c>
      <x:c r="X366" s="22">
        <x:v>0</x:v>
      </x:c>
      <x:c r="Y366" s="22">
        <x:v>0</x:v>
      </x:c>
      <x:c r="Z366" s="22">
        <x:v>0</x:v>
      </x:c>
      <x:c r="AA366" s="22">
        <x:v>0</x:v>
      </x:c>
      <x:c r="AB366" s="22">
        <x:v>0</x:v>
      </x:c>
      <x:c r="AC366" s="16">
        <x:v>0</x:v>
      </x:c>
      <x:c r="AF366" s="2" t="s">
        <x:v>35</x:v>
      </x:c>
    </x:row>
    <x:row r="367">
      <x:c r="A367" s="4" t="s">
        <x:v>1110</x:v>
      </x:c>
      <x:c r="B367" s="4" t="s">
        <x:v>1111</x:v>
      </x:c>
      <x:c r="C367" s="4" t="s">
        <x:v>1112</x:v>
      </x:c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22">
        <x:v>0</x:v>
      </x:c>
      <x:c r="R367" s="22">
        <x:v>0</x:v>
      </x:c>
      <x:c r="S367" s="22">
        <x:v>0</x:v>
      </x:c>
      <x:c r="T367" s="22">
        <x:v>0</x:v>
      </x:c>
      <x:c r="U367" s="22">
        <x:v>0</x:v>
      </x:c>
      <x:c r="V367" s="22">
        <x:v>0</x:v>
      </x:c>
      <x:c r="W367" s="22">
        <x:v>0</x:v>
      </x:c>
      <x:c r="X367" s="22">
        <x:v>0</x:v>
      </x:c>
      <x:c r="Y367" s="22">
        <x:v>0</x:v>
      </x:c>
      <x:c r="Z367" s="22">
        <x:v>0</x:v>
      </x:c>
      <x:c r="AA367" s="22">
        <x:v>0</x:v>
      </x:c>
      <x:c r="AB367" s="22">
        <x:v>0</x:v>
      </x:c>
      <x:c r="AC367" s="16">
        <x:v>0</x:v>
      </x:c>
      <x:c r="AF367" s="2" t="s">
        <x:v>35</x:v>
      </x:c>
    </x:row>
    <x:row r="368">
      <x:c r="A368" s="4" t="s">
        <x:v>1113</x:v>
      </x:c>
      <x:c r="B368" s="4" t="s">
        <x:v>1114</x:v>
      </x:c>
      <x:c r="C368" s="4" t="s">
        <x:v>1115</x:v>
      </x:c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22">
        <x:v>0</x:v>
      </x:c>
      <x:c r="R368" s="22">
        <x:v>0</x:v>
      </x:c>
      <x:c r="S368" s="22">
        <x:v>0</x:v>
      </x:c>
      <x:c r="T368" s="22">
        <x:v>0</x:v>
      </x:c>
      <x:c r="U368" s="22">
        <x:v>0</x:v>
      </x:c>
      <x:c r="V368" s="22">
        <x:v>0</x:v>
      </x:c>
      <x:c r="W368" s="22">
        <x:v>0</x:v>
      </x:c>
      <x:c r="X368" s="22">
        <x:v>0</x:v>
      </x:c>
      <x:c r="Y368" s="22">
        <x:v>0</x:v>
      </x:c>
      <x:c r="Z368" s="22">
        <x:v>0</x:v>
      </x:c>
      <x:c r="AA368" s="22">
        <x:v>0</x:v>
      </x:c>
      <x:c r="AB368" s="22">
        <x:v>0</x:v>
      </x:c>
      <x:c r="AC368" s="16">
        <x:v>0</x:v>
      </x:c>
      <x:c r="AF368" s="2" t="s">
        <x:v>35</x:v>
      </x:c>
    </x:row>
    <x:row r="369">
      <x:c r="A369" s="4" t="s">
        <x:v>1116</x:v>
      </x:c>
      <x:c r="B369" s="4" t="s">
        <x:v>1117</x:v>
      </x:c>
      <x:c r="C369" s="4" t="s">
        <x:v>1118</x:v>
      </x:c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22">
        <x:v>0</x:v>
      </x:c>
      <x:c r="R369" s="22">
        <x:v>0</x:v>
      </x:c>
      <x:c r="S369" s="22">
        <x:v>0</x:v>
      </x:c>
      <x:c r="T369" s="22">
        <x:v>0</x:v>
      </x:c>
      <x:c r="U369" s="22">
        <x:v>0</x:v>
      </x:c>
      <x:c r="V369" s="22">
        <x:v>0</x:v>
      </x:c>
      <x:c r="W369" s="22">
        <x:v>0</x:v>
      </x:c>
      <x:c r="X369" s="22">
        <x:v>0</x:v>
      </x:c>
      <x:c r="Y369" s="22">
        <x:v>0</x:v>
      </x:c>
      <x:c r="Z369" s="22">
        <x:v>0</x:v>
      </x:c>
      <x:c r="AA369" s="22">
        <x:v>0</x:v>
      </x:c>
      <x:c r="AB369" s="22">
        <x:v>0</x:v>
      </x:c>
      <x:c r="AC369" s="16">
        <x:v>0</x:v>
      </x:c>
      <x:c r="AF369" s="2" t="s">
        <x:v>35</x:v>
      </x:c>
    </x:row>
    <x:row r="370">
      <x:c r="A370" s="4" t="s">
        <x:v>1119</x:v>
      </x:c>
      <x:c r="B370" s="4" t="s">
        <x:v>1120</x:v>
      </x:c>
      <x:c r="C370" s="4" t="s">
        <x:v>1121</x:v>
      </x:c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22">
        <x:v>0</x:v>
      </x:c>
      <x:c r="R370" s="22">
        <x:v>0</x:v>
      </x:c>
      <x:c r="S370" s="22">
        <x:v>0</x:v>
      </x:c>
      <x:c r="T370" s="22">
        <x:v>0</x:v>
      </x:c>
      <x:c r="U370" s="22">
        <x:v>0</x:v>
      </x:c>
      <x:c r="V370" s="22">
        <x:v>0</x:v>
      </x:c>
      <x:c r="W370" s="22">
        <x:v>0</x:v>
      </x:c>
      <x:c r="X370" s="22">
        <x:v>0</x:v>
      </x:c>
      <x:c r="Y370" s="22">
        <x:v>0</x:v>
      </x:c>
      <x:c r="Z370" s="22">
        <x:v>0</x:v>
      </x:c>
      <x:c r="AA370" s="22">
        <x:v>0</x:v>
      </x:c>
      <x:c r="AB370" s="22">
        <x:v>0</x:v>
      </x:c>
      <x:c r="AC370" s="16">
        <x:v>0</x:v>
      </x:c>
      <x:c r="AF370" s="2" t="s">
        <x:v>35</x:v>
      </x:c>
    </x:row>
    <x:row r="371">
      <x:c r="A371" s="4" t="s">
        <x:v>1122</x:v>
      </x:c>
      <x:c r="B371" s="4" t="s">
        <x:v>1123</x:v>
      </x:c>
      <x:c r="C371" s="4" t="s">
        <x:v>1124</x:v>
      </x:c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22">
        <x:v>0</x:v>
      </x:c>
      <x:c r="R371" s="22">
        <x:v>0</x:v>
      </x:c>
      <x:c r="S371" s="22">
        <x:v>0</x:v>
      </x:c>
      <x:c r="T371" s="22">
        <x:v>0</x:v>
      </x:c>
      <x:c r="U371" s="22">
        <x:v>0</x:v>
      </x:c>
      <x:c r="V371" s="22">
        <x:v>0</x:v>
      </x:c>
      <x:c r="W371" s="22">
        <x:v>0</x:v>
      </x:c>
      <x:c r="X371" s="22">
        <x:v>0</x:v>
      </x:c>
      <x:c r="Y371" s="22">
        <x:v>0</x:v>
      </x:c>
      <x:c r="Z371" s="22">
        <x:v>0</x:v>
      </x:c>
      <x:c r="AA371" s="22">
        <x:v>0</x:v>
      </x:c>
      <x:c r="AB371" s="22">
        <x:v>0</x:v>
      </x:c>
      <x:c r="AC371" s="16">
        <x:v>0</x:v>
      </x:c>
      <x:c r="AF371" s="2" t="s">
        <x:v>35</x:v>
      </x:c>
    </x:row>
    <x:row r="372">
      <x:c r="A372" s="4" t="s">
        <x:v>1125</x:v>
      </x:c>
      <x:c r="B372" s="4" t="s">
        <x:v>1126</x:v>
      </x:c>
      <x:c r="C372" s="4" t="s">
        <x:v>1127</x:v>
      </x:c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22">
        <x:v>0</x:v>
      </x:c>
      <x:c r="R372" s="22">
        <x:v>0</x:v>
      </x:c>
      <x:c r="S372" s="22">
        <x:v>0</x:v>
      </x:c>
      <x:c r="T372" s="22">
        <x:v>0</x:v>
      </x:c>
      <x:c r="U372" s="22">
        <x:v>0</x:v>
      </x:c>
      <x:c r="V372" s="22">
        <x:v>0</x:v>
      </x:c>
      <x:c r="W372" s="22">
        <x:v>0</x:v>
      </x:c>
      <x:c r="X372" s="22">
        <x:v>0</x:v>
      </x:c>
      <x:c r="Y372" s="22">
        <x:v>0</x:v>
      </x:c>
      <x:c r="Z372" s="22">
        <x:v>0</x:v>
      </x:c>
      <x:c r="AA372" s="22">
        <x:v>0</x:v>
      </x:c>
      <x:c r="AB372" s="22">
        <x:v>0</x:v>
      </x:c>
      <x:c r="AC372" s="16">
        <x:v>0</x:v>
      </x:c>
      <x:c r="AF372" s="2" t="s">
        <x:v>35</x:v>
      </x:c>
    </x:row>
    <x:row r="373">
      <x:c r="A373" s="4" t="s">
        <x:v>1128</x:v>
      </x:c>
      <x:c r="B373" s="4" t="s">
        <x:v>1129</x:v>
      </x:c>
      <x:c r="C373" s="4" t="s">
        <x:v>1130</x:v>
      </x:c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22">
        <x:v>0</x:v>
      </x:c>
      <x:c r="R373" s="22">
        <x:v>0</x:v>
      </x:c>
      <x:c r="S373" s="22">
        <x:v>0</x:v>
      </x:c>
      <x:c r="T373" s="22">
        <x:v>0</x:v>
      </x:c>
      <x:c r="U373" s="22">
        <x:v>0</x:v>
      </x:c>
      <x:c r="V373" s="22">
        <x:v>0</x:v>
      </x:c>
      <x:c r="W373" s="22">
        <x:v>0</x:v>
      </x:c>
      <x:c r="X373" s="22">
        <x:v>0</x:v>
      </x:c>
      <x:c r="Y373" s="22">
        <x:v>0</x:v>
      </x:c>
      <x:c r="Z373" s="22">
        <x:v>0</x:v>
      </x:c>
      <x:c r="AA373" s="22">
        <x:v>0</x:v>
      </x:c>
      <x:c r="AB373" s="22">
        <x:v>0</x:v>
      </x:c>
      <x:c r="AC373" s="16">
        <x:v>0</x:v>
      </x:c>
      <x:c r="AF373" s="2" t="s">
        <x:v>35</x:v>
      </x:c>
    </x:row>
    <x:row r="374">
      <x:c r="A374" s="4" t="s">
        <x:v>1131</x:v>
      </x:c>
      <x:c r="B374" s="4" t="s">
        <x:v>1132</x:v>
      </x:c>
      <x:c r="C374" s="4" t="s">
        <x:v>1133</x:v>
      </x:c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22">
        <x:v>0</x:v>
      </x:c>
      <x:c r="R374" s="22">
        <x:v>0</x:v>
      </x:c>
      <x:c r="S374" s="22">
        <x:v>0</x:v>
      </x:c>
      <x:c r="T374" s="22">
        <x:v>0</x:v>
      </x:c>
      <x:c r="U374" s="22">
        <x:v>0</x:v>
      </x:c>
      <x:c r="V374" s="22">
        <x:v>0</x:v>
      </x:c>
      <x:c r="W374" s="22">
        <x:v>0</x:v>
      </x:c>
      <x:c r="X374" s="22">
        <x:v>0</x:v>
      </x:c>
      <x:c r="Y374" s="22">
        <x:v>0</x:v>
      </x:c>
      <x:c r="Z374" s="22">
        <x:v>0</x:v>
      </x:c>
      <x:c r="AA374" s="22">
        <x:v>0</x:v>
      </x:c>
      <x:c r="AB374" s="22">
        <x:v>0</x:v>
      </x:c>
      <x:c r="AC374" s="16">
        <x:v>0</x:v>
      </x:c>
      <x:c r="AF374" s="2" t="s">
        <x:v>35</x:v>
      </x:c>
    </x:row>
    <x:row r="375">
      <x:c r="A375" s="4" t="s">
        <x:v>1134</x:v>
      </x:c>
      <x:c r="B375" s="4" t="s">
        <x:v>1135</x:v>
      </x:c>
      <x:c r="C375" s="4" t="s">
        <x:v>1136</x:v>
      </x:c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22">
        <x:v>0</x:v>
      </x:c>
      <x:c r="R375" s="22">
        <x:v>0</x:v>
      </x:c>
      <x:c r="S375" s="22">
        <x:v>0</x:v>
      </x:c>
      <x:c r="T375" s="22">
        <x:v>0</x:v>
      </x:c>
      <x:c r="U375" s="22">
        <x:v>0</x:v>
      </x:c>
      <x:c r="V375" s="22">
        <x:v>0</x:v>
      </x:c>
      <x:c r="W375" s="22">
        <x:v>0</x:v>
      </x:c>
      <x:c r="X375" s="22">
        <x:v>0</x:v>
      </x:c>
      <x:c r="Y375" s="22">
        <x:v>0</x:v>
      </x:c>
      <x:c r="Z375" s="22">
        <x:v>0</x:v>
      </x:c>
      <x:c r="AA375" s="22">
        <x:v>0</x:v>
      </x:c>
      <x:c r="AB375" s="22">
        <x:v>0</x:v>
      </x:c>
      <x:c r="AC375" s="16">
        <x:v>0</x:v>
      </x:c>
      <x:c r="AF375" s="2" t="s">
        <x:v>35</x:v>
      </x:c>
    </x:row>
    <x:row r="376">
      <x:c r="A376" s="4" t="s">
        <x:v>1137</x:v>
      </x:c>
      <x:c r="B376" s="4" t="s">
        <x:v>1138</x:v>
      </x:c>
      <x:c r="C376" s="4" t="s">
        <x:v>1139</x:v>
      </x:c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8">
        <x:v>2</x:v>
      </x:c>
      <x:c r="O376" s="6"/>
      <x:c r="P376" s="8">
        <x:v>1</x:v>
      </x:c>
      <x:c r="Q376" s="22">
        <x:v>0</x:v>
      </x:c>
      <x:c r="R376" s="22">
        <x:v>0</x:v>
      </x:c>
      <x:c r="S376" s="22">
        <x:v>0</x:v>
      </x:c>
      <x:c r="T376" s="22">
        <x:v>0</x:v>
      </x:c>
      <x:c r="U376" s="22">
        <x:v>0</x:v>
      </x:c>
      <x:c r="V376" s="22">
        <x:v>0</x:v>
      </x:c>
      <x:c r="W376" s="22">
        <x:v>0</x:v>
      </x:c>
      <x:c r="X376" s="22">
        <x:v>0</x:v>
      </x:c>
      <x:c r="Y376" s="22">
        <x:v>0</x:v>
      </x:c>
      <x:c r="Z376" s="22">
        <x:v>0</x:v>
      </x:c>
      <x:c r="AA376" s="22">
        <x:v>0</x:v>
      </x:c>
      <x:c r="AB376" s="22">
        <x:v>0</x:v>
      </x:c>
      <x:c r="AC376" s="16">
        <x:v>1</x:v>
      </x:c>
      <x:c r="AF376" s="2" t="s">
        <x:v>35</x:v>
      </x:c>
    </x:row>
    <x:row r="377">
      <x:c r="A377" s="4" t="s">
        <x:v>1140</x:v>
      </x:c>
      <x:c r="B377" s="4" t="s">
        <x:v>1141</x:v>
      </x:c>
      <x:c r="C377" s="4" t="s">
        <x:v>1142</x:v>
      </x:c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8">
        <x:v>1</x:v>
      </x:c>
      <x:c r="O377" s="6"/>
      <x:c r="P377" s="6"/>
      <x:c r="Q377" s="22">
        <x:v>0</x:v>
      </x:c>
      <x:c r="R377" s="22">
        <x:v>0</x:v>
      </x:c>
      <x:c r="S377" s="22">
        <x:v>0</x:v>
      </x:c>
      <x:c r="T377" s="22">
        <x:v>0</x:v>
      </x:c>
      <x:c r="U377" s="22">
        <x:v>0</x:v>
      </x:c>
      <x:c r="V377" s="22">
        <x:v>0</x:v>
      </x:c>
      <x:c r="W377" s="22">
        <x:v>0</x:v>
      </x:c>
      <x:c r="X377" s="22">
        <x:v>0</x:v>
      </x:c>
      <x:c r="Y377" s="22">
        <x:v>0</x:v>
      </x:c>
      <x:c r="Z377" s="22">
        <x:v>0</x:v>
      </x:c>
      <x:c r="AA377" s="22">
        <x:v>0</x:v>
      </x:c>
      <x:c r="AB377" s="22">
        <x:v>0</x:v>
      </x:c>
      <x:c r="AC377" s="16">
        <x:v>0</x:v>
      </x:c>
      <x:c r="AF377" s="2" t="s">
        <x:v>35</x:v>
      </x:c>
    </x:row>
    <x:row r="378">
      <x:c r="A378" s="4" t="s">
        <x:v>1143</x:v>
      </x:c>
      <x:c r="B378" s="4" t="s">
        <x:v>1144</x:v>
      </x:c>
      <x:c r="C378" s="4" t="s">
        <x:v>1145</x:v>
      </x:c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8">
        <x:v>1</x:v>
      </x:c>
      <x:c r="O378" s="6"/>
      <x:c r="P378" s="6"/>
      <x:c r="Q378" s="22">
        <x:v>0</x:v>
      </x:c>
      <x:c r="R378" s="22">
        <x:v>0</x:v>
      </x:c>
      <x:c r="S378" s="22">
        <x:v>0</x:v>
      </x:c>
      <x:c r="T378" s="22">
        <x:v>0</x:v>
      </x:c>
      <x:c r="U378" s="22">
        <x:v>0</x:v>
      </x:c>
      <x:c r="V378" s="22">
        <x:v>0</x:v>
      </x:c>
      <x:c r="W378" s="22">
        <x:v>0</x:v>
      </x:c>
      <x:c r="X378" s="22">
        <x:v>0</x:v>
      </x:c>
      <x:c r="Y378" s="22">
        <x:v>0</x:v>
      </x:c>
      <x:c r="Z378" s="22">
        <x:v>0</x:v>
      </x:c>
      <x:c r="AA378" s="22">
        <x:v>0</x:v>
      </x:c>
      <x:c r="AB378" s="22">
        <x:v>0</x:v>
      </x:c>
      <x:c r="AC378" s="16">
        <x:v>0</x:v>
      </x:c>
      <x:c r="AF378" s="2" t="s">
        <x:v>35</x:v>
      </x:c>
    </x:row>
    <x:row r="379">
      <x:c r="A379" s="4" t="s">
        <x:v>1146</x:v>
      </x:c>
      <x:c r="B379" s="4" t="s">
        <x:v>1147</x:v>
      </x:c>
      <x:c r="C379" s="4" t="s">
        <x:v>1148</x:v>
      </x:c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8">
        <x:v>1</x:v>
      </x:c>
      <x:c r="O379" s="6"/>
      <x:c r="P379" s="6"/>
      <x:c r="Q379" s="22">
        <x:v>0</x:v>
      </x:c>
      <x:c r="R379" s="22">
        <x:v>0</x:v>
      </x:c>
      <x:c r="S379" s="22">
        <x:v>0</x:v>
      </x:c>
      <x:c r="T379" s="22">
        <x:v>0</x:v>
      </x:c>
      <x:c r="U379" s="22">
        <x:v>0</x:v>
      </x:c>
      <x:c r="V379" s="22">
        <x:v>0</x:v>
      </x:c>
      <x:c r="W379" s="22">
        <x:v>0</x:v>
      </x:c>
      <x:c r="X379" s="22">
        <x:v>0</x:v>
      </x:c>
      <x:c r="Y379" s="22">
        <x:v>0</x:v>
      </x:c>
      <x:c r="Z379" s="22">
        <x:v>0</x:v>
      </x:c>
      <x:c r="AA379" s="22">
        <x:v>0</x:v>
      </x:c>
      <x:c r="AB379" s="22">
        <x:v>0</x:v>
      </x:c>
      <x:c r="AC379" s="16">
        <x:v>0</x:v>
      </x:c>
      <x:c r="AF379" s="2" t="s">
        <x:v>35</x:v>
      </x:c>
    </x:row>
    <x:row r="380">
      <x:c r="A380" s="4" t="s">
        <x:v>1149</x:v>
      </x:c>
      <x:c r="B380" s="4" t="s">
        <x:v>1150</x:v>
      </x:c>
      <x:c r="C380" s="4" t="s">
        <x:v>1151</x:v>
      </x:c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22">
        <x:v>0</x:v>
      </x:c>
      <x:c r="R380" s="22">
        <x:v>0</x:v>
      </x:c>
      <x:c r="S380" s="22">
        <x:v>0</x:v>
      </x:c>
      <x:c r="T380" s="22">
        <x:v>0</x:v>
      </x:c>
      <x:c r="U380" s="22">
        <x:v>0</x:v>
      </x:c>
      <x:c r="V380" s="22">
        <x:v>0</x:v>
      </x:c>
      <x:c r="W380" s="22">
        <x:v>0</x:v>
      </x:c>
      <x:c r="X380" s="22">
        <x:v>0</x:v>
      </x:c>
      <x:c r="Y380" s="22">
        <x:v>0</x:v>
      </x:c>
      <x:c r="Z380" s="22">
        <x:v>0</x:v>
      </x:c>
      <x:c r="AA380" s="22">
        <x:v>0</x:v>
      </x:c>
      <x:c r="AB380" s="22">
        <x:v>0</x:v>
      </x:c>
      <x:c r="AC380" s="16">
        <x:v>0</x:v>
      </x:c>
      <x:c r="AF380" s="2" t="s">
        <x:v>35</x:v>
      </x:c>
    </x:row>
    <x:row r="381">
      <x:c r="A381" s="4" t="s">
        <x:v>1152</x:v>
      </x:c>
      <x:c r="B381" s="4" t="s">
        <x:v>1153</x:v>
      </x:c>
      <x:c r="C381" s="4" t="s">
        <x:v>1154</x:v>
      </x:c>
      <x:c r="D381" s="6"/>
      <x:c r="E381" s="6"/>
      <x:c r="F381" s="6"/>
      <x:c r="G381" s="6"/>
      <x:c r="H381" s="6"/>
      <x:c r="I381" s="6"/>
      <x:c r="J381" s="6"/>
      <x:c r="K381" s="6"/>
      <x:c r="L381" s="8">
        <x:v>6</x:v>
      </x:c>
      <x:c r="M381" s="6"/>
      <x:c r="N381" s="6"/>
      <x:c r="O381" s="6"/>
      <x:c r="P381" s="6"/>
      <x:c r="Q381" s="22">
        <x:v>0</x:v>
      </x:c>
      <x:c r="R381" s="22">
        <x:v>0</x:v>
      </x:c>
      <x:c r="S381" s="22">
        <x:v>0</x:v>
      </x:c>
      <x:c r="T381" s="22">
        <x:v>0</x:v>
      </x:c>
      <x:c r="U381" s="22">
        <x:v>0</x:v>
      </x:c>
      <x:c r="V381" s="22">
        <x:v>0</x:v>
      </x:c>
      <x:c r="W381" s="22">
        <x:v>0</x:v>
      </x:c>
      <x:c r="X381" s="22">
        <x:v>0</x:v>
      </x:c>
      <x:c r="Y381" s="19">
        <x:v>1.3636</x:v>
      </x:c>
      <x:c r="Z381" s="22">
        <x:v>0</x:v>
      </x:c>
      <x:c r="AA381" s="22">
        <x:v>0</x:v>
      </x:c>
      <x:c r="AB381" s="22">
        <x:v>0</x:v>
      </x:c>
      <x:c r="AC381" s="16">
        <x:v>0</x:v>
      </x:c>
      <x:c r="AF381" s="2" t="s">
        <x:v>35</x:v>
      </x:c>
    </x:row>
    <x:row r="382">
      <x:c r="A382" s="4" t="s">
        <x:v>1155</x:v>
      </x:c>
      <x:c r="B382" s="4" t="s">
        <x:v>1156</x:v>
      </x:c>
      <x:c r="C382" s="4" t="s">
        <x:v>1157</x:v>
      </x:c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22">
        <x:v>0</x:v>
      </x:c>
      <x:c r="R382" s="22">
        <x:v>0</x:v>
      </x:c>
      <x:c r="S382" s="22">
        <x:v>0</x:v>
      </x:c>
      <x:c r="T382" s="22">
        <x:v>0</x:v>
      </x:c>
      <x:c r="U382" s="22">
        <x:v>0</x:v>
      </x:c>
      <x:c r="V382" s="22">
        <x:v>0</x:v>
      </x:c>
      <x:c r="W382" s="22">
        <x:v>0</x:v>
      </x:c>
      <x:c r="X382" s="22">
        <x:v>0</x:v>
      </x:c>
      <x:c r="Y382" s="22">
        <x:v>0</x:v>
      </x:c>
      <x:c r="Z382" s="22">
        <x:v>0</x:v>
      </x:c>
      <x:c r="AA382" s="22">
        <x:v>0</x:v>
      </x:c>
      <x:c r="AB382" s="22">
        <x:v>0</x:v>
      </x:c>
      <x:c r="AC382" s="16">
        <x:v>0</x:v>
      </x:c>
      <x:c r="AF382" s="2" t="s">
        <x:v>35</x:v>
      </x:c>
    </x:row>
    <x:row r="383">
      <x:c r="A383" s="4" t="s">
        <x:v>1158</x:v>
      </x:c>
      <x:c r="B383" s="4" t="s">
        <x:v>1159</x:v>
      </x:c>
      <x:c r="C383" s="4" t="s">
        <x:v>1160</x:v>
      </x:c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22">
        <x:v>0</x:v>
      </x:c>
      <x:c r="R383" s="22">
        <x:v>0</x:v>
      </x:c>
      <x:c r="S383" s="22">
        <x:v>0</x:v>
      </x:c>
      <x:c r="T383" s="22">
        <x:v>0</x:v>
      </x:c>
      <x:c r="U383" s="22">
        <x:v>0</x:v>
      </x:c>
      <x:c r="V383" s="22">
        <x:v>0</x:v>
      </x:c>
      <x:c r="W383" s="22">
        <x:v>0</x:v>
      </x:c>
      <x:c r="X383" s="22">
        <x:v>0</x:v>
      </x:c>
      <x:c r="Y383" s="22">
        <x:v>0</x:v>
      </x:c>
      <x:c r="Z383" s="22">
        <x:v>0</x:v>
      </x:c>
      <x:c r="AA383" s="22">
        <x:v>0</x:v>
      </x:c>
      <x:c r="AB383" s="22">
        <x:v>0</x:v>
      </x:c>
      <x:c r="AC383" s="16">
        <x:v>0</x:v>
      </x:c>
      <x:c r="AF383" s="2" t="s">
        <x:v>35</x:v>
      </x:c>
    </x:row>
    <x:row r="384">
      <x:c r="A384" s="4" t="s">
        <x:v>1161</x:v>
      </x:c>
      <x:c r="B384" s="4" t="s">
        <x:v>1162</x:v>
      </x:c>
      <x:c r="C384" s="4" t="s">
        <x:v>1163</x:v>
      </x:c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22">
        <x:v>0</x:v>
      </x:c>
      <x:c r="R384" s="22">
        <x:v>0</x:v>
      </x:c>
      <x:c r="S384" s="22">
        <x:v>0</x:v>
      </x:c>
      <x:c r="T384" s="22">
        <x:v>0</x:v>
      </x:c>
      <x:c r="U384" s="22">
        <x:v>0</x:v>
      </x:c>
      <x:c r="V384" s="22">
        <x:v>0</x:v>
      </x:c>
      <x:c r="W384" s="22">
        <x:v>0</x:v>
      </x:c>
      <x:c r="X384" s="22">
        <x:v>0</x:v>
      </x:c>
      <x:c r="Y384" s="22">
        <x:v>0</x:v>
      </x:c>
      <x:c r="Z384" s="22">
        <x:v>0</x:v>
      </x:c>
      <x:c r="AA384" s="22">
        <x:v>0</x:v>
      </x:c>
      <x:c r="AB384" s="22">
        <x:v>0</x:v>
      </x:c>
      <x:c r="AC384" s="16">
        <x:v>0</x:v>
      </x:c>
      <x:c r="AF384" s="2" t="s">
        <x:v>35</x:v>
      </x:c>
    </x:row>
    <x:row r="385">
      <x:c r="A385" s="4" t="s">
        <x:v>1164</x:v>
      </x:c>
      <x:c r="B385" s="4" t="s">
        <x:v>1165</x:v>
      </x:c>
      <x:c r="C385" s="4" t="s">
        <x:v>1166</x:v>
      </x:c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22">
        <x:v>0</x:v>
      </x:c>
      <x:c r="R385" s="22">
        <x:v>0</x:v>
      </x:c>
      <x:c r="S385" s="22">
        <x:v>0</x:v>
      </x:c>
      <x:c r="T385" s="22">
        <x:v>0</x:v>
      </x:c>
      <x:c r="U385" s="22">
        <x:v>0</x:v>
      </x:c>
      <x:c r="V385" s="22">
        <x:v>0</x:v>
      </x:c>
      <x:c r="W385" s="22">
        <x:v>0</x:v>
      </x:c>
      <x:c r="X385" s="22">
        <x:v>0</x:v>
      </x:c>
      <x:c r="Y385" s="22">
        <x:v>0</x:v>
      </x:c>
      <x:c r="Z385" s="22">
        <x:v>0</x:v>
      </x:c>
      <x:c r="AA385" s="22">
        <x:v>0</x:v>
      </x:c>
      <x:c r="AB385" s="22">
        <x:v>0</x:v>
      </x:c>
      <x:c r="AC385" s="16">
        <x:v>0</x:v>
      </x:c>
      <x:c r="AF385" s="2" t="s">
        <x:v>35</x:v>
      </x:c>
    </x:row>
    <x:row r="386">
      <x:c r="A386" s="4" t="s">
        <x:v>1167</x:v>
      </x:c>
      <x:c r="B386" s="4" t="s">
        <x:v>1168</x:v>
      </x:c>
      <x:c r="C386" s="4" t="s">
        <x:v>1169</x:v>
      </x:c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22">
        <x:v>0</x:v>
      </x:c>
      <x:c r="R386" s="22">
        <x:v>0</x:v>
      </x:c>
      <x:c r="S386" s="22">
        <x:v>0</x:v>
      </x:c>
      <x:c r="T386" s="22">
        <x:v>0</x:v>
      </x:c>
      <x:c r="U386" s="22">
        <x:v>0</x:v>
      </x:c>
      <x:c r="V386" s="22">
        <x:v>0</x:v>
      </x:c>
      <x:c r="W386" s="22">
        <x:v>0</x:v>
      </x:c>
      <x:c r="X386" s="22">
        <x:v>0</x:v>
      </x:c>
      <x:c r="Y386" s="22">
        <x:v>0</x:v>
      </x:c>
      <x:c r="Z386" s="22">
        <x:v>0</x:v>
      </x:c>
      <x:c r="AA386" s="22">
        <x:v>0</x:v>
      </x:c>
      <x:c r="AB386" s="22">
        <x:v>0</x:v>
      </x:c>
      <x:c r="AC386" s="16">
        <x:v>0</x:v>
      </x:c>
      <x:c r="AF386" s="2" t="s">
        <x:v>35</x:v>
      </x:c>
    </x:row>
    <x:row r="387">
      <x:c r="A387" s="4" t="s">
        <x:v>1170</x:v>
      </x:c>
      <x:c r="B387" s="4" t="s">
        <x:v>1171</x:v>
      </x:c>
      <x:c r="C387" s="4" t="s">
        <x:v>1172</x:v>
      </x:c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22">
        <x:v>0</x:v>
      </x:c>
      <x:c r="R387" s="22">
        <x:v>0</x:v>
      </x:c>
      <x:c r="S387" s="22">
        <x:v>0</x:v>
      </x:c>
      <x:c r="T387" s="22">
        <x:v>0</x:v>
      </x:c>
      <x:c r="U387" s="22">
        <x:v>0</x:v>
      </x:c>
      <x:c r="V387" s="22">
        <x:v>0</x:v>
      </x:c>
      <x:c r="W387" s="22">
        <x:v>0</x:v>
      </x:c>
      <x:c r="X387" s="22">
        <x:v>0</x:v>
      </x:c>
      <x:c r="Y387" s="22">
        <x:v>0</x:v>
      </x:c>
      <x:c r="Z387" s="22">
        <x:v>0</x:v>
      </x:c>
      <x:c r="AA387" s="22">
        <x:v>0</x:v>
      </x:c>
      <x:c r="AB387" s="22">
        <x:v>0</x:v>
      </x:c>
      <x:c r="AC387" s="16">
        <x:v>0</x:v>
      </x:c>
      <x:c r="AF387" s="2" t="s">
        <x:v>35</x:v>
      </x:c>
    </x:row>
    <x:row r="388">
      <x:c r="A388" s="4" t="s">
        <x:v>1173</x:v>
      </x:c>
      <x:c r="B388" s="4" t="s">
        <x:v>1174</x:v>
      </x:c>
      <x:c r="C388" s="4" t="s">
        <x:v>1175</x:v>
      </x:c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22">
        <x:v>0</x:v>
      </x:c>
      <x:c r="R388" s="22">
        <x:v>0</x:v>
      </x:c>
      <x:c r="S388" s="22">
        <x:v>0</x:v>
      </x:c>
      <x:c r="T388" s="22">
        <x:v>0</x:v>
      </x:c>
      <x:c r="U388" s="22">
        <x:v>0</x:v>
      </x:c>
      <x:c r="V388" s="22">
        <x:v>0</x:v>
      </x:c>
      <x:c r="W388" s="22">
        <x:v>0</x:v>
      </x:c>
      <x:c r="X388" s="22">
        <x:v>0</x:v>
      </x:c>
      <x:c r="Y388" s="22">
        <x:v>0</x:v>
      </x:c>
      <x:c r="Z388" s="22">
        <x:v>0</x:v>
      </x:c>
      <x:c r="AA388" s="22">
        <x:v>0</x:v>
      </x:c>
      <x:c r="AB388" s="22">
        <x:v>0</x:v>
      </x:c>
      <x:c r="AC388" s="16">
        <x:v>0</x:v>
      </x:c>
      <x:c r="AF388" s="2" t="s">
        <x:v>35</x:v>
      </x:c>
    </x:row>
    <x:row r="389">
      <x:c r="A389" s="4" t="s">
        <x:v>1176</x:v>
      </x:c>
      <x:c r="B389" s="4" t="s">
        <x:v>1177</x:v>
      </x:c>
      <x:c r="C389" s="4" t="s">
        <x:v>1178</x:v>
      </x:c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22">
        <x:v>0</x:v>
      </x:c>
      <x:c r="R389" s="22">
        <x:v>0</x:v>
      </x:c>
      <x:c r="S389" s="22">
        <x:v>0</x:v>
      </x:c>
      <x:c r="T389" s="22">
        <x:v>0</x:v>
      </x:c>
      <x:c r="U389" s="22">
        <x:v>0</x:v>
      </x:c>
      <x:c r="V389" s="22">
        <x:v>0</x:v>
      </x:c>
      <x:c r="W389" s="22">
        <x:v>0</x:v>
      </x:c>
      <x:c r="X389" s="22">
        <x:v>0</x:v>
      </x:c>
      <x:c r="Y389" s="22">
        <x:v>0</x:v>
      </x:c>
      <x:c r="Z389" s="22">
        <x:v>0</x:v>
      </x:c>
      <x:c r="AA389" s="22">
        <x:v>0</x:v>
      </x:c>
      <x:c r="AB389" s="22">
        <x:v>0</x:v>
      </x:c>
      <x:c r="AC389" s="16">
        <x:v>0</x:v>
      </x:c>
      <x:c r="AF389" s="2" t="s">
        <x:v>35</x:v>
      </x:c>
    </x:row>
    <x:row r="390">
      <x:c r="A390" s="4" t="s">
        <x:v>1179</x:v>
      </x:c>
      <x:c r="B390" s="4" t="s">
        <x:v>1180</x:v>
      </x:c>
      <x:c r="C390" s="4" t="s">
        <x:v>1181</x:v>
      </x:c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22">
        <x:v>0</x:v>
      </x:c>
      <x:c r="R390" s="22">
        <x:v>0</x:v>
      </x:c>
      <x:c r="S390" s="22">
        <x:v>0</x:v>
      </x:c>
      <x:c r="T390" s="22">
        <x:v>0</x:v>
      </x:c>
      <x:c r="U390" s="22">
        <x:v>0</x:v>
      </x:c>
      <x:c r="V390" s="22">
        <x:v>0</x:v>
      </x:c>
      <x:c r="W390" s="22">
        <x:v>0</x:v>
      </x:c>
      <x:c r="X390" s="22">
        <x:v>0</x:v>
      </x:c>
      <x:c r="Y390" s="22">
        <x:v>0</x:v>
      </x:c>
      <x:c r="Z390" s="22">
        <x:v>0</x:v>
      </x:c>
      <x:c r="AA390" s="22">
        <x:v>0</x:v>
      </x:c>
      <x:c r="AB390" s="22">
        <x:v>0</x:v>
      </x:c>
      <x:c r="AC390" s="16">
        <x:v>0</x:v>
      </x:c>
      <x:c r="AF390" s="2" t="s">
        <x:v>35</x:v>
      </x:c>
    </x:row>
    <x:row r="391">
      <x:c r="A391" s="4" t="s">
        <x:v>1182</x:v>
      </x:c>
      <x:c r="B391" s="4" t="s">
        <x:v>1183</x:v>
      </x:c>
      <x:c r="C391" s="4" t="s">
        <x:v>1184</x:v>
      </x:c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22">
        <x:v>0</x:v>
      </x:c>
      <x:c r="R391" s="22">
        <x:v>0</x:v>
      </x:c>
      <x:c r="S391" s="22">
        <x:v>0</x:v>
      </x:c>
      <x:c r="T391" s="22">
        <x:v>0</x:v>
      </x:c>
      <x:c r="U391" s="22">
        <x:v>0</x:v>
      </x:c>
      <x:c r="V391" s="22">
        <x:v>0</x:v>
      </x:c>
      <x:c r="W391" s="22">
        <x:v>0</x:v>
      </x:c>
      <x:c r="X391" s="22">
        <x:v>0</x:v>
      </x:c>
      <x:c r="Y391" s="22">
        <x:v>0</x:v>
      </x:c>
      <x:c r="Z391" s="22">
        <x:v>0</x:v>
      </x:c>
      <x:c r="AA391" s="22">
        <x:v>0</x:v>
      </x:c>
      <x:c r="AB391" s="22">
        <x:v>0</x:v>
      </x:c>
      <x:c r="AC391" s="16">
        <x:v>0</x:v>
      </x:c>
      <x:c r="AF391" s="2" t="s">
        <x:v>35</x:v>
      </x:c>
    </x:row>
    <x:row r="392">
      <x:c r="A392" s="4" t="s">
        <x:v>1185</x:v>
      </x:c>
      <x:c r="B392" s="4" t="s">
        <x:v>1186</x:v>
      </x:c>
      <x:c r="C392" s="4" t="s">
        <x:v>1187</x:v>
      </x:c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22">
        <x:v>0</x:v>
      </x:c>
      <x:c r="R392" s="22">
        <x:v>0</x:v>
      </x:c>
      <x:c r="S392" s="22">
        <x:v>0</x:v>
      </x:c>
      <x:c r="T392" s="22">
        <x:v>0</x:v>
      </x:c>
      <x:c r="U392" s="22">
        <x:v>0</x:v>
      </x:c>
      <x:c r="V392" s="22">
        <x:v>0</x:v>
      </x:c>
      <x:c r="W392" s="22">
        <x:v>0</x:v>
      </x:c>
      <x:c r="X392" s="22">
        <x:v>0</x:v>
      </x:c>
      <x:c r="Y392" s="22">
        <x:v>0</x:v>
      </x:c>
      <x:c r="Z392" s="22">
        <x:v>0</x:v>
      </x:c>
      <x:c r="AA392" s="22">
        <x:v>0</x:v>
      </x:c>
      <x:c r="AB392" s="22">
        <x:v>0</x:v>
      </x:c>
      <x:c r="AC392" s="16">
        <x:v>0</x:v>
      </x:c>
      <x:c r="AF392" s="2" t="s">
        <x:v>35</x:v>
      </x:c>
    </x:row>
    <x:row r="393">
      <x:c r="A393" s="4" t="s">
        <x:v>1188</x:v>
      </x:c>
      <x:c r="B393" s="4" t="s">
        <x:v>1189</x:v>
      </x:c>
      <x:c r="C393" s="4" t="s">
        <x:v>1190</x:v>
      </x:c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22">
        <x:v>0</x:v>
      </x:c>
      <x:c r="R393" s="22">
        <x:v>0</x:v>
      </x:c>
      <x:c r="S393" s="22">
        <x:v>0</x:v>
      </x:c>
      <x:c r="T393" s="22">
        <x:v>0</x:v>
      </x:c>
      <x:c r="U393" s="22">
        <x:v>0</x:v>
      </x:c>
      <x:c r="V393" s="22">
        <x:v>0</x:v>
      </x:c>
      <x:c r="W393" s="22">
        <x:v>0</x:v>
      </x:c>
      <x:c r="X393" s="22">
        <x:v>0</x:v>
      </x:c>
      <x:c r="Y393" s="22">
        <x:v>0</x:v>
      </x:c>
      <x:c r="Z393" s="22">
        <x:v>0</x:v>
      </x:c>
      <x:c r="AA393" s="22">
        <x:v>0</x:v>
      </x:c>
      <x:c r="AB393" s="22">
        <x:v>0</x:v>
      </x:c>
      <x:c r="AC393" s="16">
        <x:v>0</x:v>
      </x:c>
      <x:c r="AF393" s="2" t="s">
        <x:v>35</x:v>
      </x:c>
    </x:row>
    <x:row r="394">
      <x:c r="A394" s="4" t="s">
        <x:v>1191</x:v>
      </x:c>
      <x:c r="B394" s="4" t="s">
        <x:v>1192</x:v>
      </x:c>
      <x:c r="C394" s="4" t="s">
        <x:v>1193</x:v>
      </x:c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22">
        <x:v>0</x:v>
      </x:c>
      <x:c r="R394" s="22">
        <x:v>0</x:v>
      </x:c>
      <x:c r="S394" s="22">
        <x:v>0</x:v>
      </x:c>
      <x:c r="T394" s="22">
        <x:v>0</x:v>
      </x:c>
      <x:c r="U394" s="22">
        <x:v>0</x:v>
      </x:c>
      <x:c r="V394" s="22">
        <x:v>0</x:v>
      </x:c>
      <x:c r="W394" s="22">
        <x:v>0</x:v>
      </x:c>
      <x:c r="X394" s="22">
        <x:v>0</x:v>
      </x:c>
      <x:c r="Y394" s="22">
        <x:v>0</x:v>
      </x:c>
      <x:c r="Z394" s="22">
        <x:v>0</x:v>
      </x:c>
      <x:c r="AA394" s="22">
        <x:v>0</x:v>
      </x:c>
      <x:c r="AB394" s="22">
        <x:v>0</x:v>
      </x:c>
      <x:c r="AC394" s="16">
        <x:v>0</x:v>
      </x:c>
      <x:c r="AF394" s="2" t="s">
        <x:v>35</x:v>
      </x:c>
    </x:row>
    <x:row r="395">
      <x:c r="A395" s="4" t="s">
        <x:v>1194</x:v>
      </x:c>
      <x:c r="B395" s="4" t="s">
        <x:v>1195</x:v>
      </x:c>
      <x:c r="C395" s="4" t="s">
        <x:v>1196</x:v>
      </x:c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22">
        <x:v>0</x:v>
      </x:c>
      <x:c r="R395" s="22">
        <x:v>0</x:v>
      </x:c>
      <x:c r="S395" s="22">
        <x:v>0</x:v>
      </x:c>
      <x:c r="T395" s="22">
        <x:v>0</x:v>
      </x:c>
      <x:c r="U395" s="22">
        <x:v>0</x:v>
      </x:c>
      <x:c r="V395" s="22">
        <x:v>0</x:v>
      </x:c>
      <x:c r="W395" s="22">
        <x:v>0</x:v>
      </x:c>
      <x:c r="X395" s="22">
        <x:v>0</x:v>
      </x:c>
      <x:c r="Y395" s="22">
        <x:v>0</x:v>
      </x:c>
      <x:c r="Z395" s="22">
        <x:v>0</x:v>
      </x:c>
      <x:c r="AA395" s="22">
        <x:v>0</x:v>
      </x:c>
      <x:c r="AB395" s="22">
        <x:v>0</x:v>
      </x:c>
      <x:c r="AC395" s="16">
        <x:v>0</x:v>
      </x:c>
      <x:c r="AF395" s="2" t="s">
        <x:v>35</x:v>
      </x:c>
    </x:row>
    <x:row r="396">
      <x:c r="A396" s="4" t="s">
        <x:v>1197</x:v>
      </x:c>
      <x:c r="B396" s="4" t="s">
        <x:v>1198</x:v>
      </x:c>
      <x:c r="C396" s="4" t="s">
        <x:v>1199</x:v>
      </x:c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22">
        <x:v>0</x:v>
      </x:c>
      <x:c r="R396" s="22">
        <x:v>0</x:v>
      </x:c>
      <x:c r="S396" s="22">
        <x:v>0</x:v>
      </x:c>
      <x:c r="T396" s="22">
        <x:v>0</x:v>
      </x:c>
      <x:c r="U396" s="22">
        <x:v>0</x:v>
      </x:c>
      <x:c r="V396" s="22">
        <x:v>0</x:v>
      </x:c>
      <x:c r="W396" s="22">
        <x:v>0</x:v>
      </x:c>
      <x:c r="X396" s="22">
        <x:v>0</x:v>
      </x:c>
      <x:c r="Y396" s="22">
        <x:v>0</x:v>
      </x:c>
      <x:c r="Z396" s="22">
        <x:v>0</x:v>
      </x:c>
      <x:c r="AA396" s="22">
        <x:v>0</x:v>
      </x:c>
      <x:c r="AB396" s="22">
        <x:v>0</x:v>
      </x:c>
      <x:c r="AC396" s="16">
        <x:v>0</x:v>
      </x:c>
      <x:c r="AF396" s="2" t="s">
        <x:v>35</x:v>
      </x:c>
    </x:row>
    <x:row r="397">
      <x:c r="A397" s="4" t="s">
        <x:v>1200</x:v>
      </x:c>
      <x:c r="B397" s="4" t="s">
        <x:v>1201</x:v>
      </x:c>
      <x:c r="C397" s="4" t="s">
        <x:v>1202</x:v>
      </x:c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22">
        <x:v>0</x:v>
      </x:c>
      <x:c r="R397" s="22">
        <x:v>0</x:v>
      </x:c>
      <x:c r="S397" s="22">
        <x:v>0</x:v>
      </x:c>
      <x:c r="T397" s="22">
        <x:v>0</x:v>
      </x:c>
      <x:c r="U397" s="22">
        <x:v>0</x:v>
      </x:c>
      <x:c r="V397" s="22">
        <x:v>0</x:v>
      </x:c>
      <x:c r="W397" s="22">
        <x:v>0</x:v>
      </x:c>
      <x:c r="X397" s="22">
        <x:v>0</x:v>
      </x:c>
      <x:c r="Y397" s="22">
        <x:v>0</x:v>
      </x:c>
      <x:c r="Z397" s="22">
        <x:v>0</x:v>
      </x:c>
      <x:c r="AA397" s="22">
        <x:v>0</x:v>
      </x:c>
      <x:c r="AB397" s="22">
        <x:v>0</x:v>
      </x:c>
      <x:c r="AC397" s="16">
        <x:v>0</x:v>
      </x:c>
      <x:c r="AF397" s="2" t="s">
        <x:v>35</x:v>
      </x:c>
    </x:row>
    <x:row r="398">
      <x:c r="A398" s="4" t="s">
        <x:v>1203</x:v>
      </x:c>
      <x:c r="B398" s="4" t="s">
        <x:v>1204</x:v>
      </x:c>
      <x:c r="C398" s="4" t="s">
        <x:v>1205</x:v>
      </x:c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22">
        <x:v>0</x:v>
      </x:c>
      <x:c r="R398" s="22">
        <x:v>0</x:v>
      </x:c>
      <x:c r="S398" s="22">
        <x:v>0</x:v>
      </x:c>
      <x:c r="T398" s="22">
        <x:v>0</x:v>
      </x:c>
      <x:c r="U398" s="22">
        <x:v>0</x:v>
      </x:c>
      <x:c r="V398" s="22">
        <x:v>0</x:v>
      </x:c>
      <x:c r="W398" s="22">
        <x:v>0</x:v>
      </x:c>
      <x:c r="X398" s="22">
        <x:v>0</x:v>
      </x:c>
      <x:c r="Y398" s="22">
        <x:v>0</x:v>
      </x:c>
      <x:c r="Z398" s="22">
        <x:v>0</x:v>
      </x:c>
      <x:c r="AA398" s="22">
        <x:v>0</x:v>
      </x:c>
      <x:c r="AB398" s="22">
        <x:v>0</x:v>
      </x:c>
      <x:c r="AC398" s="16">
        <x:v>0</x:v>
      </x:c>
      <x:c r="AF398" s="2" t="s">
        <x:v>35</x:v>
      </x:c>
    </x:row>
    <x:row r="399">
      <x:c r="A399" s="4" t="s">
        <x:v>1206</x:v>
      </x:c>
      <x:c r="B399" s="4" t="s">
        <x:v>1207</x:v>
      </x:c>
      <x:c r="C399" s="4" t="s">
        <x:v>1208</x:v>
      </x:c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22">
        <x:v>0</x:v>
      </x:c>
      <x:c r="R399" s="22">
        <x:v>0</x:v>
      </x:c>
      <x:c r="S399" s="22">
        <x:v>0</x:v>
      </x:c>
      <x:c r="T399" s="22">
        <x:v>0</x:v>
      </x:c>
      <x:c r="U399" s="22">
        <x:v>0</x:v>
      </x:c>
      <x:c r="V399" s="22">
        <x:v>0</x:v>
      </x:c>
      <x:c r="W399" s="22">
        <x:v>0</x:v>
      </x:c>
      <x:c r="X399" s="22">
        <x:v>0</x:v>
      </x:c>
      <x:c r="Y399" s="22">
        <x:v>0</x:v>
      </x:c>
      <x:c r="Z399" s="22">
        <x:v>0</x:v>
      </x:c>
      <x:c r="AA399" s="22">
        <x:v>0</x:v>
      </x:c>
      <x:c r="AB399" s="22">
        <x:v>0</x:v>
      </x:c>
      <x:c r="AC399" s="16">
        <x:v>0</x:v>
      </x:c>
      <x:c r="AF399" s="2" t="s">
        <x:v>35</x:v>
      </x:c>
    </x:row>
    <x:row r="400">
      <x:c r="A400" s="4" t="s">
        <x:v>1209</x:v>
      </x:c>
      <x:c r="B400" s="4" t="s">
        <x:v>1210</x:v>
      </x:c>
      <x:c r="C400" s="4" t="s">
        <x:v>1211</x:v>
      </x:c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22">
        <x:v>0</x:v>
      </x:c>
      <x:c r="R400" s="22">
        <x:v>0</x:v>
      </x:c>
      <x:c r="S400" s="22">
        <x:v>0</x:v>
      </x:c>
      <x:c r="T400" s="22">
        <x:v>0</x:v>
      </x:c>
      <x:c r="U400" s="22">
        <x:v>0</x:v>
      </x:c>
      <x:c r="V400" s="22">
        <x:v>0</x:v>
      </x:c>
      <x:c r="W400" s="22">
        <x:v>0</x:v>
      </x:c>
      <x:c r="X400" s="22">
        <x:v>0</x:v>
      </x:c>
      <x:c r="Y400" s="22">
        <x:v>0</x:v>
      </x:c>
      <x:c r="Z400" s="22">
        <x:v>0</x:v>
      </x:c>
      <x:c r="AA400" s="22">
        <x:v>0</x:v>
      </x:c>
      <x:c r="AB400" s="22">
        <x:v>0</x:v>
      </x:c>
      <x:c r="AC400" s="16">
        <x:v>0</x:v>
      </x:c>
      <x:c r="AF400" s="2" t="s">
        <x:v>35</x:v>
      </x:c>
    </x:row>
    <x:row r="401">
      <x:c r="A401" s="4" t="s">
        <x:v>1212</x:v>
      </x:c>
      <x:c r="B401" s="4" t="s">
        <x:v>1213</x:v>
      </x:c>
      <x:c r="C401" s="4" t="s">
        <x:v>1214</x:v>
      </x:c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22">
        <x:v>0</x:v>
      </x:c>
      <x:c r="R401" s="22">
        <x:v>0</x:v>
      </x:c>
      <x:c r="S401" s="22">
        <x:v>0</x:v>
      </x:c>
      <x:c r="T401" s="22">
        <x:v>0</x:v>
      </x:c>
      <x:c r="U401" s="22">
        <x:v>0</x:v>
      </x:c>
      <x:c r="V401" s="22">
        <x:v>0</x:v>
      </x:c>
      <x:c r="W401" s="22">
        <x:v>0</x:v>
      </x:c>
      <x:c r="X401" s="22">
        <x:v>0</x:v>
      </x:c>
      <x:c r="Y401" s="22">
        <x:v>0</x:v>
      </x:c>
      <x:c r="Z401" s="22">
        <x:v>0</x:v>
      </x:c>
      <x:c r="AA401" s="22">
        <x:v>0</x:v>
      </x:c>
      <x:c r="AB401" s="22">
        <x:v>0</x:v>
      </x:c>
      <x:c r="AC401" s="16">
        <x:v>0</x:v>
      </x:c>
      <x:c r="AF401" s="2" t="s">
        <x:v>35</x:v>
      </x:c>
    </x:row>
    <x:row r="402">
      <x:c r="A402" s="4" t="s">
        <x:v>1215</x:v>
      </x:c>
      <x:c r="B402" s="4" t="s">
        <x:v>1216</x:v>
      </x:c>
      <x:c r="C402" s="4" t="s">
        <x:v>1217</x:v>
      </x:c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22">
        <x:v>0</x:v>
      </x:c>
      <x:c r="R402" s="22">
        <x:v>0</x:v>
      </x:c>
      <x:c r="S402" s="22">
        <x:v>0</x:v>
      </x:c>
      <x:c r="T402" s="22">
        <x:v>0</x:v>
      </x:c>
      <x:c r="U402" s="22">
        <x:v>0</x:v>
      </x:c>
      <x:c r="V402" s="22">
        <x:v>0</x:v>
      </x:c>
      <x:c r="W402" s="22">
        <x:v>0</x:v>
      </x:c>
      <x:c r="X402" s="22">
        <x:v>0</x:v>
      </x:c>
      <x:c r="Y402" s="22">
        <x:v>0</x:v>
      </x:c>
      <x:c r="Z402" s="22">
        <x:v>0</x:v>
      </x:c>
      <x:c r="AA402" s="22">
        <x:v>0</x:v>
      </x:c>
      <x:c r="AB402" s="22">
        <x:v>0</x:v>
      </x:c>
      <x:c r="AC402" s="16">
        <x:v>0</x:v>
      </x:c>
      <x:c r="AF402" s="2" t="s">
        <x:v>35</x:v>
      </x:c>
    </x:row>
    <x:row r="403">
      <x:c r="A403" s="4" t="s">
        <x:v>1218</x:v>
      </x:c>
      <x:c r="B403" s="4" t="s">
        <x:v>1219</x:v>
      </x:c>
      <x:c r="C403" s="4" t="s">
        <x:v>1220</x:v>
      </x:c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22">
        <x:v>0</x:v>
      </x:c>
      <x:c r="R403" s="22">
        <x:v>0</x:v>
      </x:c>
      <x:c r="S403" s="22">
        <x:v>0</x:v>
      </x:c>
      <x:c r="T403" s="22">
        <x:v>0</x:v>
      </x:c>
      <x:c r="U403" s="22">
        <x:v>0</x:v>
      </x:c>
      <x:c r="V403" s="22">
        <x:v>0</x:v>
      </x:c>
      <x:c r="W403" s="22">
        <x:v>0</x:v>
      </x:c>
      <x:c r="X403" s="22">
        <x:v>0</x:v>
      </x:c>
      <x:c r="Y403" s="22">
        <x:v>0</x:v>
      </x:c>
      <x:c r="Z403" s="22">
        <x:v>0</x:v>
      </x:c>
      <x:c r="AA403" s="22">
        <x:v>0</x:v>
      </x:c>
      <x:c r="AB403" s="22">
        <x:v>0</x:v>
      </x:c>
      <x:c r="AC403" s="16">
        <x:v>0</x:v>
      </x:c>
      <x:c r="AF403" s="2" t="s">
        <x:v>35</x:v>
      </x:c>
    </x:row>
    <x:row r="404">
      <x:c r="A404" s="4" t="s">
        <x:v>1221</x:v>
      </x:c>
      <x:c r="B404" s="4" t="s">
        <x:v>1222</x:v>
      </x:c>
      <x:c r="C404" s="4" t="s">
        <x:v>1223</x:v>
      </x:c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22">
        <x:v>0</x:v>
      </x:c>
      <x:c r="R404" s="22">
        <x:v>0</x:v>
      </x:c>
      <x:c r="S404" s="22">
        <x:v>0</x:v>
      </x:c>
      <x:c r="T404" s="22">
        <x:v>0</x:v>
      </x:c>
      <x:c r="U404" s="22">
        <x:v>0</x:v>
      </x:c>
      <x:c r="V404" s="22">
        <x:v>0</x:v>
      </x:c>
      <x:c r="W404" s="22">
        <x:v>0</x:v>
      </x:c>
      <x:c r="X404" s="22">
        <x:v>0</x:v>
      </x:c>
      <x:c r="Y404" s="22">
        <x:v>0</x:v>
      </x:c>
      <x:c r="Z404" s="22">
        <x:v>0</x:v>
      </x:c>
      <x:c r="AA404" s="22">
        <x:v>0</x:v>
      </x:c>
      <x:c r="AB404" s="22">
        <x:v>0</x:v>
      </x:c>
      <x:c r="AC404" s="16">
        <x:v>0</x:v>
      </x:c>
      <x:c r="AF404" s="2" t="s">
        <x:v>35</x:v>
      </x:c>
    </x:row>
    <x:row r="405">
      <x:c r="A405" s="4" t="s">
        <x:v>1224</x:v>
      </x:c>
      <x:c r="B405" s="4" t="s">
        <x:v>1225</x:v>
      </x:c>
      <x:c r="C405" s="4" t="s">
        <x:v>1226</x:v>
      </x:c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22">
        <x:v>0</x:v>
      </x:c>
      <x:c r="R405" s="22">
        <x:v>0</x:v>
      </x:c>
      <x:c r="S405" s="22">
        <x:v>0</x:v>
      </x:c>
      <x:c r="T405" s="22">
        <x:v>0</x:v>
      </x:c>
      <x:c r="U405" s="22">
        <x:v>0</x:v>
      </x:c>
      <x:c r="V405" s="22">
        <x:v>0</x:v>
      </x:c>
      <x:c r="W405" s="22">
        <x:v>0</x:v>
      </x:c>
      <x:c r="X405" s="22">
        <x:v>0</x:v>
      </x:c>
      <x:c r="Y405" s="22">
        <x:v>0</x:v>
      </x:c>
      <x:c r="Z405" s="22">
        <x:v>0</x:v>
      </x:c>
      <x:c r="AA405" s="22">
        <x:v>0</x:v>
      </x:c>
      <x:c r="AB405" s="22">
        <x:v>0</x:v>
      </x:c>
      <x:c r="AC405" s="16">
        <x:v>0</x:v>
      </x:c>
      <x:c r="AF405" s="2" t="s">
        <x:v>35</x:v>
      </x:c>
    </x:row>
    <x:row r="406">
      <x:c r="A406" s="4" t="s">
        <x:v>1227</x:v>
      </x:c>
      <x:c r="B406" s="4" t="s">
        <x:v>1228</x:v>
      </x:c>
      <x:c r="C406" s="4" t="s">
        <x:v>1229</x:v>
      </x:c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22">
        <x:v>0</x:v>
      </x:c>
      <x:c r="R406" s="22">
        <x:v>0</x:v>
      </x:c>
      <x:c r="S406" s="22">
        <x:v>0</x:v>
      </x:c>
      <x:c r="T406" s="22">
        <x:v>0</x:v>
      </x:c>
      <x:c r="U406" s="22">
        <x:v>0</x:v>
      </x:c>
      <x:c r="V406" s="22">
        <x:v>0</x:v>
      </x:c>
      <x:c r="W406" s="22">
        <x:v>0</x:v>
      </x:c>
      <x:c r="X406" s="22">
        <x:v>0</x:v>
      </x:c>
      <x:c r="Y406" s="22">
        <x:v>0</x:v>
      </x:c>
      <x:c r="Z406" s="22">
        <x:v>0</x:v>
      </x:c>
      <x:c r="AA406" s="22">
        <x:v>0</x:v>
      </x:c>
      <x:c r="AB406" s="22">
        <x:v>0</x:v>
      </x:c>
      <x:c r="AC406" s="16">
        <x:v>0</x:v>
      </x:c>
      <x:c r="AF406" s="2" t="s">
        <x:v>35</x:v>
      </x:c>
    </x:row>
    <x:row r="407">
      <x:c r="A407" s="4" t="s">
        <x:v>1230</x:v>
      </x:c>
      <x:c r="B407" s="4" t="s">
        <x:v>1231</x:v>
      </x:c>
      <x:c r="C407" s="4" t="s">
        <x:v>1232</x:v>
      </x:c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22">
        <x:v>0</x:v>
      </x:c>
      <x:c r="R407" s="22">
        <x:v>0</x:v>
      </x:c>
      <x:c r="S407" s="22">
        <x:v>0</x:v>
      </x:c>
      <x:c r="T407" s="22">
        <x:v>0</x:v>
      </x:c>
      <x:c r="U407" s="22">
        <x:v>0</x:v>
      </x:c>
      <x:c r="V407" s="22">
        <x:v>0</x:v>
      </x:c>
      <x:c r="W407" s="22">
        <x:v>0</x:v>
      </x:c>
      <x:c r="X407" s="22">
        <x:v>0</x:v>
      </x:c>
      <x:c r="Y407" s="22">
        <x:v>0</x:v>
      </x:c>
      <x:c r="Z407" s="22">
        <x:v>0</x:v>
      </x:c>
      <x:c r="AA407" s="22">
        <x:v>0</x:v>
      </x:c>
      <x:c r="AB407" s="22">
        <x:v>0</x:v>
      </x:c>
      <x:c r="AC407" s="16">
        <x:v>0</x:v>
      </x:c>
      <x:c r="AF407" s="2" t="s">
        <x:v>35</x:v>
      </x:c>
    </x:row>
    <x:row r="408">
      <x:c r="A408" s="4" t="s">
        <x:v>1233</x:v>
      </x:c>
      <x:c r="B408" s="4" t="s">
        <x:v>1234</x:v>
      </x:c>
      <x:c r="C408" s="4" t="s">
        <x:v>1235</x:v>
      </x:c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22">
        <x:v>0</x:v>
      </x:c>
      <x:c r="R408" s="22">
        <x:v>0</x:v>
      </x:c>
      <x:c r="S408" s="22">
        <x:v>0</x:v>
      </x:c>
      <x:c r="T408" s="22">
        <x:v>0</x:v>
      </x:c>
      <x:c r="U408" s="22">
        <x:v>0</x:v>
      </x:c>
      <x:c r="V408" s="22">
        <x:v>0</x:v>
      </x:c>
      <x:c r="W408" s="22">
        <x:v>0</x:v>
      </x:c>
      <x:c r="X408" s="22">
        <x:v>0</x:v>
      </x:c>
      <x:c r="Y408" s="22">
        <x:v>0</x:v>
      </x:c>
      <x:c r="Z408" s="22">
        <x:v>0</x:v>
      </x:c>
      <x:c r="AA408" s="22">
        <x:v>0</x:v>
      </x:c>
      <x:c r="AB408" s="22">
        <x:v>0</x:v>
      </x:c>
      <x:c r="AC408" s="16">
        <x:v>0</x:v>
      </x:c>
      <x:c r="AF408" s="2" t="s">
        <x:v>35</x:v>
      </x:c>
    </x:row>
    <x:row r="409">
      <x:c r="A409" s="4" t="s">
        <x:v>1236</x:v>
      </x:c>
      <x:c r="B409" s="4" t="s">
        <x:v>1237</x:v>
      </x:c>
      <x:c r="C409" s="4" t="s">
        <x:v>1238</x:v>
      </x:c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22">
        <x:v>0</x:v>
      </x:c>
      <x:c r="R409" s="22">
        <x:v>0</x:v>
      </x:c>
      <x:c r="S409" s="22">
        <x:v>0</x:v>
      </x:c>
      <x:c r="T409" s="22">
        <x:v>0</x:v>
      </x:c>
      <x:c r="U409" s="22">
        <x:v>0</x:v>
      </x:c>
      <x:c r="V409" s="22">
        <x:v>0</x:v>
      </x:c>
      <x:c r="W409" s="22">
        <x:v>0</x:v>
      </x:c>
      <x:c r="X409" s="22">
        <x:v>0</x:v>
      </x:c>
      <x:c r="Y409" s="22">
        <x:v>0</x:v>
      </x:c>
      <x:c r="Z409" s="22">
        <x:v>0</x:v>
      </x:c>
      <x:c r="AA409" s="22">
        <x:v>0</x:v>
      </x:c>
      <x:c r="AB409" s="22">
        <x:v>0</x:v>
      </x:c>
      <x:c r="AC409" s="16">
        <x:v>0</x:v>
      </x:c>
      <x:c r="AF409" s="2" t="s">
        <x:v>35</x:v>
      </x:c>
    </x:row>
    <x:row r="410">
      <x:c r="A410" s="4" t="s">
        <x:v>1239</x:v>
      </x:c>
      <x:c r="B410" s="4" t="s">
        <x:v>1240</x:v>
      </x:c>
      <x:c r="C410" s="4" t="s">
        <x:v>1241</x:v>
      </x:c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22">
        <x:v>0</x:v>
      </x:c>
      <x:c r="R410" s="22">
        <x:v>0</x:v>
      </x:c>
      <x:c r="S410" s="22">
        <x:v>0</x:v>
      </x:c>
      <x:c r="T410" s="22">
        <x:v>0</x:v>
      </x:c>
      <x:c r="U410" s="22">
        <x:v>0</x:v>
      </x:c>
      <x:c r="V410" s="22">
        <x:v>0</x:v>
      </x:c>
      <x:c r="W410" s="22">
        <x:v>0</x:v>
      </x:c>
      <x:c r="X410" s="22">
        <x:v>0</x:v>
      </x:c>
      <x:c r="Y410" s="22">
        <x:v>0</x:v>
      </x:c>
      <x:c r="Z410" s="22">
        <x:v>0</x:v>
      </x:c>
      <x:c r="AA410" s="22">
        <x:v>0</x:v>
      </x:c>
      <x:c r="AB410" s="22">
        <x:v>0</x:v>
      </x:c>
      <x:c r="AC410" s="16">
        <x:v>0</x:v>
      </x:c>
      <x:c r="AF410" s="2" t="s">
        <x:v>35</x:v>
      </x:c>
    </x:row>
    <x:row r="411">
      <x:c r="A411" s="4" t="s">
        <x:v>1242</x:v>
      </x:c>
      <x:c r="B411" s="4" t="s">
        <x:v>1243</x:v>
      </x:c>
      <x:c r="C411" s="4" t="s">
        <x:v>1244</x:v>
      </x:c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22">
        <x:v>0</x:v>
      </x:c>
      <x:c r="R411" s="22">
        <x:v>0</x:v>
      </x:c>
      <x:c r="S411" s="22">
        <x:v>0</x:v>
      </x:c>
      <x:c r="T411" s="22">
        <x:v>0</x:v>
      </x:c>
      <x:c r="U411" s="22">
        <x:v>0</x:v>
      </x:c>
      <x:c r="V411" s="22">
        <x:v>0</x:v>
      </x:c>
      <x:c r="W411" s="22">
        <x:v>0</x:v>
      </x:c>
      <x:c r="X411" s="22">
        <x:v>0</x:v>
      </x:c>
      <x:c r="Y411" s="22">
        <x:v>0</x:v>
      </x:c>
      <x:c r="Z411" s="22">
        <x:v>0</x:v>
      </x:c>
      <x:c r="AA411" s="22">
        <x:v>0</x:v>
      </x:c>
      <x:c r="AB411" s="22">
        <x:v>0</x:v>
      </x:c>
      <x:c r="AC411" s="16">
        <x:v>0</x:v>
      </x:c>
      <x:c r="AF411" s="2" t="s">
        <x:v>35</x:v>
      </x:c>
    </x:row>
    <x:row r="412">
      <x:c r="A412" s="4" t="s">
        <x:v>1245</x:v>
      </x:c>
      <x:c r="B412" s="4" t="s">
        <x:v>1246</x:v>
      </x:c>
      <x:c r="C412" s="4" t="s">
        <x:v>1247</x:v>
      </x:c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22">
        <x:v>0</x:v>
      </x:c>
      <x:c r="R412" s="22">
        <x:v>0</x:v>
      </x:c>
      <x:c r="S412" s="22">
        <x:v>0</x:v>
      </x:c>
      <x:c r="T412" s="22">
        <x:v>0</x:v>
      </x:c>
      <x:c r="U412" s="22">
        <x:v>0</x:v>
      </x:c>
      <x:c r="V412" s="22">
        <x:v>0</x:v>
      </x:c>
      <x:c r="W412" s="22">
        <x:v>0</x:v>
      </x:c>
      <x:c r="X412" s="22">
        <x:v>0</x:v>
      </x:c>
      <x:c r="Y412" s="22">
        <x:v>0</x:v>
      </x:c>
      <x:c r="Z412" s="22">
        <x:v>0</x:v>
      </x:c>
      <x:c r="AA412" s="22">
        <x:v>0</x:v>
      </x:c>
      <x:c r="AB412" s="22">
        <x:v>0</x:v>
      </x:c>
      <x:c r="AC412" s="16">
        <x:v>0</x:v>
      </x:c>
      <x:c r="AF412" s="2" t="s">
        <x:v>35</x:v>
      </x:c>
    </x:row>
    <x:row r="413">
      <x:c r="A413" s="4" t="s">
        <x:v>1248</x:v>
      </x:c>
      <x:c r="B413" s="4" t="s">
        <x:v>1249</x:v>
      </x:c>
      <x:c r="C413" s="4" t="s">
        <x:v>1250</x:v>
      </x:c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22">
        <x:v>0</x:v>
      </x:c>
      <x:c r="R413" s="22">
        <x:v>0</x:v>
      </x:c>
      <x:c r="S413" s="22">
        <x:v>0</x:v>
      </x:c>
      <x:c r="T413" s="22">
        <x:v>0</x:v>
      </x:c>
      <x:c r="U413" s="22">
        <x:v>0</x:v>
      </x:c>
      <x:c r="V413" s="22">
        <x:v>0</x:v>
      </x:c>
      <x:c r="W413" s="22">
        <x:v>0</x:v>
      </x:c>
      <x:c r="X413" s="22">
        <x:v>0</x:v>
      </x:c>
      <x:c r="Y413" s="22">
        <x:v>0</x:v>
      </x:c>
      <x:c r="Z413" s="22">
        <x:v>0</x:v>
      </x:c>
      <x:c r="AA413" s="22">
        <x:v>0</x:v>
      </x:c>
      <x:c r="AB413" s="22">
        <x:v>0</x:v>
      </x:c>
      <x:c r="AC413" s="16">
        <x:v>0</x:v>
      </x:c>
      <x:c r="AF413" s="2" t="s">
        <x:v>35</x:v>
      </x:c>
    </x:row>
    <x:row r="414">
      <x:c r="A414" s="4" t="s">
        <x:v>1251</x:v>
      </x:c>
      <x:c r="B414" s="4" t="s">
        <x:v>1252</x:v>
      </x:c>
      <x:c r="C414" s="4" t="s">
        <x:v>1253</x:v>
      </x:c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22">
        <x:v>0</x:v>
      </x:c>
      <x:c r="R414" s="22">
        <x:v>0</x:v>
      </x:c>
      <x:c r="S414" s="22">
        <x:v>0</x:v>
      </x:c>
      <x:c r="T414" s="22">
        <x:v>0</x:v>
      </x:c>
      <x:c r="U414" s="22">
        <x:v>0</x:v>
      </x:c>
      <x:c r="V414" s="22">
        <x:v>0</x:v>
      </x:c>
      <x:c r="W414" s="22">
        <x:v>0</x:v>
      </x:c>
      <x:c r="X414" s="22">
        <x:v>0</x:v>
      </x:c>
      <x:c r="Y414" s="22">
        <x:v>0</x:v>
      </x:c>
      <x:c r="Z414" s="22">
        <x:v>0</x:v>
      </x:c>
      <x:c r="AA414" s="22">
        <x:v>0</x:v>
      </x:c>
      <x:c r="AB414" s="22">
        <x:v>0</x:v>
      </x:c>
      <x:c r="AC414" s="16">
        <x:v>0</x:v>
      </x:c>
      <x:c r="AF414" s="2" t="s">
        <x:v>35</x:v>
      </x:c>
    </x:row>
    <x:row r="415">
      <x:c r="A415" s="4" t="s">
        <x:v>1254</x:v>
      </x:c>
      <x:c r="B415" s="4" t="s">
        <x:v>1255</x:v>
      </x:c>
      <x:c r="C415" s="4" t="s">
        <x:v>1256</x:v>
      </x:c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22">
        <x:v>0</x:v>
      </x:c>
      <x:c r="R415" s="22">
        <x:v>0</x:v>
      </x:c>
      <x:c r="S415" s="22">
        <x:v>0</x:v>
      </x:c>
      <x:c r="T415" s="22">
        <x:v>0</x:v>
      </x:c>
      <x:c r="U415" s="22">
        <x:v>0</x:v>
      </x:c>
      <x:c r="V415" s="22">
        <x:v>0</x:v>
      </x:c>
      <x:c r="W415" s="22">
        <x:v>0</x:v>
      </x:c>
      <x:c r="X415" s="22">
        <x:v>0</x:v>
      </x:c>
      <x:c r="Y415" s="22">
        <x:v>0</x:v>
      </x:c>
      <x:c r="Z415" s="22">
        <x:v>0</x:v>
      </x:c>
      <x:c r="AA415" s="22">
        <x:v>0</x:v>
      </x:c>
      <x:c r="AB415" s="22">
        <x:v>0</x:v>
      </x:c>
      <x:c r="AC415" s="16">
        <x:v>0</x:v>
      </x:c>
      <x:c r="AF415" s="2" t="s">
        <x:v>35</x:v>
      </x:c>
    </x:row>
    <x:row r="416">
      <x:c r="A416" s="4" t="s">
        <x:v>1257</x:v>
      </x:c>
      <x:c r="B416" s="4" t="s">
        <x:v>1258</x:v>
      </x:c>
      <x:c r="C416" s="4" t="s">
        <x:v>1259</x:v>
      </x:c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22">
        <x:v>0</x:v>
      </x:c>
      <x:c r="R416" s="22">
        <x:v>0</x:v>
      </x:c>
      <x:c r="S416" s="22">
        <x:v>0</x:v>
      </x:c>
      <x:c r="T416" s="22">
        <x:v>0</x:v>
      </x:c>
      <x:c r="U416" s="22">
        <x:v>0</x:v>
      </x:c>
      <x:c r="V416" s="22">
        <x:v>0</x:v>
      </x:c>
      <x:c r="W416" s="22">
        <x:v>0</x:v>
      </x:c>
      <x:c r="X416" s="22">
        <x:v>0</x:v>
      </x:c>
      <x:c r="Y416" s="22">
        <x:v>0</x:v>
      </x:c>
      <x:c r="Z416" s="22">
        <x:v>0</x:v>
      </x:c>
      <x:c r="AA416" s="22">
        <x:v>0</x:v>
      </x:c>
      <x:c r="AB416" s="22">
        <x:v>0</x:v>
      </x:c>
      <x:c r="AC416" s="16">
        <x:v>0</x:v>
      </x:c>
      <x:c r="AF416" s="2" t="s">
        <x:v>35</x:v>
      </x:c>
    </x:row>
    <x:row r="417">
      <x:c r="A417" s="4" t="s">
        <x:v>1260</x:v>
      </x:c>
      <x:c r="B417" s="4" t="s">
        <x:v>1261</x:v>
      </x:c>
      <x:c r="C417" s="4" t="s">
        <x:v>1262</x:v>
      </x:c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22">
        <x:v>0</x:v>
      </x:c>
      <x:c r="R417" s="22">
        <x:v>0</x:v>
      </x:c>
      <x:c r="S417" s="22">
        <x:v>0</x:v>
      </x:c>
      <x:c r="T417" s="22">
        <x:v>0</x:v>
      </x:c>
      <x:c r="U417" s="22">
        <x:v>0</x:v>
      </x:c>
      <x:c r="V417" s="22">
        <x:v>0</x:v>
      </x:c>
      <x:c r="W417" s="22">
        <x:v>0</x:v>
      </x:c>
      <x:c r="X417" s="22">
        <x:v>0</x:v>
      </x:c>
      <x:c r="Y417" s="22">
        <x:v>0</x:v>
      </x:c>
      <x:c r="Z417" s="22">
        <x:v>0</x:v>
      </x:c>
      <x:c r="AA417" s="22">
        <x:v>0</x:v>
      </x:c>
      <x:c r="AB417" s="22">
        <x:v>0</x:v>
      </x:c>
      <x:c r="AC417" s="16">
        <x:v>0</x:v>
      </x:c>
      <x:c r="AF417" s="2" t="s">
        <x:v>35</x:v>
      </x:c>
    </x:row>
    <x:row r="418">
      <x:c r="A418" s="4" t="s">
        <x:v>1263</x:v>
      </x:c>
      <x:c r="B418" s="4" t="s">
        <x:v>1264</x:v>
      </x:c>
      <x:c r="C418" s="4" t="s">
        <x:v>1265</x:v>
      </x:c>
      <x:c r="D418" s="6"/>
      <x:c r="E418" s="6"/>
      <x:c r="F418" s="8">
        <x:v>2</x:v>
      </x:c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22">
        <x:v>0</x:v>
      </x:c>
      <x:c r="R418" s="22">
        <x:v>0</x:v>
      </x:c>
      <x:c r="S418" s="22">
        <x:v>0</x:v>
      </x:c>
      <x:c r="T418" s="22">
        <x:v>0</x:v>
      </x:c>
      <x:c r="U418" s="22">
        <x:v>0</x:v>
      </x:c>
      <x:c r="V418" s="22">
        <x:v>0</x:v>
      </x:c>
      <x:c r="W418" s="22">
        <x:v>0</x:v>
      </x:c>
      <x:c r="X418" s="22">
        <x:v>0</x:v>
      </x:c>
      <x:c r="Y418" s="22">
        <x:v>0</x:v>
      </x:c>
      <x:c r="Z418" s="22">
        <x:v>0</x:v>
      </x:c>
      <x:c r="AA418" s="22">
        <x:v>0</x:v>
      </x:c>
      <x:c r="AB418" s="22">
        <x:v>0</x:v>
      </x:c>
      <x:c r="AC418" s="16">
        <x:v>0</x:v>
      </x:c>
      <x:c r="AF418" s="2" t="s">
        <x:v>35</x:v>
      </x:c>
    </x:row>
    <x:row r="419">
      <x:c r="A419" s="4" t="s">
        <x:v>1266</x:v>
      </x:c>
      <x:c r="B419" s="4" t="s">
        <x:v>1267</x:v>
      </x:c>
      <x:c r="C419" s="4" t="s">
        <x:v>1268</x:v>
      </x:c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22">
        <x:v>0</x:v>
      </x:c>
      <x:c r="R419" s="22">
        <x:v>0</x:v>
      </x:c>
      <x:c r="S419" s="22">
        <x:v>0</x:v>
      </x:c>
      <x:c r="T419" s="22">
        <x:v>0</x:v>
      </x:c>
      <x:c r="U419" s="22">
        <x:v>0</x:v>
      </x:c>
      <x:c r="V419" s="22">
        <x:v>0</x:v>
      </x:c>
      <x:c r="W419" s="22">
        <x:v>0</x:v>
      </x:c>
      <x:c r="X419" s="22">
        <x:v>0</x:v>
      </x:c>
      <x:c r="Y419" s="22">
        <x:v>0</x:v>
      </x:c>
      <x:c r="Z419" s="22">
        <x:v>0</x:v>
      </x:c>
      <x:c r="AA419" s="22">
        <x:v>0</x:v>
      </x:c>
      <x:c r="AB419" s="22">
        <x:v>0</x:v>
      </x:c>
      <x:c r="AC419" s="16">
        <x:v>0</x:v>
      </x:c>
      <x:c r="AF419" s="2" t="s">
        <x:v>35</x:v>
      </x:c>
    </x:row>
    <x:row r="420">
      <x:c r="A420" s="4" t="s">
        <x:v>1269</x:v>
      </x:c>
      <x:c r="B420" s="4" t="s">
        <x:v>1270</x:v>
      </x:c>
      <x:c r="C420" s="4" t="s">
        <x:v>1271</x:v>
      </x:c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22">
        <x:v>0</x:v>
      </x:c>
      <x:c r="R420" s="22">
        <x:v>0</x:v>
      </x:c>
      <x:c r="S420" s="22">
        <x:v>0</x:v>
      </x:c>
      <x:c r="T420" s="22">
        <x:v>0</x:v>
      </x:c>
      <x:c r="U420" s="22">
        <x:v>0</x:v>
      </x:c>
      <x:c r="V420" s="22">
        <x:v>0</x:v>
      </x:c>
      <x:c r="W420" s="22">
        <x:v>0</x:v>
      </x:c>
      <x:c r="X420" s="22">
        <x:v>0</x:v>
      </x:c>
      <x:c r="Y420" s="22">
        <x:v>0</x:v>
      </x:c>
      <x:c r="Z420" s="22">
        <x:v>0</x:v>
      </x:c>
      <x:c r="AA420" s="22">
        <x:v>0</x:v>
      </x:c>
      <x:c r="AB420" s="22">
        <x:v>0</x:v>
      </x:c>
      <x:c r="AC420" s="16">
        <x:v>0</x:v>
      </x:c>
      <x:c r="AF420" s="2" t="s">
        <x:v>35</x:v>
      </x:c>
    </x:row>
    <x:row r="421">
      <x:c r="A421" s="4" t="s">
        <x:v>1272</x:v>
      </x:c>
      <x:c r="B421" s="4" t="s">
        <x:v>1273</x:v>
      </x:c>
      <x:c r="C421" s="4" t="s">
        <x:v>1274</x:v>
      </x:c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22">
        <x:v>0</x:v>
      </x:c>
      <x:c r="R421" s="22">
        <x:v>0</x:v>
      </x:c>
      <x:c r="S421" s="22">
        <x:v>0</x:v>
      </x:c>
      <x:c r="T421" s="22">
        <x:v>0</x:v>
      </x:c>
      <x:c r="U421" s="22">
        <x:v>0</x:v>
      </x:c>
      <x:c r="V421" s="22">
        <x:v>0</x:v>
      </x:c>
      <x:c r="W421" s="22">
        <x:v>0</x:v>
      </x:c>
      <x:c r="X421" s="22">
        <x:v>0</x:v>
      </x:c>
      <x:c r="Y421" s="22">
        <x:v>0</x:v>
      </x:c>
      <x:c r="Z421" s="22">
        <x:v>0</x:v>
      </x:c>
      <x:c r="AA421" s="22">
        <x:v>0</x:v>
      </x:c>
      <x:c r="AB421" s="22">
        <x:v>0</x:v>
      </x:c>
      <x:c r="AC421" s="16">
        <x:v>0</x:v>
      </x:c>
      <x:c r="AF421" s="2" t="s">
        <x:v>35</x:v>
      </x:c>
    </x:row>
    <x:row r="422">
      <x:c r="A422" s="4" t="s">
        <x:v>1275</x:v>
      </x:c>
      <x:c r="B422" s="4" t="s">
        <x:v>1276</x:v>
      </x:c>
      <x:c r="C422" s="4" t="s">
        <x:v>1277</x:v>
      </x:c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22">
        <x:v>0</x:v>
      </x:c>
      <x:c r="R422" s="22">
        <x:v>0</x:v>
      </x:c>
      <x:c r="S422" s="22">
        <x:v>0</x:v>
      </x:c>
      <x:c r="T422" s="22">
        <x:v>0</x:v>
      </x:c>
      <x:c r="U422" s="22">
        <x:v>0</x:v>
      </x:c>
      <x:c r="V422" s="22">
        <x:v>0</x:v>
      </x:c>
      <x:c r="W422" s="22">
        <x:v>0</x:v>
      </x:c>
      <x:c r="X422" s="22">
        <x:v>0</x:v>
      </x:c>
      <x:c r="Y422" s="22">
        <x:v>0</x:v>
      </x:c>
      <x:c r="Z422" s="22">
        <x:v>0</x:v>
      </x:c>
      <x:c r="AA422" s="22">
        <x:v>0</x:v>
      </x:c>
      <x:c r="AB422" s="22">
        <x:v>0</x:v>
      </x:c>
      <x:c r="AC422" s="16">
        <x:v>0</x:v>
      </x:c>
      <x:c r="AF422" s="2" t="s">
        <x:v>35</x:v>
      </x:c>
    </x:row>
    <x:row r="423">
      <x:c r="A423" s="4" t="s">
        <x:v>1278</x:v>
      </x:c>
      <x:c r="B423" s="4" t="s">
        <x:v>1279</x:v>
      </x:c>
      <x:c r="C423" s="4" t="s">
        <x:v>1280</x:v>
      </x:c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22">
        <x:v>0</x:v>
      </x:c>
      <x:c r="R423" s="22">
        <x:v>0</x:v>
      </x:c>
      <x:c r="S423" s="22">
        <x:v>0</x:v>
      </x:c>
      <x:c r="T423" s="22">
        <x:v>0</x:v>
      </x:c>
      <x:c r="U423" s="22">
        <x:v>0</x:v>
      </x:c>
      <x:c r="V423" s="22">
        <x:v>0</x:v>
      </x:c>
      <x:c r="W423" s="22">
        <x:v>0</x:v>
      </x:c>
      <x:c r="X423" s="22">
        <x:v>0</x:v>
      </x:c>
      <x:c r="Y423" s="22">
        <x:v>0</x:v>
      </x:c>
      <x:c r="Z423" s="22">
        <x:v>0</x:v>
      </x:c>
      <x:c r="AA423" s="22">
        <x:v>0</x:v>
      </x:c>
      <x:c r="AB423" s="22">
        <x:v>0</x:v>
      </x:c>
      <x:c r="AC423" s="16">
        <x:v>0</x:v>
      </x:c>
      <x:c r="AF423" s="2" t="s">
        <x:v>35</x:v>
      </x:c>
    </x:row>
    <x:row r="424">
      <x:c r="A424" s="4" t="s">
        <x:v>1281</x:v>
      </x:c>
      <x:c r="B424" s="4" t="s">
        <x:v>1282</x:v>
      </x:c>
      <x:c r="C424" s="4" t="s">
        <x:v>1283</x:v>
      </x:c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22">
        <x:v>0</x:v>
      </x:c>
      <x:c r="R424" s="22">
        <x:v>0</x:v>
      </x:c>
      <x:c r="S424" s="22">
        <x:v>0</x:v>
      </x:c>
      <x:c r="T424" s="22">
        <x:v>0</x:v>
      </x:c>
      <x:c r="U424" s="22">
        <x:v>0</x:v>
      </x:c>
      <x:c r="V424" s="22">
        <x:v>0</x:v>
      </x:c>
      <x:c r="W424" s="22">
        <x:v>0</x:v>
      </x:c>
      <x:c r="X424" s="22">
        <x:v>0</x:v>
      </x:c>
      <x:c r="Y424" s="22">
        <x:v>0</x:v>
      </x:c>
      <x:c r="Z424" s="22">
        <x:v>0</x:v>
      </x:c>
      <x:c r="AA424" s="22">
        <x:v>0</x:v>
      </x:c>
      <x:c r="AB424" s="22">
        <x:v>0</x:v>
      </x:c>
      <x:c r="AC424" s="16">
        <x:v>0</x:v>
      </x:c>
      <x:c r="AF424" s="2" t="s">
        <x:v>35</x:v>
      </x:c>
    </x:row>
    <x:row r="425">
      <x:c r="A425" s="4" t="s">
        <x:v>1284</x:v>
      </x:c>
      <x:c r="B425" s="4" t="s">
        <x:v>1285</x:v>
      </x:c>
      <x:c r="C425" s="4" t="s">
        <x:v>1286</x:v>
      </x:c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22">
        <x:v>0</x:v>
      </x:c>
      <x:c r="R425" s="22">
        <x:v>0</x:v>
      </x:c>
      <x:c r="S425" s="22">
        <x:v>0</x:v>
      </x:c>
      <x:c r="T425" s="22">
        <x:v>0</x:v>
      </x:c>
      <x:c r="U425" s="22">
        <x:v>0</x:v>
      </x:c>
      <x:c r="V425" s="22">
        <x:v>0</x:v>
      </x:c>
      <x:c r="W425" s="22">
        <x:v>0</x:v>
      </x:c>
      <x:c r="X425" s="22">
        <x:v>0</x:v>
      </x:c>
      <x:c r="Y425" s="22">
        <x:v>0</x:v>
      </x:c>
      <x:c r="Z425" s="22">
        <x:v>0</x:v>
      </x:c>
      <x:c r="AA425" s="22">
        <x:v>0</x:v>
      </x:c>
      <x:c r="AB425" s="22">
        <x:v>0</x:v>
      </x:c>
      <x:c r="AC425" s="16">
        <x:v>0</x:v>
      </x:c>
      <x:c r="AF425" s="2" t="s">
        <x:v>35</x:v>
      </x:c>
    </x:row>
    <x:row r="426">
      <x:c r="A426" s="4" t="s">
        <x:v>1287</x:v>
      </x:c>
      <x:c r="B426" s="4" t="s">
        <x:v>1288</x:v>
      </x:c>
      <x:c r="C426" s="4" t="s">
        <x:v>1289</x:v>
      </x:c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22">
        <x:v>0</x:v>
      </x:c>
      <x:c r="R426" s="22">
        <x:v>0</x:v>
      </x:c>
      <x:c r="S426" s="22">
        <x:v>0</x:v>
      </x:c>
      <x:c r="T426" s="22">
        <x:v>0</x:v>
      </x:c>
      <x:c r="U426" s="22">
        <x:v>0</x:v>
      </x:c>
      <x:c r="V426" s="22">
        <x:v>0</x:v>
      </x:c>
      <x:c r="W426" s="22">
        <x:v>0</x:v>
      </x:c>
      <x:c r="X426" s="22">
        <x:v>0</x:v>
      </x:c>
      <x:c r="Y426" s="22">
        <x:v>0</x:v>
      </x:c>
      <x:c r="Z426" s="22">
        <x:v>0</x:v>
      </x:c>
      <x:c r="AA426" s="22">
        <x:v>0</x:v>
      </x:c>
      <x:c r="AB426" s="22">
        <x:v>0</x:v>
      </x:c>
      <x:c r="AC426" s="16">
        <x:v>0</x:v>
      </x:c>
      <x:c r="AF426" s="2" t="s">
        <x:v>35</x:v>
      </x:c>
    </x:row>
    <x:row r="427">
      <x:c r="A427" s="4" t="s">
        <x:v>1290</x:v>
      </x:c>
      <x:c r="B427" s="4" t="s">
        <x:v>1291</x:v>
      </x:c>
      <x:c r="C427" s="4" t="s">
        <x:v>1292</x:v>
      </x:c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22">
        <x:v>0</x:v>
      </x:c>
      <x:c r="R427" s="22">
        <x:v>0</x:v>
      </x:c>
      <x:c r="S427" s="22">
        <x:v>0</x:v>
      </x:c>
      <x:c r="T427" s="22">
        <x:v>0</x:v>
      </x:c>
      <x:c r="U427" s="22">
        <x:v>0</x:v>
      </x:c>
      <x:c r="V427" s="22">
        <x:v>0</x:v>
      </x:c>
      <x:c r="W427" s="22">
        <x:v>0</x:v>
      </x:c>
      <x:c r="X427" s="22">
        <x:v>0</x:v>
      </x:c>
      <x:c r="Y427" s="22">
        <x:v>0</x:v>
      </x:c>
      <x:c r="Z427" s="22">
        <x:v>0</x:v>
      </x:c>
      <x:c r="AA427" s="22">
        <x:v>0</x:v>
      </x:c>
      <x:c r="AB427" s="22">
        <x:v>0</x:v>
      </x:c>
      <x:c r="AC427" s="16">
        <x:v>0</x:v>
      </x:c>
      <x:c r="AF427" s="2" t="s">
        <x:v>35</x:v>
      </x:c>
    </x:row>
    <x:row r="428">
      <x:c r="A428" s="4" t="s">
        <x:v>1293</x:v>
      </x:c>
      <x:c r="B428" s="4" t="s">
        <x:v>1294</x:v>
      </x:c>
      <x:c r="C428" s="4" t="s">
        <x:v>1295</x:v>
      </x:c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22">
        <x:v>0</x:v>
      </x:c>
      <x:c r="R428" s="22">
        <x:v>0</x:v>
      </x:c>
      <x:c r="S428" s="22">
        <x:v>0</x:v>
      </x:c>
      <x:c r="T428" s="22">
        <x:v>0</x:v>
      </x:c>
      <x:c r="U428" s="22">
        <x:v>0</x:v>
      </x:c>
      <x:c r="V428" s="22">
        <x:v>0</x:v>
      </x:c>
      <x:c r="W428" s="22">
        <x:v>0</x:v>
      </x:c>
      <x:c r="X428" s="22">
        <x:v>0</x:v>
      </x:c>
      <x:c r="Y428" s="22">
        <x:v>0</x:v>
      </x:c>
      <x:c r="Z428" s="22">
        <x:v>0</x:v>
      </x:c>
      <x:c r="AA428" s="22">
        <x:v>0</x:v>
      </x:c>
      <x:c r="AB428" s="22">
        <x:v>0</x:v>
      </x:c>
      <x:c r="AC428" s="16">
        <x:v>0</x:v>
      </x:c>
      <x:c r="AF428" s="2" t="s">
        <x:v>35</x:v>
      </x:c>
    </x:row>
    <x:row r="429">
      <x:c r="A429" s="4" t="s">
        <x:v>1296</x:v>
      </x:c>
      <x:c r="B429" s="4" t="s">
        <x:v>1297</x:v>
      </x:c>
      <x:c r="C429" s="4" t="s">
        <x:v>1298</x:v>
      </x:c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22">
        <x:v>0</x:v>
      </x:c>
      <x:c r="R429" s="22">
        <x:v>0</x:v>
      </x:c>
      <x:c r="S429" s="22">
        <x:v>0</x:v>
      </x:c>
      <x:c r="T429" s="22">
        <x:v>0</x:v>
      </x:c>
      <x:c r="U429" s="22">
        <x:v>0</x:v>
      </x:c>
      <x:c r="V429" s="22">
        <x:v>0</x:v>
      </x:c>
      <x:c r="W429" s="22">
        <x:v>0</x:v>
      </x:c>
      <x:c r="X429" s="22">
        <x:v>0</x:v>
      </x:c>
      <x:c r="Y429" s="22">
        <x:v>0</x:v>
      </x:c>
      <x:c r="Z429" s="22">
        <x:v>0</x:v>
      </x:c>
      <x:c r="AA429" s="22">
        <x:v>0</x:v>
      </x:c>
      <x:c r="AB429" s="22">
        <x:v>0</x:v>
      </x:c>
      <x:c r="AC429" s="16">
        <x:v>0</x:v>
      </x:c>
      <x:c r="AF429" s="2" t="s">
        <x:v>35</x:v>
      </x:c>
    </x:row>
    <x:row r="430">
      <x:c r="A430" s="4" t="s">
        <x:v>1299</x:v>
      </x:c>
      <x:c r="B430" s="4" t="s">
        <x:v>1300</x:v>
      </x:c>
      <x:c r="C430" s="4" t="s">
        <x:v>1301</x:v>
      </x:c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22">
        <x:v>0</x:v>
      </x:c>
      <x:c r="R430" s="22">
        <x:v>0</x:v>
      </x:c>
      <x:c r="S430" s="22">
        <x:v>0</x:v>
      </x:c>
      <x:c r="T430" s="22">
        <x:v>0</x:v>
      </x:c>
      <x:c r="U430" s="22">
        <x:v>0</x:v>
      </x:c>
      <x:c r="V430" s="22">
        <x:v>0</x:v>
      </x:c>
      <x:c r="W430" s="22">
        <x:v>0</x:v>
      </x:c>
      <x:c r="X430" s="22">
        <x:v>0</x:v>
      </x:c>
      <x:c r="Y430" s="22">
        <x:v>0</x:v>
      </x:c>
      <x:c r="Z430" s="22">
        <x:v>0</x:v>
      </x:c>
      <x:c r="AA430" s="22">
        <x:v>0</x:v>
      </x:c>
      <x:c r="AB430" s="22">
        <x:v>0</x:v>
      </x:c>
      <x:c r="AC430" s="16">
        <x:v>0</x:v>
      </x:c>
      <x:c r="AF430" s="2" t="s">
        <x:v>35</x:v>
      </x:c>
    </x:row>
    <x:row r="431">
      <x:c r="A431" s="4" t="s">
        <x:v>1302</x:v>
      </x:c>
      <x:c r="B431" s="4" t="s">
        <x:v>1303</x:v>
      </x:c>
      <x:c r="C431" s="4" t="s">
        <x:v>1304</x:v>
      </x:c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22">
        <x:v>0</x:v>
      </x:c>
      <x:c r="R431" s="22">
        <x:v>0</x:v>
      </x:c>
      <x:c r="S431" s="22">
        <x:v>0</x:v>
      </x:c>
      <x:c r="T431" s="22">
        <x:v>0</x:v>
      </x:c>
      <x:c r="U431" s="22">
        <x:v>0</x:v>
      </x:c>
      <x:c r="V431" s="22">
        <x:v>0</x:v>
      </x:c>
      <x:c r="W431" s="22">
        <x:v>0</x:v>
      </x:c>
      <x:c r="X431" s="22">
        <x:v>0</x:v>
      </x:c>
      <x:c r="Y431" s="22">
        <x:v>0</x:v>
      </x:c>
      <x:c r="Z431" s="22">
        <x:v>0</x:v>
      </x:c>
      <x:c r="AA431" s="22">
        <x:v>0</x:v>
      </x:c>
      <x:c r="AB431" s="22">
        <x:v>0</x:v>
      </x:c>
      <x:c r="AC431" s="16">
        <x:v>0</x:v>
      </x:c>
      <x:c r="AF431" s="2" t="s">
        <x:v>35</x:v>
      </x:c>
    </x:row>
    <x:row r="432">
      <x:c r="A432" s="4" t="s">
        <x:v>1305</x:v>
      </x:c>
      <x:c r="B432" s="4" t="s">
        <x:v>1306</x:v>
      </x:c>
      <x:c r="C432" s="4" t="s">
        <x:v>1307</x:v>
      </x:c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22">
        <x:v>0</x:v>
      </x:c>
      <x:c r="R432" s="22">
        <x:v>0</x:v>
      </x:c>
      <x:c r="S432" s="22">
        <x:v>0</x:v>
      </x:c>
      <x:c r="T432" s="22">
        <x:v>0</x:v>
      </x:c>
      <x:c r="U432" s="22">
        <x:v>0</x:v>
      </x:c>
      <x:c r="V432" s="22">
        <x:v>0</x:v>
      </x:c>
      <x:c r="W432" s="22">
        <x:v>0</x:v>
      </x:c>
      <x:c r="X432" s="22">
        <x:v>0</x:v>
      </x:c>
      <x:c r="Y432" s="22">
        <x:v>0</x:v>
      </x:c>
      <x:c r="Z432" s="22">
        <x:v>0</x:v>
      </x:c>
      <x:c r="AA432" s="22">
        <x:v>0</x:v>
      </x:c>
      <x:c r="AB432" s="22">
        <x:v>0</x:v>
      </x:c>
      <x:c r="AC432" s="16">
        <x:v>0</x:v>
      </x:c>
      <x:c r="AF432" s="2" t="s">
        <x:v>35</x:v>
      </x:c>
    </x:row>
    <x:row r="433">
      <x:c r="A433" s="4" t="s">
        <x:v>1308</x:v>
      </x:c>
      <x:c r="B433" s="4" t="s">
        <x:v>1309</x:v>
      </x:c>
      <x:c r="C433" s="4" t="s">
        <x:v>1310</x:v>
      </x:c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22">
        <x:v>0</x:v>
      </x:c>
      <x:c r="R433" s="22">
        <x:v>0</x:v>
      </x:c>
      <x:c r="S433" s="22">
        <x:v>0</x:v>
      </x:c>
      <x:c r="T433" s="22">
        <x:v>0</x:v>
      </x:c>
      <x:c r="U433" s="22">
        <x:v>0</x:v>
      </x:c>
      <x:c r="V433" s="22">
        <x:v>0</x:v>
      </x:c>
      <x:c r="W433" s="22">
        <x:v>0</x:v>
      </x:c>
      <x:c r="X433" s="22">
        <x:v>0</x:v>
      </x:c>
      <x:c r="Y433" s="22">
        <x:v>0</x:v>
      </x:c>
      <x:c r="Z433" s="22">
        <x:v>0</x:v>
      </x:c>
      <x:c r="AA433" s="22">
        <x:v>0</x:v>
      </x:c>
      <x:c r="AB433" s="22">
        <x:v>0</x:v>
      </x:c>
      <x:c r="AC433" s="16">
        <x:v>0</x:v>
      </x:c>
      <x:c r="AF433" s="2" t="s">
        <x:v>35</x:v>
      </x:c>
    </x:row>
    <x:row r="434">
      <x:c r="A434" s="4" t="s">
        <x:v>1311</x:v>
      </x:c>
      <x:c r="B434" s="4" t="s">
        <x:v>1312</x:v>
      </x:c>
      <x:c r="C434" s="4" t="s">
        <x:v>1313</x:v>
      </x:c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22">
        <x:v>0</x:v>
      </x:c>
      <x:c r="R434" s="22">
        <x:v>0</x:v>
      </x:c>
      <x:c r="S434" s="22">
        <x:v>0</x:v>
      </x:c>
      <x:c r="T434" s="22">
        <x:v>0</x:v>
      </x:c>
      <x:c r="U434" s="22">
        <x:v>0</x:v>
      </x:c>
      <x:c r="V434" s="22">
        <x:v>0</x:v>
      </x:c>
      <x:c r="W434" s="22">
        <x:v>0</x:v>
      </x:c>
      <x:c r="X434" s="22">
        <x:v>0</x:v>
      </x:c>
      <x:c r="Y434" s="22">
        <x:v>0</x:v>
      </x:c>
      <x:c r="Z434" s="22">
        <x:v>0</x:v>
      </x:c>
      <x:c r="AA434" s="22">
        <x:v>0</x:v>
      </x:c>
      <x:c r="AB434" s="22">
        <x:v>0</x:v>
      </x:c>
      <x:c r="AC434" s="16">
        <x:v>0</x:v>
      </x:c>
      <x:c r="AF434" s="2" t="s">
        <x:v>35</x:v>
      </x:c>
    </x:row>
    <x:row r="435">
      <x:c r="A435" s="4" t="s">
        <x:v>1314</x:v>
      </x:c>
      <x:c r="B435" s="4" t="s">
        <x:v>1315</x:v>
      </x:c>
      <x:c r="C435" s="4" t="s">
        <x:v>1316</x:v>
      </x:c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22">
        <x:v>0</x:v>
      </x:c>
      <x:c r="R435" s="22">
        <x:v>0</x:v>
      </x:c>
      <x:c r="S435" s="22">
        <x:v>0</x:v>
      </x:c>
      <x:c r="T435" s="22">
        <x:v>0</x:v>
      </x:c>
      <x:c r="U435" s="22">
        <x:v>0</x:v>
      </x:c>
      <x:c r="V435" s="22">
        <x:v>0</x:v>
      </x:c>
      <x:c r="W435" s="22">
        <x:v>0</x:v>
      </x:c>
      <x:c r="X435" s="22">
        <x:v>0</x:v>
      </x:c>
      <x:c r="Y435" s="22">
        <x:v>0</x:v>
      </x:c>
      <x:c r="Z435" s="22">
        <x:v>0</x:v>
      </x:c>
      <x:c r="AA435" s="22">
        <x:v>0</x:v>
      </x:c>
      <x:c r="AB435" s="22">
        <x:v>0</x:v>
      </x:c>
      <x:c r="AC435" s="16">
        <x:v>0</x:v>
      </x:c>
      <x:c r="AF435" s="2" t="s">
        <x:v>35</x:v>
      </x:c>
    </x:row>
    <x:row r="436">
      <x:c r="A436" s="4" t="s">
        <x:v>1317</x:v>
      </x:c>
      <x:c r="B436" s="4" t="s">
        <x:v>1318</x:v>
      </x:c>
      <x:c r="C436" s="4" t="s">
        <x:v>1319</x:v>
      </x:c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22">
        <x:v>0</x:v>
      </x:c>
      <x:c r="R436" s="22">
        <x:v>0</x:v>
      </x:c>
      <x:c r="S436" s="22">
        <x:v>0</x:v>
      </x:c>
      <x:c r="T436" s="22">
        <x:v>0</x:v>
      </x:c>
      <x:c r="U436" s="22">
        <x:v>0</x:v>
      </x:c>
      <x:c r="V436" s="22">
        <x:v>0</x:v>
      </x:c>
      <x:c r="W436" s="22">
        <x:v>0</x:v>
      </x:c>
      <x:c r="X436" s="22">
        <x:v>0</x:v>
      </x:c>
      <x:c r="Y436" s="22">
        <x:v>0</x:v>
      </x:c>
      <x:c r="Z436" s="22">
        <x:v>0</x:v>
      </x:c>
      <x:c r="AA436" s="22">
        <x:v>0</x:v>
      </x:c>
      <x:c r="AB436" s="22">
        <x:v>0</x:v>
      </x:c>
      <x:c r="AC436" s="16">
        <x:v>0</x:v>
      </x:c>
      <x:c r="AF436" s="2" t="s">
        <x:v>35</x:v>
      </x:c>
    </x:row>
    <x:row r="437">
      <x:c r="A437" s="4" t="s">
        <x:v>1320</x:v>
      </x:c>
      <x:c r="B437" s="4" t="s">
        <x:v>1321</x:v>
      </x:c>
      <x:c r="C437" s="4" t="s">
        <x:v>1322</x:v>
      </x:c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22">
        <x:v>0</x:v>
      </x:c>
      <x:c r="R437" s="22">
        <x:v>0</x:v>
      </x:c>
      <x:c r="S437" s="22">
        <x:v>0</x:v>
      </x:c>
      <x:c r="T437" s="22">
        <x:v>0</x:v>
      </x:c>
      <x:c r="U437" s="22">
        <x:v>0</x:v>
      </x:c>
      <x:c r="V437" s="22">
        <x:v>0</x:v>
      </x:c>
      <x:c r="W437" s="22">
        <x:v>0</x:v>
      </x:c>
      <x:c r="X437" s="22">
        <x:v>0</x:v>
      </x:c>
      <x:c r="Y437" s="22">
        <x:v>0</x:v>
      </x:c>
      <x:c r="Z437" s="22">
        <x:v>0</x:v>
      </x:c>
      <x:c r="AA437" s="22">
        <x:v>0</x:v>
      </x:c>
      <x:c r="AB437" s="22">
        <x:v>0</x:v>
      </x:c>
      <x:c r="AC437" s="16">
        <x:v>0</x:v>
      </x:c>
      <x:c r="AF437" s="2" t="s">
        <x:v>35</x:v>
      </x:c>
    </x:row>
    <x:row r="438">
      <x:c r="A438" s="4" t="s">
        <x:v>1323</x:v>
      </x:c>
      <x:c r="B438" s="4" t="s">
        <x:v>1324</x:v>
      </x:c>
      <x:c r="C438" s="4" t="s">
        <x:v>1325</x:v>
      </x:c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22">
        <x:v>0</x:v>
      </x:c>
      <x:c r="R438" s="22">
        <x:v>0</x:v>
      </x:c>
      <x:c r="S438" s="22">
        <x:v>0</x:v>
      </x:c>
      <x:c r="T438" s="22">
        <x:v>0</x:v>
      </x:c>
      <x:c r="U438" s="22">
        <x:v>0</x:v>
      </x:c>
      <x:c r="V438" s="22">
        <x:v>0</x:v>
      </x:c>
      <x:c r="W438" s="22">
        <x:v>0</x:v>
      </x:c>
      <x:c r="X438" s="22">
        <x:v>0</x:v>
      </x:c>
      <x:c r="Y438" s="22">
        <x:v>0</x:v>
      </x:c>
      <x:c r="Z438" s="22">
        <x:v>0</x:v>
      </x:c>
      <x:c r="AA438" s="22">
        <x:v>0</x:v>
      </x:c>
      <x:c r="AB438" s="22">
        <x:v>0</x:v>
      </x:c>
      <x:c r="AC438" s="16">
        <x:v>0</x:v>
      </x:c>
      <x:c r="AF438" s="2" t="s">
        <x:v>35</x:v>
      </x:c>
    </x:row>
    <x:row r="439">
      <x:c r="A439" s="4" t="s">
        <x:v>1326</x:v>
      </x:c>
      <x:c r="B439" s="4" t="s">
        <x:v>1327</x:v>
      </x:c>
      <x:c r="C439" s="4" t="s">
        <x:v>1328</x:v>
      </x:c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22">
        <x:v>0</x:v>
      </x:c>
      <x:c r="R439" s="22">
        <x:v>0</x:v>
      </x:c>
      <x:c r="S439" s="22">
        <x:v>0</x:v>
      </x:c>
      <x:c r="T439" s="22">
        <x:v>0</x:v>
      </x:c>
      <x:c r="U439" s="22">
        <x:v>0</x:v>
      </x:c>
      <x:c r="V439" s="22">
        <x:v>0</x:v>
      </x:c>
      <x:c r="W439" s="22">
        <x:v>0</x:v>
      </x:c>
      <x:c r="X439" s="22">
        <x:v>0</x:v>
      </x:c>
      <x:c r="Y439" s="22">
        <x:v>0</x:v>
      </x:c>
      <x:c r="Z439" s="22">
        <x:v>0</x:v>
      </x:c>
      <x:c r="AA439" s="22">
        <x:v>0</x:v>
      </x:c>
      <x:c r="AB439" s="22">
        <x:v>0</x:v>
      </x:c>
      <x:c r="AC439" s="16">
        <x:v>0</x:v>
      </x:c>
      <x:c r="AF439" s="2" t="s">
        <x:v>35</x:v>
      </x:c>
    </x:row>
    <x:row r="440">
      <x:c r="A440" s="4" t="s">
        <x:v>1329</x:v>
      </x:c>
      <x:c r="B440" s="4" t="s">
        <x:v>1330</x:v>
      </x:c>
      <x:c r="C440" s="4" t="s">
        <x:v>1331</x:v>
      </x:c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22">
        <x:v>0</x:v>
      </x:c>
      <x:c r="R440" s="22">
        <x:v>0</x:v>
      </x:c>
      <x:c r="S440" s="22">
        <x:v>0</x:v>
      </x:c>
      <x:c r="T440" s="22">
        <x:v>0</x:v>
      </x:c>
      <x:c r="U440" s="22">
        <x:v>0</x:v>
      </x:c>
      <x:c r="V440" s="22">
        <x:v>0</x:v>
      </x:c>
      <x:c r="W440" s="22">
        <x:v>0</x:v>
      </x:c>
      <x:c r="X440" s="22">
        <x:v>0</x:v>
      </x:c>
      <x:c r="Y440" s="22">
        <x:v>0</x:v>
      </x:c>
      <x:c r="Z440" s="22">
        <x:v>0</x:v>
      </x:c>
      <x:c r="AA440" s="22">
        <x:v>0</x:v>
      </x:c>
      <x:c r="AB440" s="22">
        <x:v>0</x:v>
      </x:c>
      <x:c r="AC440" s="16">
        <x:v>0</x:v>
      </x:c>
      <x:c r="AF440" s="2" t="s">
        <x:v>35</x:v>
      </x:c>
    </x:row>
    <x:row r="441">
      <x:c r="A441" s="4" t="s">
        <x:v>1332</x:v>
      </x:c>
      <x:c r="B441" s="4" t="s">
        <x:v>1333</x:v>
      </x:c>
      <x:c r="C441" s="4" t="s">
        <x:v>1334</x:v>
      </x:c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22">
        <x:v>0</x:v>
      </x:c>
      <x:c r="R441" s="22">
        <x:v>0</x:v>
      </x:c>
      <x:c r="S441" s="22">
        <x:v>0</x:v>
      </x:c>
      <x:c r="T441" s="22">
        <x:v>0</x:v>
      </x:c>
      <x:c r="U441" s="22">
        <x:v>0</x:v>
      </x:c>
      <x:c r="V441" s="22">
        <x:v>0</x:v>
      </x:c>
      <x:c r="W441" s="22">
        <x:v>0</x:v>
      </x:c>
      <x:c r="X441" s="22">
        <x:v>0</x:v>
      </x:c>
      <x:c r="Y441" s="22">
        <x:v>0</x:v>
      </x:c>
      <x:c r="Z441" s="22">
        <x:v>0</x:v>
      </x:c>
      <x:c r="AA441" s="22">
        <x:v>0</x:v>
      </x:c>
      <x:c r="AB441" s="22">
        <x:v>0</x:v>
      </x:c>
      <x:c r="AC441" s="16">
        <x:v>0</x:v>
      </x:c>
      <x:c r="AF441" s="2" t="s">
        <x:v>35</x:v>
      </x:c>
    </x:row>
    <x:row r="442">
      <x:c r="A442" s="4" t="s">
        <x:v>1335</x:v>
      </x:c>
      <x:c r="B442" s="4" t="s">
        <x:v>1336</x:v>
      </x:c>
      <x:c r="C442" s="4" t="s">
        <x:v>1337</x:v>
      </x:c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22">
        <x:v>0</x:v>
      </x:c>
      <x:c r="R442" s="22">
        <x:v>0</x:v>
      </x:c>
      <x:c r="S442" s="22">
        <x:v>0</x:v>
      </x:c>
      <x:c r="T442" s="22">
        <x:v>0</x:v>
      </x:c>
      <x:c r="U442" s="22">
        <x:v>0</x:v>
      </x:c>
      <x:c r="V442" s="22">
        <x:v>0</x:v>
      </x:c>
      <x:c r="W442" s="22">
        <x:v>0</x:v>
      </x:c>
      <x:c r="X442" s="22">
        <x:v>0</x:v>
      </x:c>
      <x:c r="Y442" s="22">
        <x:v>0</x:v>
      </x:c>
      <x:c r="Z442" s="22">
        <x:v>0</x:v>
      </x:c>
      <x:c r="AA442" s="22">
        <x:v>0</x:v>
      </x:c>
      <x:c r="AB442" s="22">
        <x:v>0</x:v>
      </x:c>
      <x:c r="AC442" s="16">
        <x:v>0</x:v>
      </x:c>
      <x:c r="AF442" s="2" t="s">
        <x:v>35</x:v>
      </x:c>
    </x:row>
    <x:row r="443">
      <x:c r="A443" s="4" t="s">
        <x:v>1338</x:v>
      </x:c>
      <x:c r="B443" s="4" t="s">
        <x:v>1339</x:v>
      </x:c>
      <x:c r="C443" s="4" t="s">
        <x:v>1340</x:v>
      </x:c>
      <x:c r="D443" s="6"/>
      <x:c r="E443" s="6"/>
      <x:c r="F443" s="6"/>
      <x:c r="G443" s="6"/>
      <x:c r="H443" s="6"/>
      <x:c r="I443" s="6"/>
      <x:c r="J443" s="6"/>
      <x:c r="K443" s="6"/>
      <x:c r="L443" s="8">
        <x:v>2</x:v>
      </x:c>
      <x:c r="M443" s="6"/>
      <x:c r="N443" s="6"/>
      <x:c r="O443" s="6"/>
      <x:c r="P443" s="6"/>
      <x:c r="Q443" s="22">
        <x:v>0</x:v>
      </x:c>
      <x:c r="R443" s="22">
        <x:v>0</x:v>
      </x:c>
      <x:c r="S443" s="22">
        <x:v>0</x:v>
      </x:c>
      <x:c r="T443" s="22">
        <x:v>0</x:v>
      </x:c>
      <x:c r="U443" s="22">
        <x:v>0</x:v>
      </x:c>
      <x:c r="V443" s="22">
        <x:v>0</x:v>
      </x:c>
      <x:c r="W443" s="22">
        <x:v>0</x:v>
      </x:c>
      <x:c r="X443" s="22">
        <x:v>0</x:v>
      </x:c>
      <x:c r="Y443" s="22">
        <x:v>0</x:v>
      </x:c>
      <x:c r="Z443" s="22">
        <x:v>0</x:v>
      </x:c>
      <x:c r="AA443" s="22">
        <x:v>0</x:v>
      </x:c>
      <x:c r="AB443" s="22">
        <x:v>0</x:v>
      </x:c>
      <x:c r="AC443" s="16">
        <x:v>0</x:v>
      </x:c>
      <x:c r="AF443" s="2" t="s">
        <x:v>35</x:v>
      </x:c>
    </x:row>
    <x:row r="444">
      <x:c r="A444" s="4" t="s">
        <x:v>1341</x:v>
      </x:c>
      <x:c r="B444" s="4" t="s">
        <x:v>1342</x:v>
      </x:c>
      <x:c r="C444" s="4" t="s">
        <x:v>1343</x:v>
      </x:c>
      <x:c r="D444" s="6"/>
      <x:c r="E444" s="6"/>
      <x:c r="F444" s="6"/>
      <x:c r="G444" s="6"/>
      <x:c r="H444" s="6"/>
      <x:c r="I444" s="6"/>
      <x:c r="J444" s="8">
        <x:v>3</x:v>
      </x:c>
      <x:c r="K444" s="6"/>
      <x:c r="L444" s="8">
        <x:v>-1</x:v>
      </x:c>
      <x:c r="M444" s="8">
        <x:v>2</x:v>
      </x:c>
      <x:c r="N444" s="6"/>
      <x:c r="O444" s="8">
        <x:v>1</x:v>
      </x:c>
      <x:c r="P444" s="8">
        <x:v>2</x:v>
      </x:c>
      <x:c r="Q444" s="22">
        <x:v>0</x:v>
      </x:c>
      <x:c r="R444" s="22">
        <x:v>0</x:v>
      </x:c>
      <x:c r="S444" s="22">
        <x:v>0</x:v>
      </x:c>
      <x:c r="T444" s="22">
        <x:v>0</x:v>
      </x:c>
      <x:c r="U444" s="22">
        <x:v>0</x:v>
      </x:c>
      <x:c r="V444" s="22">
        <x:v>0</x:v>
      </x:c>
      <x:c r="W444" s="22">
        <x:v>0</x:v>
      </x:c>
      <x:c r="X444" s="22">
        <x:v>0</x:v>
      </x:c>
      <x:c r="Y444" s="22">
        <x:v>0</x:v>
      </x:c>
      <x:c r="Z444" s="22">
        <x:v>0</x:v>
      </x:c>
      <x:c r="AA444" s="22">
        <x:v>0</x:v>
      </x:c>
      <x:c r="AB444" s="22">
        <x:v>0</x:v>
      </x:c>
      <x:c r="AC444" s="16">
        <x:v>2</x:v>
      </x:c>
      <x:c r="AF444" s="2" t="s">
        <x:v>35</x:v>
      </x:c>
    </x:row>
    <x:row r="445">
      <x:c r="A445" s="4" t="s">
        <x:v>1344</x:v>
      </x:c>
      <x:c r="B445" s="4" t="s">
        <x:v>1345</x:v>
      </x:c>
      <x:c r="C445" s="4" t="s">
        <x:v>1346</x:v>
      </x:c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22">
        <x:v>0</x:v>
      </x:c>
      <x:c r="R445" s="22">
        <x:v>0</x:v>
      </x:c>
      <x:c r="S445" s="22">
        <x:v>0</x:v>
      </x:c>
      <x:c r="T445" s="22">
        <x:v>0</x:v>
      </x:c>
      <x:c r="U445" s="22">
        <x:v>0</x:v>
      </x:c>
      <x:c r="V445" s="22">
        <x:v>0</x:v>
      </x:c>
      <x:c r="W445" s="22">
        <x:v>0</x:v>
      </x:c>
      <x:c r="X445" s="22">
        <x:v>0</x:v>
      </x:c>
      <x:c r="Y445" s="22">
        <x:v>0</x:v>
      </x:c>
      <x:c r="Z445" s="22">
        <x:v>0</x:v>
      </x:c>
      <x:c r="AA445" s="22">
        <x:v>0</x:v>
      </x:c>
      <x:c r="AB445" s="22">
        <x:v>0</x:v>
      </x:c>
      <x:c r="AC445" s="16">
        <x:v>0</x:v>
      </x:c>
      <x:c r="AF445" s="2" t="s">
        <x:v>35</x:v>
      </x:c>
    </x:row>
    <x:row r="446">
      <x:c r="A446" s="4" t="s">
        <x:v>1347</x:v>
      </x:c>
      <x:c r="B446" s="4" t="s">
        <x:v>1348</x:v>
      </x:c>
      <x:c r="C446" s="4" t="s">
        <x:v>1349</x:v>
      </x:c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22">
        <x:v>0</x:v>
      </x:c>
      <x:c r="R446" s="22">
        <x:v>0</x:v>
      </x:c>
      <x:c r="S446" s="22">
        <x:v>0</x:v>
      </x:c>
      <x:c r="T446" s="22">
        <x:v>0</x:v>
      </x:c>
      <x:c r="U446" s="22">
        <x:v>0</x:v>
      </x:c>
      <x:c r="V446" s="22">
        <x:v>0</x:v>
      </x:c>
      <x:c r="W446" s="22">
        <x:v>0</x:v>
      </x:c>
      <x:c r="X446" s="22">
        <x:v>0</x:v>
      </x:c>
      <x:c r="Y446" s="22">
        <x:v>0</x:v>
      </x:c>
      <x:c r="Z446" s="22">
        <x:v>0</x:v>
      </x:c>
      <x:c r="AA446" s="22">
        <x:v>0</x:v>
      </x:c>
      <x:c r="AB446" s="22">
        <x:v>0</x:v>
      </x:c>
      <x:c r="AC446" s="16">
        <x:v>0</x:v>
      </x:c>
      <x:c r="AF446" s="2" t="s">
        <x:v>35</x:v>
      </x:c>
    </x:row>
    <x:row r="447">
      <x:c r="A447" s="4" t="s">
        <x:v>1350</x:v>
      </x:c>
      <x:c r="B447" s="4" t="s">
        <x:v>1351</x:v>
      </x:c>
      <x:c r="C447" s="4" t="s">
        <x:v>1352</x:v>
      </x:c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22">
        <x:v>0</x:v>
      </x:c>
      <x:c r="R447" s="22">
        <x:v>0</x:v>
      </x:c>
      <x:c r="S447" s="22">
        <x:v>0</x:v>
      </x:c>
      <x:c r="T447" s="22">
        <x:v>0</x:v>
      </x:c>
      <x:c r="U447" s="22">
        <x:v>0</x:v>
      </x:c>
      <x:c r="V447" s="22">
        <x:v>0</x:v>
      </x:c>
      <x:c r="W447" s="22">
        <x:v>0</x:v>
      </x:c>
      <x:c r="X447" s="22">
        <x:v>0</x:v>
      </x:c>
      <x:c r="Y447" s="22">
        <x:v>0</x:v>
      </x:c>
      <x:c r="Z447" s="22">
        <x:v>0</x:v>
      </x:c>
      <x:c r="AA447" s="22">
        <x:v>0</x:v>
      </x:c>
      <x:c r="AB447" s="22">
        <x:v>0</x:v>
      </x:c>
      <x:c r="AC447" s="16">
        <x:v>0</x:v>
      </x:c>
      <x:c r="AF447" s="2" t="s">
        <x:v>35</x:v>
      </x:c>
    </x:row>
    <x:row r="448">
      <x:c r="A448" s="4" t="s">
        <x:v>1353</x:v>
      </x:c>
      <x:c r="B448" s="4" t="s">
        <x:v>1354</x:v>
      </x:c>
      <x:c r="C448" s="4" t="s">
        <x:v>1355</x:v>
      </x:c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22">
        <x:v>0</x:v>
      </x:c>
      <x:c r="R448" s="22">
        <x:v>0</x:v>
      </x:c>
      <x:c r="S448" s="22">
        <x:v>0</x:v>
      </x:c>
      <x:c r="T448" s="22">
        <x:v>0</x:v>
      </x:c>
      <x:c r="U448" s="22">
        <x:v>0</x:v>
      </x:c>
      <x:c r="V448" s="22">
        <x:v>0</x:v>
      </x:c>
      <x:c r="W448" s="22">
        <x:v>0</x:v>
      </x:c>
      <x:c r="X448" s="22">
        <x:v>0</x:v>
      </x:c>
      <x:c r="Y448" s="22">
        <x:v>0</x:v>
      </x:c>
      <x:c r="Z448" s="22">
        <x:v>0</x:v>
      </x:c>
      <x:c r="AA448" s="22">
        <x:v>0</x:v>
      </x:c>
      <x:c r="AB448" s="22">
        <x:v>0</x:v>
      </x:c>
      <x:c r="AC448" s="16">
        <x:v>0</x:v>
      </x:c>
      <x:c r="AF448" s="2" t="s">
        <x:v>35</x:v>
      </x:c>
    </x:row>
    <x:row r="449">
      <x:c r="A449" s="4" t="s">
        <x:v>1356</x:v>
      </x:c>
      <x:c r="B449" s="4" t="s">
        <x:v>1357</x:v>
      </x:c>
      <x:c r="C449" s="4" t="s">
        <x:v>1358</x:v>
      </x:c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22">
        <x:v>0</x:v>
      </x:c>
      <x:c r="R449" s="22">
        <x:v>0</x:v>
      </x:c>
      <x:c r="S449" s="22">
        <x:v>0</x:v>
      </x:c>
      <x:c r="T449" s="22">
        <x:v>0</x:v>
      </x:c>
      <x:c r="U449" s="22">
        <x:v>0</x:v>
      </x:c>
      <x:c r="V449" s="22">
        <x:v>0</x:v>
      </x:c>
      <x:c r="W449" s="22">
        <x:v>0</x:v>
      </x:c>
      <x:c r="X449" s="22">
        <x:v>0</x:v>
      </x:c>
      <x:c r="Y449" s="22">
        <x:v>0</x:v>
      </x:c>
      <x:c r="Z449" s="22">
        <x:v>0</x:v>
      </x:c>
      <x:c r="AA449" s="22">
        <x:v>0</x:v>
      </x:c>
      <x:c r="AB449" s="22">
        <x:v>0</x:v>
      </x:c>
      <x:c r="AC449" s="16">
        <x:v>0</x:v>
      </x:c>
      <x:c r="AF449" s="2" t="s">
        <x:v>35</x:v>
      </x:c>
    </x:row>
    <x:row r="450">
      <x:c r="A450" s="4" t="s">
        <x:v>1359</x:v>
      </x:c>
      <x:c r="B450" s="4" t="s">
        <x:v>1360</x:v>
      </x:c>
      <x:c r="C450" s="4" t="s">
        <x:v>1361</x:v>
      </x:c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22">
        <x:v>0</x:v>
      </x:c>
      <x:c r="R450" s="22">
        <x:v>0</x:v>
      </x:c>
      <x:c r="S450" s="22">
        <x:v>0</x:v>
      </x:c>
      <x:c r="T450" s="22">
        <x:v>0</x:v>
      </x:c>
      <x:c r="U450" s="22">
        <x:v>0</x:v>
      </x:c>
      <x:c r="V450" s="22">
        <x:v>0</x:v>
      </x:c>
      <x:c r="W450" s="22">
        <x:v>0</x:v>
      </x:c>
      <x:c r="X450" s="22">
        <x:v>0</x:v>
      </x:c>
      <x:c r="Y450" s="22">
        <x:v>0</x:v>
      </x:c>
      <x:c r="Z450" s="22">
        <x:v>0</x:v>
      </x:c>
      <x:c r="AA450" s="22">
        <x:v>0</x:v>
      </x:c>
      <x:c r="AB450" s="22">
        <x:v>0</x:v>
      </x:c>
      <x:c r="AC450" s="16">
        <x:v>0</x:v>
      </x:c>
      <x:c r="AF450" s="2" t="s">
        <x:v>35</x:v>
      </x:c>
    </x:row>
    <x:row r="451">
      <x:c r="A451" s="4" t="s">
        <x:v>1362</x:v>
      </x:c>
      <x:c r="B451" s="4" t="s">
        <x:v>1363</x:v>
      </x:c>
      <x:c r="C451" s="4" t="s">
        <x:v>1364</x:v>
      </x:c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22">
        <x:v>0</x:v>
      </x:c>
      <x:c r="R451" s="22">
        <x:v>0</x:v>
      </x:c>
      <x:c r="S451" s="22">
        <x:v>0</x:v>
      </x:c>
      <x:c r="T451" s="22">
        <x:v>0</x:v>
      </x:c>
      <x:c r="U451" s="22">
        <x:v>0</x:v>
      </x:c>
      <x:c r="V451" s="22">
        <x:v>0</x:v>
      </x:c>
      <x:c r="W451" s="22">
        <x:v>0</x:v>
      </x:c>
      <x:c r="X451" s="22">
        <x:v>0</x:v>
      </x:c>
      <x:c r="Y451" s="22">
        <x:v>0</x:v>
      </x:c>
      <x:c r="Z451" s="22">
        <x:v>0</x:v>
      </x:c>
      <x:c r="AA451" s="22">
        <x:v>0</x:v>
      </x:c>
      <x:c r="AB451" s="22">
        <x:v>0</x:v>
      </x:c>
      <x:c r="AC451" s="16">
        <x:v>0</x:v>
      </x:c>
      <x:c r="AF451" s="2" t="s">
        <x:v>35</x:v>
      </x:c>
    </x:row>
    <x:row r="452">
      <x:c r="A452" s="4" t="s">
        <x:v>1365</x:v>
      </x:c>
      <x:c r="B452" s="4" t="s">
        <x:v>1366</x:v>
      </x:c>
      <x:c r="C452" s="4" t="s">
        <x:v>1367</x:v>
      </x:c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22">
        <x:v>0</x:v>
      </x:c>
      <x:c r="R452" s="22">
        <x:v>0</x:v>
      </x:c>
      <x:c r="S452" s="22">
        <x:v>0</x:v>
      </x:c>
      <x:c r="T452" s="22">
        <x:v>0</x:v>
      </x:c>
      <x:c r="U452" s="22">
        <x:v>0</x:v>
      </x:c>
      <x:c r="V452" s="22">
        <x:v>0</x:v>
      </x:c>
      <x:c r="W452" s="22">
        <x:v>0</x:v>
      </x:c>
      <x:c r="X452" s="22">
        <x:v>0</x:v>
      </x:c>
      <x:c r="Y452" s="22">
        <x:v>0</x:v>
      </x:c>
      <x:c r="Z452" s="22">
        <x:v>0</x:v>
      </x:c>
      <x:c r="AA452" s="22">
        <x:v>0</x:v>
      </x:c>
      <x:c r="AB452" s="22">
        <x:v>0</x:v>
      </x:c>
      <x:c r="AC452" s="16">
        <x:v>0</x:v>
      </x:c>
      <x:c r="AF452" s="2" t="s">
        <x:v>35</x:v>
      </x:c>
    </x:row>
    <x:row r="453">
      <x:c r="A453" s="4" t="s">
        <x:v>1368</x:v>
      </x:c>
      <x:c r="B453" s="4" t="s">
        <x:v>1369</x:v>
      </x:c>
      <x:c r="C453" s="4" t="s">
        <x:v>1370</x:v>
      </x:c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22">
        <x:v>0</x:v>
      </x:c>
      <x:c r="R453" s="22">
        <x:v>0</x:v>
      </x:c>
      <x:c r="S453" s="22">
        <x:v>0</x:v>
      </x:c>
      <x:c r="T453" s="22">
        <x:v>0</x:v>
      </x:c>
      <x:c r="U453" s="22">
        <x:v>0</x:v>
      </x:c>
      <x:c r="V453" s="22">
        <x:v>0</x:v>
      </x:c>
      <x:c r="W453" s="22">
        <x:v>0</x:v>
      </x:c>
      <x:c r="X453" s="22">
        <x:v>0</x:v>
      </x:c>
      <x:c r="Y453" s="22">
        <x:v>0</x:v>
      </x:c>
      <x:c r="Z453" s="22">
        <x:v>0</x:v>
      </x:c>
      <x:c r="AA453" s="22">
        <x:v>0</x:v>
      </x:c>
      <x:c r="AB453" s="22">
        <x:v>0</x:v>
      </x:c>
      <x:c r="AC453" s="16">
        <x:v>0</x:v>
      </x:c>
      <x:c r="AF453" s="2" t="s">
        <x:v>35</x:v>
      </x:c>
    </x:row>
    <x:row r="454">
      <x:c r="A454" s="4" t="s">
        <x:v>1371</x:v>
      </x:c>
      <x:c r="B454" s="4" t="s">
        <x:v>1372</x:v>
      </x:c>
      <x:c r="C454" s="4" t="s">
        <x:v>1373</x:v>
      </x:c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22">
        <x:v>0</x:v>
      </x:c>
      <x:c r="R454" s="22">
        <x:v>0</x:v>
      </x:c>
      <x:c r="S454" s="22">
        <x:v>0</x:v>
      </x:c>
      <x:c r="T454" s="22">
        <x:v>0</x:v>
      </x:c>
      <x:c r="U454" s="22">
        <x:v>0</x:v>
      </x:c>
      <x:c r="V454" s="22">
        <x:v>0</x:v>
      </x:c>
      <x:c r="W454" s="22">
        <x:v>0</x:v>
      </x:c>
      <x:c r="X454" s="22">
        <x:v>0</x:v>
      </x:c>
      <x:c r="Y454" s="22">
        <x:v>0</x:v>
      </x:c>
      <x:c r="Z454" s="22">
        <x:v>0</x:v>
      </x:c>
      <x:c r="AA454" s="22">
        <x:v>0</x:v>
      </x:c>
      <x:c r="AB454" s="22">
        <x:v>0</x:v>
      </x:c>
      <x:c r="AC454" s="16">
        <x:v>0</x:v>
      </x:c>
      <x:c r="AF454" s="2" t="s">
        <x:v>35</x:v>
      </x:c>
    </x:row>
    <x:row r="455">
      <x:c r="A455" s="4" t="s">
        <x:v>1374</x:v>
      </x:c>
      <x:c r="B455" s="4" t="s">
        <x:v>1375</x:v>
      </x:c>
      <x:c r="C455" s="4" t="s">
        <x:v>1376</x:v>
      </x:c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22">
        <x:v>0</x:v>
      </x:c>
      <x:c r="R455" s="22">
        <x:v>0</x:v>
      </x:c>
      <x:c r="S455" s="22">
        <x:v>0</x:v>
      </x:c>
      <x:c r="T455" s="22">
        <x:v>0</x:v>
      </x:c>
      <x:c r="U455" s="22">
        <x:v>0</x:v>
      </x:c>
      <x:c r="V455" s="22">
        <x:v>0</x:v>
      </x:c>
      <x:c r="W455" s="22">
        <x:v>0</x:v>
      </x:c>
      <x:c r="X455" s="22">
        <x:v>0</x:v>
      </x:c>
      <x:c r="Y455" s="22">
        <x:v>0</x:v>
      </x:c>
      <x:c r="Z455" s="22">
        <x:v>0</x:v>
      </x:c>
      <x:c r="AA455" s="22">
        <x:v>0</x:v>
      </x:c>
      <x:c r="AB455" s="22">
        <x:v>0</x:v>
      </x:c>
      <x:c r="AC455" s="16">
        <x:v>0</x:v>
      </x:c>
      <x:c r="AF455" s="2" t="s">
        <x:v>35</x:v>
      </x:c>
    </x:row>
    <x:row r="456">
      <x:c r="A456" s="4" t="s">
        <x:v>1377</x:v>
      </x:c>
      <x:c r="B456" s="4" t="s">
        <x:v>1378</x:v>
      </x:c>
      <x:c r="C456" s="4" t="s">
        <x:v>1379</x:v>
      </x:c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22">
        <x:v>0</x:v>
      </x:c>
      <x:c r="R456" s="22">
        <x:v>0</x:v>
      </x:c>
      <x:c r="S456" s="22">
        <x:v>0</x:v>
      </x:c>
      <x:c r="T456" s="22">
        <x:v>0</x:v>
      </x:c>
      <x:c r="U456" s="22">
        <x:v>0</x:v>
      </x:c>
      <x:c r="V456" s="22">
        <x:v>0</x:v>
      </x:c>
      <x:c r="W456" s="22">
        <x:v>0</x:v>
      </x:c>
      <x:c r="X456" s="22">
        <x:v>0</x:v>
      </x:c>
      <x:c r="Y456" s="22">
        <x:v>0</x:v>
      </x:c>
      <x:c r="Z456" s="22">
        <x:v>0</x:v>
      </x:c>
      <x:c r="AA456" s="22">
        <x:v>0</x:v>
      </x:c>
      <x:c r="AB456" s="22">
        <x:v>0</x:v>
      </x:c>
      <x:c r="AC456" s="16">
        <x:v>0</x:v>
      </x:c>
      <x:c r="AF456" s="2" t="s">
        <x:v>35</x:v>
      </x:c>
    </x:row>
    <x:row r="457">
      <x:c r="A457" s="4" t="s">
        <x:v>1380</x:v>
      </x:c>
      <x:c r="B457" s="4" t="s">
        <x:v>1381</x:v>
      </x:c>
      <x:c r="C457" s="4" t="s">
        <x:v>1382</x:v>
      </x:c>
      <x:c r="D457" s="6"/>
      <x:c r="E457" s="6"/>
      <x:c r="F457" s="8">
        <x:v>2</x:v>
      </x:c>
      <x:c r="G457" s="8">
        <x:v>1</x:v>
      </x:c>
      <x:c r="H457" s="8">
        <x:v>1</x:v>
      </x:c>
      <x:c r="I457" s="8">
        <x:v>1</x:v>
      </x:c>
      <x:c r="J457" s="6"/>
      <x:c r="K457" s="6"/>
      <x:c r="L457" s="6"/>
      <x:c r="M457" s="6"/>
      <x:c r="N457" s="6"/>
      <x:c r="O457" s="6"/>
      <x:c r="P457" s="6"/>
      <x:c r="Q457" s="22">
        <x:v>0</x:v>
      </x:c>
      <x:c r="R457" s="22">
        <x:v>0</x:v>
      </x:c>
      <x:c r="S457" s="19">
        <x:v>1.7391</x:v>
      </x:c>
      <x:c r="T457" s="22">
        <x:v>0</x:v>
      </x:c>
      <x:c r="U457" s="22">
        <x:v>0</x:v>
      </x:c>
      <x:c r="V457" s="22">
        <x:v>0</x:v>
      </x:c>
      <x:c r="W457" s="22">
        <x:v>0</x:v>
      </x:c>
      <x:c r="X457" s="22">
        <x:v>0</x:v>
      </x:c>
      <x:c r="Y457" s="22">
        <x:v>0</x:v>
      </x:c>
      <x:c r="Z457" s="22">
        <x:v>0</x:v>
      </x:c>
      <x:c r="AA457" s="22">
        <x:v>0</x:v>
      </x:c>
      <x:c r="AB457" s="22">
        <x:v>0</x:v>
      </x:c>
      <x:c r="AC457" s="16">
        <x:v>0</x:v>
      </x:c>
      <x:c r="AF457" s="2" t="s">
        <x:v>35</x:v>
      </x:c>
    </x:row>
    <x:row r="458">
      <x:c r="A458" s="4" t="s">
        <x:v>1383</x:v>
      </x:c>
      <x:c r="B458" s="4" t="s">
        <x:v>1384</x:v>
      </x:c>
      <x:c r="C458" s="4" t="s">
        <x:v>1385</x:v>
      </x:c>
      <x:c r="D458" s="6"/>
      <x:c r="E458" s="6"/>
      <x:c r="F458" s="8">
        <x:v>1</x:v>
      </x:c>
      <x:c r="G458" s="8">
        <x:v>2</x:v>
      </x:c>
      <x:c r="H458" s="8">
        <x:v>1</x:v>
      </x:c>
      <x:c r="I458" s="8">
        <x:v>1</x:v>
      </x:c>
      <x:c r="J458" s="6"/>
      <x:c r="K458" s="6"/>
      <x:c r="L458" s="6"/>
      <x:c r="M458" s="6"/>
      <x:c r="N458" s="6"/>
      <x:c r="O458" s="6"/>
      <x:c r="P458" s="6"/>
      <x:c r="Q458" s="22">
        <x:v>0</x:v>
      </x:c>
      <x:c r="R458" s="22">
        <x:v>0</x:v>
      </x:c>
      <x:c r="S458" s="22">
        <x:v>0</x:v>
      </x:c>
      <x:c r="T458" s="22">
        <x:v>0</x:v>
      </x:c>
      <x:c r="U458" s="22">
        <x:v>0</x:v>
      </x:c>
      <x:c r="V458" s="22">
        <x:v>0</x:v>
      </x:c>
      <x:c r="W458" s="22">
        <x:v>0</x:v>
      </x:c>
      <x:c r="X458" s="22">
        <x:v>0</x:v>
      </x:c>
      <x:c r="Y458" s="22">
        <x:v>0</x:v>
      </x:c>
      <x:c r="Z458" s="22">
        <x:v>0</x:v>
      </x:c>
      <x:c r="AA458" s="22">
        <x:v>0</x:v>
      </x:c>
      <x:c r="AB458" s="22">
        <x:v>0</x:v>
      </x:c>
      <x:c r="AC458" s="16">
        <x:v>0</x:v>
      </x:c>
      <x:c r="AF458" s="2" t="s">
        <x:v>35</x:v>
      </x:c>
    </x:row>
    <x:row r="459">
      <x:c r="A459" s="4" t="s">
        <x:v>1386</x:v>
      </x:c>
      <x:c r="B459" s="4" t="s">
        <x:v>1387</x:v>
      </x:c>
      <x:c r="C459" s="4" t="s">
        <x:v>1388</x:v>
      </x:c>
      <x:c r="D459" s="6"/>
      <x:c r="E459" s="6"/>
      <x:c r="F459" s="8">
        <x:v>1</x:v>
      </x:c>
      <x:c r="G459" s="6"/>
      <x:c r="H459" s="8">
        <x:v>1</x:v>
      </x:c>
      <x:c r="I459" s="8">
        <x:v>1</x:v>
      </x:c>
      <x:c r="J459" s="6"/>
      <x:c r="K459" s="6"/>
      <x:c r="L459" s="6"/>
      <x:c r="M459" s="6"/>
      <x:c r="N459" s="6"/>
      <x:c r="O459" s="6"/>
      <x:c r="P459" s="6"/>
      <x:c r="Q459" s="22">
        <x:v>0</x:v>
      </x:c>
      <x:c r="R459" s="22">
        <x:v>0</x:v>
      </x:c>
      <x:c r="S459" s="22">
        <x:v>0</x:v>
      </x:c>
      <x:c r="T459" s="22">
        <x:v>0</x:v>
      </x:c>
      <x:c r="U459" s="22">
        <x:v>0</x:v>
      </x:c>
      <x:c r="V459" s="22">
        <x:v>0</x:v>
      </x:c>
      <x:c r="W459" s="22">
        <x:v>0</x:v>
      </x:c>
      <x:c r="X459" s="22">
        <x:v>0</x:v>
      </x:c>
      <x:c r="Y459" s="22">
        <x:v>0</x:v>
      </x:c>
      <x:c r="Z459" s="22">
        <x:v>0</x:v>
      </x:c>
      <x:c r="AA459" s="22">
        <x:v>0</x:v>
      </x:c>
      <x:c r="AB459" s="22">
        <x:v>0</x:v>
      </x:c>
      <x:c r="AC459" s="16">
        <x:v>0</x:v>
      </x:c>
      <x:c r="AF459" s="2" t="s">
        <x:v>35</x:v>
      </x:c>
    </x:row>
    <x:row r="460">
      <x:c r="A460" s="4" t="s">
        <x:v>1389</x:v>
      </x:c>
      <x:c r="B460" s="4" t="s">
        <x:v>1390</x:v>
      </x:c>
      <x:c r="C460" s="4" t="s">
        <x:v>1391</x:v>
      </x:c>
      <x:c r="D460" s="6"/>
      <x:c r="E460" s="6"/>
      <x:c r="F460" s="8">
        <x:v>1</x:v>
      </x:c>
      <x:c r="G460" s="6"/>
      <x:c r="H460" s="8">
        <x:v>1</x:v>
      </x:c>
      <x:c r="I460" s="8">
        <x:v>1</x:v>
      </x:c>
      <x:c r="J460" s="6"/>
      <x:c r="K460" s="6"/>
      <x:c r="L460" s="6"/>
      <x:c r="M460" s="6"/>
      <x:c r="N460" s="6"/>
      <x:c r="O460" s="6"/>
      <x:c r="P460" s="6"/>
      <x:c r="Q460" s="22">
        <x:v>0</x:v>
      </x:c>
      <x:c r="R460" s="22">
        <x:v>0</x:v>
      </x:c>
      <x:c r="S460" s="22">
        <x:v>0</x:v>
      </x:c>
      <x:c r="T460" s="22">
        <x:v>0</x:v>
      </x:c>
      <x:c r="U460" s="22">
        <x:v>0</x:v>
      </x:c>
      <x:c r="V460" s="22">
        <x:v>0</x:v>
      </x:c>
      <x:c r="W460" s="22">
        <x:v>0</x:v>
      </x:c>
      <x:c r="X460" s="22">
        <x:v>0</x:v>
      </x:c>
      <x:c r="Y460" s="22">
        <x:v>0</x:v>
      </x:c>
      <x:c r="Z460" s="22">
        <x:v>0</x:v>
      </x:c>
      <x:c r="AA460" s="22">
        <x:v>0</x:v>
      </x:c>
      <x:c r="AB460" s="22">
        <x:v>0</x:v>
      </x:c>
      <x:c r="AC460" s="16">
        <x:v>0</x:v>
      </x:c>
      <x:c r="AF460" s="2" t="s">
        <x:v>35</x:v>
      </x:c>
    </x:row>
    <x:row r="461">
      <x:c r="A461" s="4" t="s">
        <x:v>1392</x:v>
      </x:c>
      <x:c r="B461" s="4" t="s">
        <x:v>1276</x:v>
      </x:c>
      <x:c r="C461" s="4" t="s">
        <x:v>1393</x:v>
      </x:c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22">
        <x:v>0</x:v>
      </x:c>
      <x:c r="R461" s="22">
        <x:v>0</x:v>
      </x:c>
      <x:c r="S461" s="22">
        <x:v>0</x:v>
      </x:c>
      <x:c r="T461" s="22">
        <x:v>0</x:v>
      </x:c>
      <x:c r="U461" s="22">
        <x:v>0</x:v>
      </x:c>
      <x:c r="V461" s="22">
        <x:v>0</x:v>
      </x:c>
      <x:c r="W461" s="22">
        <x:v>0</x:v>
      </x:c>
      <x:c r="X461" s="22">
        <x:v>0</x:v>
      </x:c>
      <x:c r="Y461" s="22">
        <x:v>0</x:v>
      </x:c>
      <x:c r="Z461" s="22">
        <x:v>0</x:v>
      </x:c>
      <x:c r="AA461" s="22">
        <x:v>0</x:v>
      </x:c>
      <x:c r="AB461" s="22">
        <x:v>0</x:v>
      </x:c>
      <x:c r="AC461" s="16">
        <x:v>0</x:v>
      </x:c>
      <x:c r="AF461" s="2" t="s">
        <x:v>35</x:v>
      </x:c>
    </x:row>
    <x:row r="462">
      <x:c r="A462" s="4" t="s">
        <x:v>1394</x:v>
      </x:c>
      <x:c r="B462" s="4" t="s">
        <x:v>1395</x:v>
      </x:c>
      <x:c r="C462" s="4" t="s">
        <x:v>1396</x:v>
      </x:c>
      <x:c r="D462" s="8">
        <x:v>2</x:v>
      </x:c>
      <x:c r="E462" s="6"/>
      <x:c r="F462" s="8">
        <x:v>2</x:v>
      </x:c>
      <x:c r="G462" s="8">
        <x:v>3</x:v>
      </x:c>
      <x:c r="H462" s="6"/>
      <x:c r="I462" s="6"/>
      <x:c r="J462" s="6"/>
      <x:c r="K462" s="8">
        <x:v>7</x:v>
      </x:c>
      <x:c r="L462" s="6"/>
      <x:c r="M462" s="6"/>
      <x:c r="N462" s="8">
        <x:v>2</x:v>
      </x:c>
      <x:c r="O462" s="8">
        <x:v>4</x:v>
      </x:c>
      <x:c r="P462" s="6"/>
      <x:c r="Q462" s="19">
        <x:v>0.087</x:v>
      </x:c>
      <x:c r="R462" s="10">
        <x:v>0</x:v>
      </x:c>
      <x:c r="S462" s="19">
        <x:v>0.1159</x:v>
      </x:c>
      <x:c r="T462" s="19">
        <x:v>3</x:v>
      </x:c>
      <x:c r="U462" s="22">
        <x:v>0</x:v>
      </x:c>
      <x:c r="V462" s="22">
        <x:v>0</x:v>
      </x:c>
      <x:c r="W462" s="19">
        <x:v>0</x:v>
      </x:c>
      <x:c r="X462" s="10">
        <x:v>0.2941</x:v>
      </x:c>
      <x:c r="Y462" s="10">
        <x:v>0</x:v>
      </x:c>
      <x:c r="Z462" s="10">
        <x:v>0</x:v>
      </x:c>
      <x:c r="AA462" s="10">
        <x:v>0.0614</x:v>
      </x:c>
      <x:c r="AB462" s="10">
        <x:v>0.1159</x:v>
      </x:c>
      <x:c r="AC462" s="13">
        <x:v>0</x:v>
      </x:c>
      <x:c r="AD462" s="10">
        <x:v>0.0786</x:v>
      </x:c>
      <x:c r="AE462" s="10">
        <x:v>0.0786</x:v>
      </x:c>
      <x:c r="AF462" s="2" t="s">
        <x:v>35</x:v>
      </x:c>
    </x:row>
    <x:row r="463">
      <x:c r="A463" s="4" t="s">
        <x:v>1397</x:v>
      </x:c>
      <x:c r="B463" s="4" t="s">
        <x:v>1398</x:v>
      </x:c>
      <x:c r="C463" s="4" t="s">
        <x:v>1399</x:v>
      </x:c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22">
        <x:v>0</x:v>
      </x:c>
      <x:c r="R463" s="22">
        <x:v>0</x:v>
      </x:c>
      <x:c r="S463" s="22">
        <x:v>0</x:v>
      </x:c>
      <x:c r="T463" s="22">
        <x:v>0</x:v>
      </x:c>
      <x:c r="U463" s="22">
        <x:v>0</x:v>
      </x:c>
      <x:c r="V463" s="22">
        <x:v>0</x:v>
      </x:c>
      <x:c r="W463" s="22">
        <x:v>0</x:v>
      </x:c>
      <x:c r="X463" s="22">
        <x:v>0</x:v>
      </x:c>
      <x:c r="Y463" s="22">
        <x:v>0</x:v>
      </x:c>
      <x:c r="Z463" s="22">
        <x:v>0</x:v>
      </x:c>
      <x:c r="AA463" s="22">
        <x:v>0</x:v>
      </x:c>
      <x:c r="AB463" s="22">
        <x:v>0</x:v>
      </x:c>
      <x:c r="AC463" s="16">
        <x:v>0</x:v>
      </x:c>
      <x:c r="AF463" s="2" t="s">
        <x:v>35</x:v>
      </x:c>
    </x:row>
    <x:row r="464">
      <x:c r="A464" s="4" t="s">
        <x:v>1400</x:v>
      </x:c>
      <x:c r="B464" s="4" t="s">
        <x:v>1401</x:v>
      </x:c>
      <x:c r="C464" s="4" t="s">
        <x:v>1402</x:v>
      </x:c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22">
        <x:v>0</x:v>
      </x:c>
      <x:c r="R464" s="22">
        <x:v>0</x:v>
      </x:c>
      <x:c r="S464" s="22">
        <x:v>0</x:v>
      </x:c>
      <x:c r="T464" s="22">
        <x:v>0</x:v>
      </x:c>
      <x:c r="U464" s="22">
        <x:v>0</x:v>
      </x:c>
      <x:c r="V464" s="22">
        <x:v>0</x:v>
      </x:c>
      <x:c r="W464" s="22">
        <x:v>0</x:v>
      </x:c>
      <x:c r="X464" s="22">
        <x:v>0</x:v>
      </x:c>
      <x:c r="Y464" s="22">
        <x:v>0</x:v>
      </x:c>
      <x:c r="Z464" s="22">
        <x:v>0</x:v>
      </x:c>
      <x:c r="AA464" s="22">
        <x:v>0</x:v>
      </x:c>
      <x:c r="AB464" s="22">
        <x:v>0</x:v>
      </x:c>
      <x:c r="AC464" s="16">
        <x:v>0</x:v>
      </x:c>
      <x:c r="AF464" s="2" t="s">
        <x:v>35</x:v>
      </x:c>
    </x:row>
    <x:row r="465">
      <x:c r="A465" s="4" t="s">
        <x:v>1403</x:v>
      </x:c>
      <x:c r="B465" s="4" t="s">
        <x:v>1404</x:v>
      </x:c>
      <x:c r="C465" s="4" t="s">
        <x:v>1405</x:v>
      </x:c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8">
        <x:v>1</x:v>
      </x:c>
      <x:c r="O465" s="6"/>
      <x:c r="P465" s="6"/>
      <x:c r="Q465" s="22">
        <x:v>0</x:v>
      </x:c>
      <x:c r="R465" s="22">
        <x:v>0</x:v>
      </x:c>
      <x:c r="S465" s="22">
        <x:v>0</x:v>
      </x:c>
      <x:c r="T465" s="22">
        <x:v>0</x:v>
      </x:c>
      <x:c r="U465" s="22">
        <x:v>0</x:v>
      </x:c>
      <x:c r="V465" s="22">
        <x:v>0</x:v>
      </x:c>
      <x:c r="W465" s="22">
        <x:v>0</x:v>
      </x:c>
      <x:c r="X465" s="22">
        <x:v>0</x:v>
      </x:c>
      <x:c r="Y465" s="22">
        <x:v>0</x:v>
      </x:c>
      <x:c r="Z465" s="22">
        <x:v>0</x:v>
      </x:c>
      <x:c r="AA465" s="22">
        <x:v>0</x:v>
      </x:c>
      <x:c r="AB465" s="22">
        <x:v>0</x:v>
      </x:c>
      <x:c r="AC465" s="16">
        <x:v>0</x:v>
      </x:c>
      <x:c r="AF465" s="2" t="s">
        <x:v>35</x:v>
      </x:c>
    </x:row>
    <x:row r="466">
      <x:c r="A466" s="4" t="s">
        <x:v>1406</x:v>
      </x:c>
      <x:c r="B466" s="4" t="s">
        <x:v>1407</x:v>
      </x:c>
      <x:c r="C466" s="4" t="s">
        <x:v>1408</x:v>
      </x:c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22">
        <x:v>0</x:v>
      </x:c>
      <x:c r="R466" s="22">
        <x:v>0</x:v>
      </x:c>
      <x:c r="S466" s="22">
        <x:v>0</x:v>
      </x:c>
      <x:c r="T466" s="22">
        <x:v>0</x:v>
      </x:c>
      <x:c r="U466" s="22">
        <x:v>0</x:v>
      </x:c>
      <x:c r="V466" s="22">
        <x:v>0</x:v>
      </x:c>
      <x:c r="W466" s="22">
        <x:v>0</x:v>
      </x:c>
      <x:c r="X466" s="22">
        <x:v>0</x:v>
      </x:c>
      <x:c r="Y466" s="22">
        <x:v>0</x:v>
      </x:c>
      <x:c r="Z466" s="22">
        <x:v>0</x:v>
      </x:c>
      <x:c r="AA466" s="22">
        <x:v>0</x:v>
      </x:c>
      <x:c r="AB466" s="22">
        <x:v>0</x:v>
      </x:c>
      <x:c r="AC466" s="16">
        <x:v>0</x:v>
      </x:c>
      <x:c r="AF466" s="2" t="s">
        <x:v>35</x:v>
      </x:c>
    </x:row>
    <x:row r="467">
      <x:c r="A467" s="4" t="s">
        <x:v>1409</x:v>
      </x:c>
      <x:c r="B467" s="4" t="s">
        <x:v>1410</x:v>
      </x:c>
      <x:c r="C467" s="4" t="s">
        <x:v>1411</x:v>
      </x:c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22">
        <x:v>0</x:v>
      </x:c>
      <x:c r="R467" s="22">
        <x:v>0</x:v>
      </x:c>
      <x:c r="S467" s="22">
        <x:v>0</x:v>
      </x:c>
      <x:c r="T467" s="22">
        <x:v>0</x:v>
      </x:c>
      <x:c r="U467" s="22">
        <x:v>0</x:v>
      </x:c>
      <x:c r="V467" s="22">
        <x:v>0</x:v>
      </x:c>
      <x:c r="W467" s="22">
        <x:v>0</x:v>
      </x:c>
      <x:c r="X467" s="22">
        <x:v>0</x:v>
      </x:c>
      <x:c r="Y467" s="22">
        <x:v>0</x:v>
      </x:c>
      <x:c r="Z467" s="22">
        <x:v>0</x:v>
      </x:c>
      <x:c r="AA467" s="22">
        <x:v>0</x:v>
      </x:c>
      <x:c r="AB467" s="22">
        <x:v>0</x:v>
      </x:c>
      <x:c r="AC467" s="16">
        <x:v>0</x:v>
      </x:c>
      <x:c r="AF467" s="2" t="s">
        <x:v>35</x:v>
      </x:c>
    </x:row>
    <x:row r="468">
      <x:c r="A468" s="4" t="s">
        <x:v>1412</x:v>
      </x:c>
      <x:c r="B468" s="4" t="s">
        <x:v>1413</x:v>
      </x:c>
      <x:c r="C468" s="4" t="s">
        <x:v>1414</x:v>
      </x:c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22">
        <x:v>0</x:v>
      </x:c>
      <x:c r="R468" s="22">
        <x:v>0</x:v>
      </x:c>
      <x:c r="S468" s="22">
        <x:v>0</x:v>
      </x:c>
      <x:c r="T468" s="22">
        <x:v>0</x:v>
      </x:c>
      <x:c r="U468" s="22">
        <x:v>0</x:v>
      </x:c>
      <x:c r="V468" s="22">
        <x:v>0</x:v>
      </x:c>
      <x:c r="W468" s="22">
        <x:v>0</x:v>
      </x:c>
      <x:c r="X468" s="22">
        <x:v>0</x:v>
      </x:c>
      <x:c r="Y468" s="22">
        <x:v>0</x:v>
      </x:c>
      <x:c r="Z468" s="22">
        <x:v>0</x:v>
      </x:c>
      <x:c r="AA468" s="22">
        <x:v>0</x:v>
      </x:c>
      <x:c r="AB468" s="22">
        <x:v>0</x:v>
      </x:c>
      <x:c r="AC468" s="16">
        <x:v>0</x:v>
      </x:c>
      <x:c r="AF468" s="2" t="s">
        <x:v>35</x:v>
      </x:c>
    </x:row>
    <x:row r="469">
      <x:c r="A469" s="4" t="s">
        <x:v>1415</x:v>
      </x:c>
      <x:c r="B469" s="4" t="s">
        <x:v>1416</x:v>
      </x:c>
      <x:c r="C469" s="4" t="s">
        <x:v>1417</x:v>
      </x:c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22">
        <x:v>0</x:v>
      </x:c>
      <x:c r="R469" s="22">
        <x:v>0</x:v>
      </x:c>
      <x:c r="S469" s="22">
        <x:v>0</x:v>
      </x:c>
      <x:c r="T469" s="22">
        <x:v>0</x:v>
      </x:c>
      <x:c r="U469" s="22">
        <x:v>0</x:v>
      </x:c>
      <x:c r="V469" s="22">
        <x:v>0</x:v>
      </x:c>
      <x:c r="W469" s="22">
        <x:v>0</x:v>
      </x:c>
      <x:c r="X469" s="22">
        <x:v>0</x:v>
      </x:c>
      <x:c r="Y469" s="22">
        <x:v>0</x:v>
      </x:c>
      <x:c r="Z469" s="22">
        <x:v>0</x:v>
      </x:c>
      <x:c r="AA469" s="22">
        <x:v>0</x:v>
      </x:c>
      <x:c r="AB469" s="22">
        <x:v>0</x:v>
      </x:c>
      <x:c r="AC469" s="16">
        <x:v>0</x:v>
      </x:c>
      <x:c r="AF469" s="2" t="s">
        <x:v>35</x:v>
      </x:c>
    </x:row>
    <x:row r="470">
      <x:c r="A470" s="4" t="s">
        <x:v>1418</x:v>
      </x:c>
      <x:c r="B470" s="4" t="s">
        <x:v>1419</x:v>
      </x:c>
      <x:c r="C470" s="4" t="s">
        <x:v>1420</x:v>
      </x:c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22">
        <x:v>0</x:v>
      </x:c>
      <x:c r="R470" s="22">
        <x:v>0</x:v>
      </x:c>
      <x:c r="S470" s="22">
        <x:v>0</x:v>
      </x:c>
      <x:c r="T470" s="22">
        <x:v>0</x:v>
      </x:c>
      <x:c r="U470" s="22">
        <x:v>0</x:v>
      </x:c>
      <x:c r="V470" s="22">
        <x:v>0</x:v>
      </x:c>
      <x:c r="W470" s="22">
        <x:v>0</x:v>
      </x:c>
      <x:c r="X470" s="22">
        <x:v>0</x:v>
      </x:c>
      <x:c r="Y470" s="22">
        <x:v>0</x:v>
      </x:c>
      <x:c r="Z470" s="22">
        <x:v>0</x:v>
      </x:c>
      <x:c r="AA470" s="22">
        <x:v>0</x:v>
      </x:c>
      <x:c r="AB470" s="22">
        <x:v>0</x:v>
      </x:c>
      <x:c r="AC470" s="16">
        <x:v>0</x:v>
      </x:c>
      <x:c r="AF470" s="2" t="s">
        <x:v>35</x:v>
      </x:c>
    </x:row>
    <x:row r="471">
      <x:c r="A471" s="4" t="s">
        <x:v>1421</x:v>
      </x:c>
      <x:c r="B471" s="4" t="s">
        <x:v>1422</x:v>
      </x:c>
      <x:c r="C471" s="4" t="s">
        <x:v>1423</x:v>
      </x:c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22">
        <x:v>0</x:v>
      </x:c>
      <x:c r="R471" s="22">
        <x:v>0</x:v>
      </x:c>
      <x:c r="S471" s="22">
        <x:v>0</x:v>
      </x:c>
      <x:c r="T471" s="22">
        <x:v>0</x:v>
      </x:c>
      <x:c r="U471" s="22">
        <x:v>0</x:v>
      </x:c>
      <x:c r="V471" s="22">
        <x:v>0</x:v>
      </x:c>
      <x:c r="W471" s="22">
        <x:v>0</x:v>
      </x:c>
      <x:c r="X471" s="22">
        <x:v>0</x:v>
      </x:c>
      <x:c r="Y471" s="22">
        <x:v>0</x:v>
      </x:c>
      <x:c r="Z471" s="22">
        <x:v>0</x:v>
      </x:c>
      <x:c r="AA471" s="22">
        <x:v>0</x:v>
      </x:c>
      <x:c r="AB471" s="22">
        <x:v>0</x:v>
      </x:c>
      <x:c r="AC471" s="16">
        <x:v>0</x:v>
      </x:c>
      <x:c r="AF471" s="2" t="s">
        <x:v>35</x:v>
      </x:c>
    </x:row>
    <x:row r="472">
      <x:c r="A472" s="4" t="s">
        <x:v>1424</x:v>
      </x:c>
      <x:c r="B472" s="4" t="s">
        <x:v>1425</x:v>
      </x:c>
      <x:c r="C472" s="4" t="s">
        <x:v>1426</x:v>
      </x:c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22">
        <x:v>0</x:v>
      </x:c>
      <x:c r="R472" s="22">
        <x:v>0</x:v>
      </x:c>
      <x:c r="S472" s="22">
        <x:v>0</x:v>
      </x:c>
      <x:c r="T472" s="22">
        <x:v>0</x:v>
      </x:c>
      <x:c r="U472" s="22">
        <x:v>0</x:v>
      </x:c>
      <x:c r="V472" s="22">
        <x:v>0</x:v>
      </x:c>
      <x:c r="W472" s="22">
        <x:v>0</x:v>
      </x:c>
      <x:c r="X472" s="22">
        <x:v>0</x:v>
      </x:c>
      <x:c r="Y472" s="22">
        <x:v>0</x:v>
      </x:c>
      <x:c r="Z472" s="22">
        <x:v>0</x:v>
      </x:c>
      <x:c r="AA472" s="22">
        <x:v>0</x:v>
      </x:c>
      <x:c r="AB472" s="22">
        <x:v>0</x:v>
      </x:c>
      <x:c r="AC472" s="16">
        <x:v>0</x:v>
      </x:c>
      <x:c r="AF472" s="2" t="s">
        <x:v>35</x:v>
      </x:c>
    </x:row>
    <x:row r="473">
      <x:c r="A473" s="25" t="s">
        <x:v>1427</x:v>
      </x:c>
      <x:c r="B473" s="4" t="s">
        <x:v>1428</x:v>
      </x:c>
      <x:c r="C473" s="4" t="s">
        <x:v>1429</x:v>
      </x:c>
      <x:c r="D473" s="6"/>
      <x:c r="E473" s="6"/>
      <x:c r="F473" s="8">
        <x:v>5</x:v>
      </x:c>
      <x:c r="G473" s="8">
        <x:v>1</x:v>
      </x:c>
      <x:c r="H473" s="6"/>
      <x:c r="I473" s="6"/>
      <x:c r="J473" s="6"/>
      <x:c r="K473" s="6"/>
      <x:c r="L473" s="6"/>
      <x:c r="M473" s="6"/>
      <x:c r="N473" s="6"/>
      <x:c r="O473" s="6"/>
      <x:c r="P473" s="6"/>
      <x:c r="Q473" s="22">
        <x:v>0</x:v>
      </x:c>
      <x:c r="R473" s="22">
        <x:v>0</x:v>
      </x:c>
      <x:c r="S473" s="19">
        <x:v>4.3478</x:v>
      </x:c>
      <x:c r="T473" s="19">
        <x:v>0.2</x:v>
      </x:c>
      <x:c r="U473" s="22">
        <x:v>0</x:v>
      </x:c>
      <x:c r="V473" s="22">
        <x:v>0</x:v>
      </x:c>
      <x:c r="W473" s="22">
        <x:v>0</x:v>
      </x:c>
      <x:c r="X473" s="22">
        <x:v>0</x:v>
      </x:c>
      <x:c r="Y473" s="22">
        <x:v>0</x:v>
      </x:c>
      <x:c r="Z473" s="22">
        <x:v>0</x:v>
      </x:c>
      <x:c r="AA473" s="22">
        <x:v>0</x:v>
      </x:c>
      <x:c r="AB473" s="22">
        <x:v>0</x:v>
      </x:c>
      <x:c r="AC473" s="16">
        <x:v>0</x:v>
      </x:c>
      <x:c r="AF473" s="2" t="s">
        <x:v>35</x:v>
      </x:c>
    </x:row>
    <x:row r="474">
      <x:c r="A474" s="25" t="s">
        <x:v>1430</x:v>
      </x:c>
      <x:c r="B474" s="4" t="s">
        <x:v>1431</x:v>
      </x:c>
      <x:c r="C474" s="4" t="s">
        <x:v>1432</x:v>
      </x:c>
      <x:c r="D474" s="8">
        <x:v>6</x:v>
      </x:c>
      <x:c r="E474" s="8">
        <x:v>7</x:v>
      </x:c>
      <x:c r="F474" s="8">
        <x:v>40</x:v>
      </x:c>
      <x:c r="G474" s="8">
        <x:v>28</x:v>
      </x:c>
      <x:c r="H474" s="8">
        <x:v>32</x:v>
      </x:c>
      <x:c r="I474" s="8">
        <x:v>10</x:v>
      </x:c>
      <x:c r="J474" s="8">
        <x:v>43</x:v>
      </x:c>
      <x:c r="K474" s="8">
        <x:v>11</x:v>
      </x:c>
      <x:c r="L474" s="8">
        <x:v>1</x:v>
      </x:c>
      <x:c r="M474" s="8">
        <x:v>11</x:v>
      </x:c>
      <x:c r="N474" s="8">
        <x:v>7</x:v>
      </x:c>
      <x:c r="O474" s="8">
        <x:v>4</x:v>
      </x:c>
      <x:c r="P474" s="8">
        <x:v>28</x:v>
      </x:c>
      <x:c r="Q474" s="19">
        <x:v>6</x:v>
      </x:c>
      <x:c r="R474" s="19">
        <x:v>0.6364</x:v>
      </x:c>
      <x:c r="S474" s="19">
        <x:v>1.9324</x:v>
      </x:c>
      <x:c r="T474" s="10">
        <x:v>0.9032</x:v>
      </x:c>
      <x:c r="U474" s="19">
        <x:v>1.1429</x:v>
      </x:c>
      <x:c r="V474" s="19">
        <x:v>0.4348</x:v>
      </x:c>
      <x:c r="W474" s="19">
        <x:v>2.4432</x:v>
      </x:c>
      <x:c r="X474" s="10">
        <x:v>0.4622</x:v>
      </x:c>
      <x:c r="Y474" s="10">
        <x:v>0.0293</x:v>
      </x:c>
      <x:c r="Z474" s="10">
        <x:v>0.4074</x:v>
      </x:c>
      <x:c r="AA474" s="10">
        <x:v>0.2151</x:v>
      </x:c>
      <x:c r="AB474" s="10">
        <x:v>0.1159</x:v>
      </x:c>
      <x:c r="AC474" s="13">
        <x:v>0.9032</x:v>
      </x:c>
      <x:c r="AD474" s="10">
        <x:v>0.3555</x:v>
      </x:c>
      <x:c r="AE474" s="10">
        <x:v>0.3555</x:v>
      </x:c>
      <x:c r="AF474" s="2" t="s">
        <x:v>35</x:v>
      </x:c>
    </x:row>
    <x:row r="475">
      <x:c r="A475" s="4" t="s">
        <x:v>1433</x:v>
      </x:c>
      <x:c r="B475" s="4" t="s">
        <x:v>1434</x:v>
      </x:c>
      <x:c r="C475" s="4" t="s">
        <x:v>1435</x:v>
      </x:c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22">
        <x:v>0</x:v>
      </x:c>
      <x:c r="R475" s="22">
        <x:v>0</x:v>
      </x:c>
      <x:c r="S475" s="22">
        <x:v>0</x:v>
      </x:c>
      <x:c r="T475" s="22">
        <x:v>0</x:v>
      </x:c>
      <x:c r="U475" s="22">
        <x:v>0</x:v>
      </x:c>
      <x:c r="V475" s="22">
        <x:v>0</x:v>
      </x:c>
      <x:c r="W475" s="22">
        <x:v>0</x:v>
      </x:c>
      <x:c r="X475" s="22">
        <x:v>0</x:v>
      </x:c>
      <x:c r="Y475" s="22">
        <x:v>0</x:v>
      </x:c>
      <x:c r="Z475" s="22">
        <x:v>0</x:v>
      </x:c>
      <x:c r="AA475" s="22">
        <x:v>0</x:v>
      </x:c>
      <x:c r="AB475" s="22">
        <x:v>0</x:v>
      </x:c>
      <x:c r="AC475" s="16">
        <x:v>0</x:v>
      </x:c>
      <x:c r="AF475" s="2" t="s">
        <x:v>35</x:v>
      </x:c>
    </x:row>
    <x:row r="476">
      <x:c r="A476" s="4" t="s">
        <x:v>1436</x:v>
      </x:c>
      <x:c r="B476" s="4" t="s">
        <x:v>1437</x:v>
      </x:c>
      <x:c r="C476" s="4" t="s">
        <x:v>1438</x:v>
      </x:c>
      <x:c r="D476" s="6"/>
      <x:c r="E476" s="8">
        <x:v>2</x:v>
      </x:c>
      <x:c r="F476" s="8">
        <x:v>1</x:v>
      </x:c>
      <x:c r="G476" s="8">
        <x:v>6</x:v>
      </x:c>
      <x:c r="H476" s="8">
        <x:v>4</x:v>
      </x:c>
      <x:c r="I476" s="8">
        <x:v>1</x:v>
      </x:c>
      <x:c r="J476" s="8">
        <x:v>4</x:v>
      </x:c>
      <x:c r="K476" s="6"/>
      <x:c r="L476" s="8">
        <x:v>1</x:v>
      </x:c>
      <x:c r="M476" s="8">
        <x:v>12</x:v>
      </x:c>
      <x:c r="N476" s="8">
        <x:v>15</x:v>
      </x:c>
      <x:c r="O476" s="8">
        <x:v>19</x:v>
      </x:c>
      <x:c r="P476" s="8">
        <x:v>3</x:v>
      </x:c>
      <x:c r="Q476" s="22">
        <x:v>0</x:v>
      </x:c>
      <x:c r="R476" s="19">
        <x:v>0.6667</x:v>
      </x:c>
      <x:c r="S476" s="10">
        <x:v>0.029</x:v>
      </x:c>
      <x:c r="T476" s="19">
        <x:v>0.3</x:v>
      </x:c>
      <x:c r="U476" s="19">
        <x:v>0.16</x:v>
      </x:c>
      <x:c r="V476" s="22">
        <x:v>0</x:v>
      </x:c>
      <x:c r="W476" s="19">
        <x:v>0.5556</x:v>
      </x:c>
      <x:c r="X476" s="10">
        <x:v>0</x:v>
      </x:c>
      <x:c r="Y476" s="10">
        <x:v>0.0293</x:v>
      </x:c>
      <x:c r="Z476" s="10">
        <x:v>0.4444</x:v>
      </x:c>
      <x:c r="AA476" s="10">
        <x:v>0.4608</x:v>
      </x:c>
      <x:c r="AB476" s="19">
        <x:v>0.6609</x:v>
      </x:c>
      <x:c r="AC476" s="16">
        <x:v>0.1667</x:v>
      </x:c>
      <x:c r="AD476" s="10">
        <x:v>0.1927</x:v>
      </x:c>
      <x:c r="AE476" s="10">
        <x:v>0.1927</x:v>
      </x:c>
      <x:c r="AF476" s="2" t="s">
        <x:v>35</x:v>
      </x:c>
    </x:row>
    <x:row r="477">
      <x:c r="A477" s="4" t="s">
        <x:v>1439</x:v>
      </x:c>
      <x:c r="B477" s="4" t="s">
        <x:v>1440</x:v>
      </x:c>
      <x:c r="C477" s="4" t="s">
        <x:v>1441</x:v>
      </x:c>
      <x:c r="D477" s="6"/>
      <x:c r="E477" s="8">
        <x:v>5</x:v>
      </x:c>
      <x:c r="F477" s="6"/>
      <x:c r="G477" s="8">
        <x:v>1</x:v>
      </x:c>
      <x:c r="H477" s="8">
        <x:v>6</x:v>
      </x:c>
      <x:c r="I477" s="6"/>
      <x:c r="J477" s="6"/>
      <x:c r="K477" s="8">
        <x:v>8</x:v>
      </x:c>
      <x:c r="L477" s="8">
        <x:v>11</x:v>
      </x:c>
      <x:c r="M477" s="6"/>
      <x:c r="N477" s="6"/>
      <x:c r="O477" s="8">
        <x:v>2</x:v>
      </x:c>
      <x:c r="P477" s="6"/>
      <x:c r="Q477" s="19">
        <x:v>0</x:v>
      </x:c>
      <x:c r="R477" s="10">
        <x:v>0.1613</x:v>
      </x:c>
      <x:c r="S477" s="10">
        <x:v>0</x:v>
      </x:c>
      <x:c r="T477" s="10">
        <x:v>0.0323</x:v>
      </x:c>
      <x:c r="U477" s="10">
        <x:v>0.2</x:v>
      </x:c>
      <x:c r="V477" s="10">
        <x:v>0</x:v>
      </x:c>
      <x:c r="W477" s="10">
        <x:v>0</x:v>
      </x:c>
      <x:c r="X477" s="10">
        <x:v>0.3361</x:v>
      </x:c>
      <x:c r="Y477" s="10">
        <x:v>0.3226</x:v>
      </x:c>
      <x:c r="Z477" s="10">
        <x:v>0</x:v>
      </x:c>
      <x:c r="AA477" s="10">
        <x:v>0</x:v>
      </x:c>
      <x:c r="AB477" s="10">
        <x:v>0.058</x:v>
      </x:c>
      <x:c r="AC477" s="13">
        <x:v>0</x:v>
      </x:c>
      <x:c r="AD477" s="10">
        <x:v>0.1009</x:v>
      </x:c>
      <x:c r="AE477" s="10">
        <x:v>0.1009</x:v>
      </x:c>
      <x:c r="AF477" s="2" t="s">
        <x:v>35</x:v>
      </x:c>
    </x:row>
    <x:row r="478">
      <x:c r="A478" s="4" t="s">
        <x:v>1442</x:v>
      </x:c>
      <x:c r="B478" s="4" t="s">
        <x:v>1443</x:v>
      </x:c>
      <x:c r="C478" s="4" t="s">
        <x:v>1444</x:v>
      </x:c>
      <x:c r="D478" s="6"/>
      <x:c r="E478" s="8">
        <x:v>2</x:v>
      </x:c>
      <x:c r="F478" s="6"/>
      <x:c r="G478" s="6"/>
      <x:c r="H478" s="8">
        <x:v>5</x:v>
      </x:c>
      <x:c r="I478" s="6"/>
      <x:c r="J478" s="8">
        <x:v>4</x:v>
      </x:c>
      <x:c r="K478" s="6"/>
      <x:c r="L478" s="6"/>
      <x:c r="M478" s="6"/>
      <x:c r="N478" s="6"/>
      <x:c r="O478" s="8">
        <x:v>1</x:v>
      </x:c>
      <x:c r="P478" s="6"/>
      <x:c r="Q478" s="19">
        <x:v>0</x:v>
      </x:c>
      <x:c r="R478" s="10">
        <x:v>0.0645</x:v>
      </x:c>
      <x:c r="S478" s="10">
        <x:v>0</x:v>
      </x:c>
      <x:c r="T478" s="10">
        <x:v>0</x:v>
      </x:c>
      <x:c r="U478" s="10">
        <x:v>0.1667</x:v>
      </x:c>
      <x:c r="V478" s="10">
        <x:v>0</x:v>
      </x:c>
      <x:c r="W478" s="10">
        <x:v>0.1613</x:v>
      </x:c>
      <x:c r="X478" s="10">
        <x:v>0</x:v>
      </x:c>
      <x:c r="Y478" s="10">
        <x:v>0</x:v>
      </x:c>
      <x:c r="Z478" s="10">
        <x:v>0</x:v>
      </x:c>
      <x:c r="AA478" s="10">
        <x:v>0</x:v>
      </x:c>
      <x:c r="AB478" s="10">
        <x:v>0.029</x:v>
      </x:c>
      <x:c r="AC478" s="13">
        <x:v>0</x:v>
      </x:c>
      <x:c r="AD478" s="10">
        <x:v>0.0383</x:v>
      </x:c>
      <x:c r="AE478" s="10">
        <x:v>0.0383</x:v>
      </x:c>
      <x:c r="AF478" s="2" t="s">
        <x:v>35</x:v>
      </x:c>
    </x:row>
    <x:row r="479">
      <x:c r="A479" s="4" t="s">
        <x:v>1445</x:v>
      </x:c>
      <x:c r="B479" s="4" t="s">
        <x:v>1446</x:v>
      </x:c>
      <x:c r="C479" s="4" t="s">
        <x:v>1447</x:v>
      </x:c>
      <x:c r="D479" s="6"/>
      <x:c r="E479" s="8">
        <x:v>3</x:v>
      </x:c>
      <x:c r="F479" s="8">
        <x:v>1</x:v>
      </x:c>
      <x:c r="G479" s="6"/>
      <x:c r="H479" s="8">
        <x:v>5</x:v>
      </x:c>
      <x:c r="I479" s="8">
        <x:v>4</x:v>
      </x:c>
      <x:c r="J479" s="6"/>
      <x:c r="K479" s="8">
        <x:v>7</x:v>
      </x:c>
      <x:c r="L479" s="6"/>
      <x:c r="M479" s="6"/>
      <x:c r="N479" s="6"/>
      <x:c r="O479" s="6"/>
      <x:c r="P479" s="8">
        <x:v>1</x:v>
      </x:c>
      <x:c r="Q479" s="19">
        <x:v>0</x:v>
      </x:c>
      <x:c r="R479" s="10">
        <x:v>0.0968</x:v>
      </x:c>
      <x:c r="S479" s="10">
        <x:v>0.029</x:v>
      </x:c>
      <x:c r="T479" s="10">
        <x:v>0</x:v>
      </x:c>
      <x:c r="U479" s="10">
        <x:v>0.1667</x:v>
      </x:c>
      <x:c r="V479" s="10">
        <x:v>0.129</x:v>
      </x:c>
      <x:c r="W479" s="10">
        <x:v>0</x:v>
      </x:c>
      <x:c r="X479" s="10">
        <x:v>0.2941</x:v>
      </x:c>
      <x:c r="Y479" s="10">
        <x:v>0</x:v>
      </x:c>
      <x:c r="Z479" s="10">
        <x:v>0</x:v>
      </x:c>
      <x:c r="AA479" s="10">
        <x:v>0</x:v>
      </x:c>
      <x:c r="AB479" s="10">
        <x:v>0</x:v>
      </x:c>
      <x:c r="AC479" s="13">
        <x:v>0.0323</x:v>
      </x:c>
      <x:c r="AD479" s="10">
        <x:v>0.0651</x:v>
      </x:c>
      <x:c r="AE479" s="10">
        <x:v>0.0651</x:v>
      </x:c>
      <x:c r="AF479" s="2" t="s">
        <x:v>35</x:v>
      </x:c>
    </x:row>
    <x:row r="480">
      <x:c r="A480" s="4" t="s">
        <x:v>1448</x:v>
      </x:c>
      <x:c r="B480" s="4" t="s">
        <x:v>1449</x:v>
      </x:c>
      <x:c r="C480" s="4" t="s">
        <x:v>1450</x:v>
      </x:c>
      <x:c r="D480" s="6"/>
      <x:c r="E480" s="6"/>
      <x:c r="F480" s="8">
        <x:v>4</x:v>
      </x:c>
      <x:c r="G480" s="8">
        <x:v>11</x:v>
      </x:c>
      <x:c r="H480" s="8">
        <x:v>10</x:v>
      </x:c>
      <x:c r="I480" s="8">
        <x:v>8</x:v>
      </x:c>
      <x:c r="J480" s="8">
        <x:v>11</x:v>
      </x:c>
      <x:c r="K480" s="8">
        <x:v>13</x:v>
      </x:c>
      <x:c r="L480" s="8">
        <x:v>33</x:v>
      </x:c>
      <x:c r="M480" s="8">
        <x:v>10</x:v>
      </x:c>
      <x:c r="N480" s="6"/>
      <x:c r="O480" s="6"/>
      <x:c r="P480" s="8">
        <x:v>20</x:v>
      </x:c>
      <x:c r="Q480" s="19">
        <x:v>0</x:v>
      </x:c>
      <x:c r="R480" s="10">
        <x:v>0</x:v>
      </x:c>
      <x:c r="S480" s="10">
        <x:v>0.1159</x:v>
      </x:c>
      <x:c r="T480" s="10">
        <x:v>0.3548</x:v>
      </x:c>
      <x:c r="U480" s="10">
        <x:v>0.3333</x:v>
      </x:c>
      <x:c r="V480" s="10">
        <x:v>0.2581</x:v>
      </x:c>
      <x:c r="W480" s="10">
        <x:v>0.4435</x:v>
      </x:c>
      <x:c r="X480" s="10">
        <x:v>0.5462</x:v>
      </x:c>
      <x:c r="Y480" s="10">
        <x:v>0.9677</x:v>
      </x:c>
      <x:c r="Z480" s="19">
        <x:v>1.2346</x:v>
      </x:c>
      <x:c r="AA480" s="22">
        <x:v>0</x:v>
      </x:c>
      <x:c r="AB480" s="22">
        <x:v>0</x:v>
      </x:c>
      <x:c r="AC480" s="16">
        <x:v>1.1111</x:v>
      </x:c>
      <x:c r="AD480" s="10">
        <x:v>0.3774</x:v>
      </x:c>
      <x:c r="AE480" s="10">
        <x:v>0.3774</x:v>
      </x:c>
      <x:c r="AF480" s="2" t="s">
        <x:v>35</x:v>
      </x:c>
    </x:row>
    <x:row r="481">
      <x:c r="A481" s="4" t="s">
        <x:v>1451</x:v>
      </x:c>
      <x:c r="B481" s="4" t="s">
        <x:v>1452</x:v>
      </x:c>
      <x:c r="C481" s="4" t="s">
        <x:v>1453</x:v>
      </x:c>
      <x:c r="D481" s="6"/>
      <x:c r="E481" s="6"/>
      <x:c r="F481" s="6"/>
      <x:c r="G481" s="6"/>
      <x:c r="H481" s="6"/>
      <x:c r="I481" s="6"/>
      <x:c r="J481" s="6"/>
      <x:c r="K481" s="6"/>
      <x:c r="L481" s="8">
        <x:v>2</x:v>
      </x:c>
      <x:c r="M481" s="6"/>
      <x:c r="N481" s="8">
        <x:v>4</x:v>
      </x:c>
      <x:c r="O481" s="6"/>
      <x:c r="P481" s="6"/>
      <x:c r="Q481" s="22">
        <x:v>0</x:v>
      </x:c>
      <x:c r="R481" s="22">
        <x:v>0</x:v>
      </x:c>
      <x:c r="S481" s="22">
        <x:v>0</x:v>
      </x:c>
      <x:c r="T481" s="22">
        <x:v>0</x:v>
      </x:c>
      <x:c r="U481" s="22">
        <x:v>0</x:v>
      </x:c>
      <x:c r="V481" s="22">
        <x:v>0</x:v>
      </x:c>
      <x:c r="W481" s="22">
        <x:v>0</x:v>
      </x:c>
      <x:c r="X481" s="22">
        <x:v>0</x:v>
      </x:c>
      <x:c r="Y481" s="19">
        <x:v>0.9091</x:v>
      </x:c>
      <x:c r="Z481" s="22">
        <x:v>0</x:v>
      </x:c>
      <x:c r="AA481" s="22">
        <x:v>0</x:v>
      </x:c>
      <x:c r="AB481" s="22">
        <x:v>0</x:v>
      </x:c>
      <x:c r="AC481" s="16">
        <x:v>0</x:v>
      </x:c>
      <x:c r="AF481" s="2" t="s">
        <x:v>35</x:v>
      </x:c>
    </x:row>
    <x:row r="482">
      <x:c r="A482" s="4" t="s">
        <x:v>1454</x:v>
      </x:c>
      <x:c r="B482" s="4" t="s">
        <x:v>1455</x:v>
      </x:c>
      <x:c r="C482" s="4" t="s">
        <x:v>1456</x:v>
      </x:c>
      <x:c r="D482" s="6"/>
      <x:c r="E482" s="6"/>
      <x:c r="F482" s="6"/>
      <x:c r="G482" s="8">
        <x:v>16</x:v>
      </x:c>
      <x:c r="H482" s="8">
        <x:v>23</x:v>
      </x:c>
      <x:c r="I482" s="8">
        <x:v>32</x:v>
      </x:c>
      <x:c r="J482" s="8">
        <x:v>38</x:v>
      </x:c>
      <x:c r="K482" s="8">
        <x:v>12</x:v>
      </x:c>
      <x:c r="L482" s="8">
        <x:v>20</x:v>
      </x:c>
      <x:c r="M482" s="8">
        <x:v>37</x:v>
      </x:c>
      <x:c r="N482" s="8">
        <x:v>39</x:v>
      </x:c>
      <x:c r="O482" s="8">
        <x:v>38</x:v>
      </x:c>
      <x:c r="P482" s="8">
        <x:v>40</x:v>
      </x:c>
      <x:c r="Q482" s="22">
        <x:v>0</x:v>
      </x:c>
      <x:c r="R482" s="22">
        <x:v>0</x:v>
      </x:c>
      <x:c r="S482" s="22">
        <x:v>0</x:v>
      </x:c>
      <x:c r="T482" s="19">
        <x:v>1</x:v>
      </x:c>
      <x:c r="U482" s="10">
        <x:v>0.7667</x:v>
      </x:c>
      <x:c r="V482" s="10">
        <x:v>1.0323</x:v>
      </x:c>
      <x:c r="W482" s="10">
        <x:v>1.5323</x:v>
      </x:c>
      <x:c r="X482" s="10">
        <x:v>0.5042</x:v>
      </x:c>
      <x:c r="Y482" s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      <x:v>1.2903</x:v>
      </x:c>
      <x:c r="AD482" s="10">
        <x:v>1.0115</x:v>
      </x:c>
      <x:c r="AE482" s="10">
        <x:v>1.0115</x:v>
      </x:c>
      <x:c r="AF482" s="2" t="s">
        <x:v>35</x:v>
      </x:c>
    </x:row>
    <x:row r="483">
      <x:c r="A483" s="4" t="s">
        <x:v>1457</x:v>
      </x:c>
      <x:c r="B483" s="4" t="s">
        <x:v>1458</x:v>
      </x:c>
      <x:c r="C483" s="4" t="s">
        <x:v>1459</x:v>
      </x:c>
      <x:c r="D483" s="8">
        <x:v>4</x:v>
      </x:c>
      <x:c r="E483" s="8">
        <x:v>16</x:v>
      </x:c>
      <x:c r="F483" s="8">
        <x:v>12</x:v>
      </x:c>
      <x:c r="G483" s="8">
        <x:v>8</x:v>
      </x:c>
      <x:c r="H483" s="6"/>
      <x:c r="I483" s="6"/>
      <x:c r="J483" s="6"/>
      <x:c r="K483" s="8">
        <x:v>1</x:v>
      </x:c>
      <x:c r="L483" s="8">
        <x:v>2</x:v>
      </x:c>
      <x:c r="M483" s="8">
        <x:v>1</x:v>
      </x:c>
      <x:c r="N483" s="8">
        <x:v>28</x:v>
      </x:c>
      <x:c r="O483" s="8">
        <x:v>7</x:v>
      </x:c>
      <x:c r="P483" s="8">
        <x:v>12</x:v>
      </x:c>
      <x:c r="Q483" s="19">
        <x:v>1</x:v>
      </x:c>
      <x:c r="R483" s="19">
        <x:v>0.6154</x:v>
      </x:c>
      <x:c r="S483" s="19">
        <x:v>0.4969</x:v>
      </x:c>
      <x:c r="T483" s="19">
        <x:v>0.5</x:v>
      </x:c>
      <x:c r="U483" s="22">
        <x:v>0</x:v>
      </x:c>
      <x:c r="V483" s="22">
        <x:v>0</x:v>
      </x:c>
      <x:c r="W483" s="19">
        <x:v>0</x:v>
      </x:c>
      <x:c r="X483" s="10">
        <x:v>0.042</x:v>
      </x:c>
      <x:c r="Y483" s="10">
        <x:v>0.0587</x:v>
      </x:c>
      <x:c r="Z483" s="10">
        <x:v>0.037</x:v>
      </x:c>
      <x:c r="AA483" s="10">
        <x:v>0.8602</x:v>
      </x:c>
      <x:c r="AB483" s="10">
        <x:v>0.2029</x:v>
      </x:c>
      <x:c r="AC483" s="13">
        <x:v>0.3871</x:v>
      </x:c>
      <x:c r="AD483" s="10">
        <x:v>0.2402</x:v>
      </x:c>
      <x:c r="AE483" s="10">
        <x:v>0.2402</x:v>
      </x:c>
      <x:c r="AF483" s="2" t="s">
        <x:v>35</x:v>
      </x:c>
    </x:row>
    <x:row r="484">
      <x:c r="A484" s="4" t="s">
        <x:v>1460</x:v>
      </x:c>
      <x:c r="B484" s="4" t="s">
        <x:v>1461</x:v>
      </x:c>
      <x:c r="C484" s="4" t="s">
        <x:v>1462</x:v>
      </x:c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22">
        <x:v>0</x:v>
      </x:c>
      <x:c r="R484" s="22">
        <x:v>0</x:v>
      </x:c>
      <x:c r="S484" s="22">
        <x:v>0</x:v>
      </x:c>
      <x:c r="T484" s="19">
        <x:v>0</x:v>
      </x:c>
      <x:c r="U484" s="10">
        <x:v>0</x:v>
      </x:c>
      <x:c r="V484" s="10">
        <x:v>0</x:v>
      </x:c>
      <x:c r="W484" s="10">
        <x:v>0</x:v>
      </x:c>
      <x:c r="X484" s="10">
        <x:v>0</x:v>
      </x:c>
      <x:c r="Y484" s="10">
        <x:v>0</x:v>
      </x:c>
      <x:c r="Z484" s="10">
        <x:v>0</x:v>
      </x:c>
      <x:c r="AA484" s="10">
        <x:v>0</x:v>
      </x:c>
      <x:c r="AB484" s="10">
        <x:v>0</x:v>
      </x:c>
      <x:c r="AC484" s="13">
        <x:v>0</x:v>
      </x:c>
      <x:c r="AF484" s="2" t="s">
        <x:v>35</x:v>
      </x:c>
    </x:row>
    <x:row r="485">
      <x:c r="A485" s="4" t="s">
        <x:v>1463</x:v>
      </x:c>
      <x:c r="B485" s="4" t="s">
        <x:v>1464</x:v>
      </x:c>
      <x:c r="C485" s="4" t="s">
        <x:v>1465</x:v>
      </x:c>
      <x:c r="D485" s="6"/>
      <x:c r="E485" s="6"/>
      <x:c r="F485" s="6"/>
      <x:c r="G485" s="6"/>
      <x:c r="H485" s="8">
        <x:v>2</x:v>
      </x:c>
      <x:c r="I485" s="6"/>
      <x:c r="J485" s="6"/>
      <x:c r="K485" s="6"/>
      <x:c r="L485" s="8">
        <x:v>2</x:v>
      </x:c>
      <x:c r="M485" s="6"/>
      <x:c r="N485" s="6"/>
      <x:c r="O485" s="6"/>
      <x:c r="P485" s="6"/>
      <x:c r="Q485" s="22">
        <x:v>0</x:v>
      </x:c>
      <x:c r="R485" s="22">
        <x:v>0</x:v>
      </x:c>
      <x:c r="S485" s="22">
        <x:v>0</x:v>
      </x:c>
      <x:c r="T485" s="19">
        <x:v>0</x:v>
      </x:c>
      <x:c r="U485" s="10">
        <x:v>0.0667</x:v>
      </x:c>
      <x:c r="V485" s="10">
        <x:v>0</x:v>
      </x:c>
      <x:c r="W485" s="10">
        <x:v>0</x:v>
      </x:c>
      <x:c r="X485" s="10">
        <x:v>0</x:v>
      </x:c>
      <x:c r="Y485" s="10">
        <x:v>0.0587</x:v>
      </x:c>
      <x:c r="Z485" s="10">
        <x:v>0</x:v>
      </x:c>
      <x:c r="AA485" s="10">
        <x:v>0</x:v>
      </x:c>
      <x:c r="AB485" s="10">
        <x:v>0</x:v>
      </x:c>
      <x:c r="AC485" s="13">
        <x:v>0</x:v>
      </x:c>
      <x:c r="AD485" s="10">
        <x:v>0.0157</x:v>
      </x:c>
      <x:c r="AE485" s="10">
        <x:v>0.0157</x:v>
      </x:c>
      <x:c r="AF485" s="2" t="s">
        <x:v>35</x:v>
      </x:c>
    </x:row>
    <x:row r="486">
      <x:c r="A486" s="4" t="s">
        <x:v>1466</x:v>
      </x:c>
      <x:c r="B486" s="4" t="s">
        <x:v>1467</x:v>
      </x:c>
      <x:c r="C486" s="4" t="s">
        <x:v>1468</x:v>
      </x:c>
      <x:c r="D486" s="6"/>
      <x:c r="E486" s="6"/>
      <x:c r="F486" s="6"/>
      <x:c r="G486" s="6"/>
      <x:c r="H486" s="8">
        <x:v>2</x:v>
      </x:c>
      <x:c r="I486" s="6"/>
      <x:c r="J486" s="6"/>
      <x:c r="K486" s="6"/>
      <x:c r="L486" s="6"/>
      <x:c r="M486" s="6"/>
      <x:c r="N486" s="6"/>
      <x:c r="O486" s="6"/>
      <x:c r="P486" s="6"/>
      <x:c r="Q486" s="22">
        <x:v>0</x:v>
      </x:c>
      <x:c r="R486" s="22">
        <x:v>0</x:v>
      </x:c>
      <x:c r="S486" s="22">
        <x:v>0</x:v>
      </x:c>
      <x:c r="T486" s="19">
        <x:v>0</x:v>
      </x:c>
      <x:c r="U486" s="10">
        <x:v>0.0667</x:v>
      </x:c>
      <x:c r="V486" s="10">
        <x:v>0</x:v>
      </x:c>
      <x:c r="W486" s="10">
        <x:v>0</x:v>
      </x:c>
      <x:c r="X486" s="10">
        <x:v>0</x:v>
      </x:c>
      <x:c r="Y486" s="10">
        <x:v>0</x:v>
      </x:c>
      <x:c r="Z486" s="10">
        <x:v>0</x:v>
      </x:c>
      <x:c r="AA486" s="10">
        <x:v>0</x:v>
      </x:c>
      <x:c r="AB486" s="10">
        <x:v>0</x:v>
      </x:c>
      <x:c r="AC486" s="13">
        <x:v>0</x:v>
      </x:c>
      <x:c r="AD486" s="10">
        <x:v>0.0083</x:v>
      </x:c>
      <x:c r="AE486" s="10">
        <x:v>0.0083</x:v>
      </x:c>
      <x:c r="AF486" s="2" t="s">
        <x:v>35</x:v>
      </x:c>
    </x:row>
    <x:row r="487">
      <x:c r="A487" s="4" t="s">
        <x:v>1469</x:v>
      </x:c>
      <x:c r="B487" s="4" t="s">
        <x:v>1470</x:v>
      </x:c>
      <x:c r="C487" s="4" t="s">
        <x:v>1471</x:v>
      </x:c>
      <x:c r="D487" s="6"/>
      <x:c r="E487" s="6"/>
      <x:c r="F487" s="8">
        <x:v>3</x:v>
      </x:c>
      <x:c r="G487" s="6"/>
      <x:c r="H487" s="6"/>
      <x:c r="I487" s="6"/>
      <x:c r="J487" s="6"/>
      <x:c r="K487" s="6"/>
      <x:c r="L487" s="6"/>
      <x:c r="M487" s="6"/>
      <x:c r="N487" s="8">
        <x:v>3</x:v>
      </x:c>
      <x:c r="O487" s="6"/>
      <x:c r="P487" s="6"/>
      <x:c r="Q487" s="22">
        <x:v>0</x:v>
      </x:c>
      <x:c r="R487" s="22">
        <x:v>0</x:v>
      </x:c>
      <x:c r="S487" s="22">
        <x:v>0</x:v>
      </x:c>
      <x:c r="T487" s="22">
        <x:v>0</x:v>
      </x:c>
      <x:c r="U487" s="22">
        <x:v>0</x:v>
      </x:c>
      <x:c r="V487" s="22">
        <x:v>0</x:v>
      </x:c>
      <x:c r="W487" s="22">
        <x:v>0</x:v>
      </x:c>
      <x:c r="X487" s="22">
        <x:v>0</x:v>
      </x:c>
      <x:c r="Y487" s="22">
        <x:v>0</x:v>
      </x:c>
      <x:c r="Z487" s="22">
        <x:v>0</x:v>
      </x:c>
      <x:c r="AA487" s="19">
        <x:v>0.7143</x:v>
      </x:c>
      <x:c r="AB487" s="22">
        <x:v>0</x:v>
      </x:c>
      <x:c r="AC487" s="16">
        <x:v>0</x:v>
      </x:c>
      <x:c r="AF487" s="2" t="s">
        <x:v>35</x:v>
      </x:c>
    </x:row>
    <x:row r="488">
      <x:c r="A488" s="4" t="s">
        <x:v>1472</x:v>
      </x:c>
      <x:c r="B488" s="4" t="s">
        <x:v>1473</x:v>
      </x:c>
      <x:c r="C488" s="4" t="s">
        <x:v>1474</x:v>
      </x:c>
      <x:c r="D488" s="6"/>
      <x:c r="E488" s="6"/>
      <x:c r="F488" s="8">
        <x:v>4</x:v>
      </x:c>
      <x:c r="G488" s="8">
        <x:v>4</x:v>
      </x:c>
      <x:c r="H488" s="8">
        <x:v>6</x:v>
      </x:c>
      <x:c r="I488" s="6"/>
      <x:c r="J488" s="6"/>
      <x:c r="K488" s="8">
        <x:v>6</x:v>
      </x:c>
      <x:c r="L488" s="8">
        <x:v>5</x:v>
      </x:c>
      <x:c r="M488" s="6"/>
      <x:c r="N488" s="8">
        <x:v>16</x:v>
      </x:c>
      <x:c r="O488" s="8">
        <x:v>5</x:v>
      </x:c>
      <x:c r="P488" s="8">
        <x:v>3</x:v>
      </x:c>
      <x:c r="Q488" s="22">
        <x:v>0</x:v>
      </x:c>
      <x:c r="R488" s="22">
        <x:v>0</x:v>
      </x:c>
      <x:c r="S488" s="22">
        <x:v>0</x:v>
      </x:c>
      <x:c r="T488" s="22">
        <x:v>0</x:v>
      </x:c>
      <x:c r="U488" s="19">
        <x:v>0.8571</x:v>
      </x:c>
      <x:c r="V488" s="10">
        <x:v>0</x:v>
      </x:c>
      <x:c r="W488" s="10">
        <x:v>0</x:v>
      </x:c>
      <x:c r="X488" s="19">
        <x:v>7.0588</x:v>
      </x:c>
      <x:c r="Y488" s="22">
        <x:v>0</x:v>
      </x:c>
      <x:c r="Z488" s="22">
        <x:v>0</x:v>
      </x:c>
      <x:c r="AA488" s="19">
        <x:v>0.5079</x:v>
      </x:c>
      <x:c r="AB488" s="10">
        <x:v>0.1449</x:v>
      </x:c>
      <x:c r="AC488" s="13">
        <x:v>0.0968</x:v>
      </x:c>
      <x:c r="AD488" s="10">
        <x:v>0.0483</x:v>
      </x:c>
      <x:c r="AE488" s="10">
        <x:v>0.0483</x:v>
      </x:c>
      <x:c r="AF488" s="2" t="s">
        <x:v>35</x:v>
      </x:c>
    </x:row>
    <x:row r="489">
      <x:c r="A489" s="4" t="s">
        <x:v>1475</x:v>
      </x:c>
      <x:c r="B489" s="4" t="s">
        <x:v>1476</x:v>
      </x:c>
      <x:c r="C489" s="4" t="s">
        <x:v>1477</x:v>
      </x:c>
      <x:c r="D489" s="6"/>
      <x:c r="E489" s="6"/>
      <x:c r="F489" s="6"/>
      <x:c r="G489" s="8">
        <x:v>1</x:v>
      </x:c>
      <x:c r="H489" s="8">
        <x:v>8</x:v>
      </x:c>
      <x:c r="I489" s="8">
        <x:v>1</x:v>
      </x:c>
      <x:c r="J489" s="8">
        <x:v>3</x:v>
      </x:c>
      <x:c r="K489" s="6"/>
      <x:c r="L489" s="8">
        <x:v>3</x:v>
      </x:c>
      <x:c r="M489" s="8">
        <x:v>6</x:v>
      </x:c>
      <x:c r="N489" s="8">
        <x:v>4</x:v>
      </x:c>
      <x:c r="O489" s="8">
        <x:v>5</x:v>
      </x:c>
      <x:c r="P489" s="8">
        <x:v>8</x:v>
      </x:c>
      <x:c r="Q489" s="22">
        <x:v>0</x:v>
      </x:c>
      <x:c r="R489" s="22">
        <x:v>0</x:v>
      </x:c>
      <x:c r="S489" s="22">
        <x:v>0</x:v>
      </x:c>
      <x:c r="T489" s="19">
        <x:v>0.0385</x:v>
      </x:c>
      <x:c r="U489" s="19">
        <x:v>0.3077</x:v>
      </x:c>
      <x:c r="V489" s="22">
        <x:v>0</x:v>
      </x:c>
      <x:c r="W489" s="19">
        <x:v>0.4167</x:v>
      </x:c>
      <x:c r="X489" s="10">
        <x:v>0</x:v>
      </x:c>
      <x:c r="Y489" s="10">
        <x:v>0.088</x:v>
      </x:c>
      <x:c r="Z489" s="10">
        <x:v>0.2222</x:v>
      </x:c>
      <x:c r="AA489" s="10">
        <x:v>0.1229</x:v>
      </x:c>
      <x:c r="AB489" s="10">
        <x:v>0.1449</x:v>
      </x:c>
      <x:c r="AC489" s="13">
        <x:v>0.2581</x:v>
      </x:c>
      <x:c r="AD489" s="10">
        <x:v>0.1156</x:v>
      </x:c>
      <x:c r="AE489" s="10">
        <x:v>0.1156</x:v>
      </x:c>
      <x:c r="AF489" s="2" t="s">
        <x:v>35</x:v>
      </x:c>
    </x:row>
    <x:row r="490">
      <x:c r="A490" s="25" t="s">
        <x:v>1478</x:v>
      </x:c>
      <x:c r="B490" s="4" t="s">
        <x:v>1479</x:v>
      </x:c>
      <x:c r="C490" s="4" t="s">
        <x:v>1480</x:v>
      </x:c>
      <x:c r="D490" s="6"/>
      <x:c r="E490" s="6"/>
      <x:c r="F490" s="6"/>
      <x:c r="G490" s="6"/>
      <x:c r="H490" s="6"/>
      <x:c r="I490" s="6"/>
      <x:c r="J490" s="8">
        <x:v>2</x:v>
      </x:c>
      <x:c r="K490" s="8">
        <x:v>4</x:v>
      </x:c>
      <x:c r="L490" s="6"/>
      <x:c r="M490" s="8">
        <x:v>4</x:v>
      </x:c>
      <x:c r="N490" s="8">
        <x:v>1</x:v>
      </x:c>
      <x:c r="O490" s="8">
        <x:v>2</x:v>
      </x:c>
      <x:c r="P490" s="8">
        <x:v>12</x:v>
      </x:c>
      <x:c r="Q490" s="22">
        <x:v>0</x:v>
      </x:c>
      <x:c r="R490" s="22">
        <x:v>0</x:v>
      </x:c>
      <x:c r="S490" s="22">
        <x:v>0</x:v>
      </x:c>
      <x:c r="T490" s="22">
        <x:v>0</x:v>
      </x:c>
      <x:c r="U490" s="22">
        <x:v>0</x:v>
      </x:c>
      <x:c r="V490" s="19">
        <x:v>0</x:v>
      </x:c>
      <x:c r="W490" s="10">
        <x:v>0.0806</x:v>
      </x:c>
      <x:c r="X490" s="10">
        <x:v>0.1681</x:v>
      </x:c>
      <x:c r="Y490" s="10">
        <x:v>0</x:v>
      </x:c>
      <x:c r="Z490" s="19">
        <x:v>0.1533</x:v>
      </x:c>
      <x:c r="AA490" s="19">
        <x:v>0.0476</x:v>
      </x:c>
      <x:c r="AB490" s="19">
        <x:v>0.0644</x:v>
      </x:c>
      <x:c r="AC490" s="16">
        <x:v>0.6667</x:v>
      </x:c>
      <x:c r="AD490" s="10">
        <x:v>0.0829</x:v>
      </x:c>
      <x:c r="AE490" s="10">
        <x:v>0.0829</x:v>
      </x:c>
      <x:c r="AF490" s="2" t="s">
        <x:v>35</x:v>
      </x:c>
    </x:row>
    <x:row r="491">
      <x:c r="A491" s="25" t="s">
        <x:v>1481</x:v>
      </x:c>
      <x:c r="B491" s="4" t="s">
        <x:v>1482</x:v>
      </x:c>
      <x:c r="C491" s="4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22">
        <x:v>0</x:v>
      </x:c>
      <x:c r="R491" s="22">
        <x:v>0</x:v>
      </x:c>
      <x:c r="S491" s="22">
        <x:v>0</x:v>
      </x:c>
      <x:c r="T491" s="22">
        <x:v>0</x:v>
      </x:c>
      <x:c r="U491" s="22">
        <x:v>0</x:v>
      </x:c>
      <x:c r="V491" s="22">
        <x:v>0</x:v>
      </x:c>
      <x:c r="W491" s="22">
        <x:v>0</x:v>
      </x:c>
      <x:c r="X491" s="22">
        <x:v>0</x:v>
      </x:c>
      <x:c r="Y491" s="22">
        <x:v>0</x:v>
      </x:c>
      <x:c r="Z491" s="22">
        <x:v>0</x:v>
      </x:c>
      <x:c r="AA491" s="22">
        <x:v>0</x:v>
      </x:c>
      <x:c r="AB491" s="22">
        <x:v>0</x:v>
      </x:c>
      <x:c r="AC491" s="16">
        <x:v>0</x:v>
      </x:c>
      <x:c r="AF491" s="2" t="s">
        <x:v>35</x:v>
      </x:c>
    </x:row>
    <x:row r="492">
      <x:c r="A492" s="25" t="s">
        <x:v>1483</x:v>
      </x:c>
      <x:c r="B492" s="4" t="s">
        <x:v>1484</x:v>
      </x:c>
      <x:c r="C492" s="4"/>
      <x:c r="D492" s="6"/>
      <x:c r="E492" s="6"/>
      <x:c r="F492" s="6"/>
      <x:c r="G492" s="6"/>
      <x:c r="H492" s="6"/>
      <x:c r="I492" s="6"/>
      <x:c r="J492" s="6"/>
      <x:c r="K492" s="6"/>
      <x:c r="L492" s="8">
        <x:v>6</x:v>
      </x:c>
      <x:c r="M492" s="8">
        <x:v>1</x:v>
      </x:c>
      <x:c r="N492" s="8">
        <x:v>30</x:v>
      </x:c>
      <x:c r="O492" s="8">
        <x:v>-5</x:v>
      </x:c>
      <x:c r="P492" s="8">
        <x:v>-3</x:v>
      </x:c>
      <x:c r="Q492" s="22">
        <x:v>0</x:v>
      </x:c>
      <x:c r="R492" s="22">
        <x:v>0</x:v>
      </x:c>
      <x:c r="S492" s="22">
        <x:v>0</x:v>
      </x:c>
      <x:c r="T492" s="22">
        <x:v>0</x:v>
      </x:c>
      <x:c r="U492" s="22">
        <x:v>0</x:v>
      </x:c>
      <x:c r="V492" s="22">
        <x:v>0</x:v>
      </x:c>
      <x:c r="W492" s="22">
        <x:v>0</x:v>
      </x:c>
      <x:c r="X492" s="22">
        <x:v>0</x:v>
      </x:c>
      <x:c r="Y492" s="22">
        <x:v>0</x:v>
      </x:c>
      <x:c r="Z492" s="19">
        <x:v>0.5556</x:v>
      </x:c>
      <x:c r="AA492" s="19">
        <x:v>0.9524</x:v>
      </x:c>
      <x:c r="AB492" s="19">
        <x:v>-0.4831</x:v>
      </x:c>
      <x:c r="AC492" s="16">
        <x:v>-3</x:v>
      </x:c>
      <x:c r="AF492" s="2" t="s">
        <x:v>35</x:v>
      </x:c>
    </x:row>
    <x:row r="493">
      <x:c r="A493" s="25" t="s">
        <x:v>1485</x:v>
      </x:c>
      <x:c r="B493" s="4" t="s">
        <x:v>1486</x:v>
      </x:c>
      <x:c r="C493" s="4"/>
      <x:c r="D493" s="6"/>
      <x:c r="E493" s="6"/>
      <x:c r="F493" s="6"/>
      <x:c r="G493" s="6"/>
      <x:c r="H493" s="6"/>
      <x:c r="I493" s="6"/>
      <x:c r="J493" s="6"/>
      <x:c r="K493" s="6"/>
      <x:c r="L493" s="8">
        <x:v>5</x:v>
      </x:c>
      <x:c r="M493" s="6"/>
      <x:c r="N493" s="6"/>
      <x:c r="O493" s="6"/>
      <x:c r="P493" s="6"/>
      <x:c r="Q493" s="22">
        <x:v>0</x:v>
      </x:c>
      <x:c r="R493" s="22">
        <x:v>0</x:v>
      </x:c>
      <x:c r="S493" s="22">
        <x:v>0</x:v>
      </x:c>
      <x:c r="T493" s="22">
        <x:v>0</x:v>
      </x:c>
      <x:c r="U493" s="22">
        <x:v>0</x:v>
      </x:c>
      <x:c r="V493" s="22">
        <x:v>0</x:v>
      </x:c>
      <x:c r="W493" s="22">
        <x:v>0</x:v>
      </x:c>
      <x:c r="X493" s="22">
        <x:v>0</x:v>
      </x:c>
      <x:c r="Y493" s="22">
        <x:v>0</x:v>
      </x:c>
      <x:c r="Z493" s="22">
        <x:v>0</x:v>
      </x:c>
      <x:c r="AA493" s="22">
        <x:v>0</x:v>
      </x:c>
      <x:c r="AB493" s="22">
        <x:v>0</x:v>
      </x:c>
      <x:c r="AC493" s="16">
        <x:v>0</x:v>
      </x:c>
      <x:c r="AF493" s="2" t="s">
        <x:v>35</x:v>
      </x:c>
    </x:row>
    <x:row r="494">
      <x:c r="A494" s="4" t="s">
        <x:v>1487</x:v>
      </x:c>
      <x:c r="B494" s="4" t="s">
        <x:v>1488</x:v>
      </x:c>
      <x:c r="C494" s="4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8">
        <x:v>16</x:v>
      </x:c>
      <x:c r="P494" s="8">
        <x:v>7</x:v>
      </x:c>
      <x:c r="Q494" s="22">
        <x:v>0</x:v>
      </x:c>
      <x:c r="R494" s="22">
        <x:v>0</x:v>
      </x:c>
      <x:c r="S494" s="22">
        <x:v>0</x:v>
      </x:c>
      <x:c r="T494" s="22">
        <x:v>0</x:v>
      </x:c>
      <x:c r="U494" s="22">
        <x:v>0</x:v>
      </x:c>
      <x:c r="V494" s="22">
        <x:v>0</x:v>
      </x:c>
      <x:c r="W494" s="22">
        <x:v>0</x:v>
      </x:c>
      <x:c r="X494" s="22">
        <x:v>0</x:v>
      </x:c>
      <x:c r="Y494" s="22">
        <x:v>0</x:v>
      </x:c>
      <x:c r="Z494" s="22">
        <x:v>0</x:v>
      </x:c>
      <x:c r="AA494" s="22">
        <x:v>0</x:v>
      </x:c>
      <x:c r="AB494" s="19">
        <x:v>1.7391</x:v>
      </x:c>
      <x:c r="AC494" s="13">
        <x:v>0.2258</x:v>
      </x:c>
      <x:c r="AF494" s="2" t="s">
        <x:v>35</x:v>
      </x:c>
    </x:row>
    <x:row r="495">
      <x:c r="A495" s="4" t="s">
        <x:v>1489</x:v>
      </x:c>
      <x:c r="B495" s="4" t="s">
        <x:v>1490</x:v>
      </x:c>
      <x:c r="C495" s="4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22">
        <x:v>0</x:v>
      </x:c>
      <x:c r="R495" s="22">
        <x:v>0</x:v>
      </x:c>
      <x:c r="S495" s="22">
        <x:v>0</x:v>
      </x:c>
      <x:c r="T495" s="22">
        <x:v>0</x:v>
      </x:c>
      <x:c r="U495" s="22">
        <x:v>0</x:v>
      </x:c>
      <x:c r="V495" s="22">
        <x:v>0</x:v>
      </x:c>
      <x:c r="W495" s="22">
        <x:v>0</x:v>
      </x:c>
      <x:c r="X495" s="22">
        <x:v>0</x:v>
      </x:c>
      <x:c r="Y495" s="22">
        <x:v>0</x:v>
      </x:c>
      <x:c r="Z495" s="22">
        <x:v>0</x:v>
      </x:c>
      <x:c r="AA495" s="22">
        <x:v>0</x:v>
      </x:c>
      <x:c r="AB495" s="22">
        <x:v>0</x:v>
      </x:c>
      <x:c r="AC495" s="16">
        <x:v>0</x:v>
      </x:c>
      <x:c r="AF495" s="2" t="s">
        <x:v>35</x:v>
      </x:c>
    </x:row>
    <x:row r="496">
      <x:c r="A496" s="4" t="s">
        <x:v>1491</x:v>
      </x:c>
      <x:c r="B496" s="4" t="s">
        <x:v>1492</x:v>
      </x:c>
      <x:c r="C496" s="4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22">
        <x:v>0</x:v>
      </x:c>
      <x:c r="R496" s="22">
        <x:v>0</x:v>
      </x:c>
      <x:c r="S496" s="22">
        <x:v>0</x:v>
      </x:c>
      <x:c r="T496" s="22">
        <x:v>0</x:v>
      </x:c>
      <x:c r="U496" s="22">
        <x:v>0</x:v>
      </x:c>
      <x:c r="V496" s="22">
        <x:v>0</x:v>
      </x:c>
      <x:c r="W496" s="22">
        <x:v>0</x:v>
      </x:c>
      <x:c r="X496" s="22">
        <x:v>0</x:v>
      </x:c>
      <x:c r="Y496" s="22">
        <x:v>0</x:v>
      </x:c>
      <x:c r="Z496" s="22">
        <x:v>0</x:v>
      </x:c>
      <x:c r="AA496" s="22">
        <x:v>0</x:v>
      </x:c>
      <x:c r="AB496" s="22">
        <x:v>0</x:v>
      </x:c>
      <x:c r="AC496" s="16">
        <x:v>0</x:v>
      </x:c>
      <x:c r="AF496" s="2" t="s">
        <x:v>35</x:v>
      </x:c>
    </x:row>
    <x:row r="497">
      <x:c r="A497" s="4" t="s">
        <x:v>1493</x:v>
      </x:c>
      <x:c r="B497" s="4" t="s">
        <x:v>1494</x:v>
      </x:c>
      <x:c r="C497" s="4" t="s">
        <x:v>1495</x:v>
      </x:c>
      <x:c r="D497" s="8">
        <x:v>2</x:v>
      </x:c>
      <x:c r="E497" s="6"/>
      <x:c r="F497" s="6"/>
      <x:c r="G497" s="8">
        <x:v>4</x:v>
      </x:c>
      <x:c r="H497" s="6"/>
      <x:c r="I497" s="6"/>
      <x:c r="J497" s="6"/>
      <x:c r="K497" s="6"/>
      <x:c r="L497" s="6"/>
      <x:c r="M497" s="6"/>
      <x:c r="N497" s="8">
        <x:v>4</x:v>
      </x:c>
      <x:c r="O497" s="8">
        <x:v>8</x:v>
      </x:c>
      <x:c r="P497" s="6"/>
      <x:c r="Q497" s="10">
        <x:v>0.0645</x:v>
      </x:c>
      <x:c r="R497" s="10">
        <x:v>0</x:v>
      </x:c>
      <x:c r="S497" s="10">
        <x:v>0</x:v>
      </x:c>
      <x:c r="T497" s="10">
        <x:v>0.129</x:v>
      </x:c>
      <x:c r="U497" s="10">
        <x:v>0</x:v>
      </x:c>
      <x:c r="V497" s="10">
        <x:v>0</x:v>
      </x:c>
      <x:c r="W497" s="10">
        <x:v>0</x:v>
      </x:c>
      <x:c r="X497" s="10">
        <x:v>0</x:v>
      </x:c>
      <x:c r="Y497" s="10">
        <x:v>0</x:v>
      </x:c>
      <x:c r="Z497" s="10">
        <x:v>0</x:v>
      </x:c>
      <x:c r="AA497" s="10">
        <x:v>0.1229</x:v>
      </x:c>
      <x:c r="AB497" s="19">
        <x:v>0.2484</x:v>
      </x:c>
      <x:c r="AC497" s="16">
        <x:v>0</x:v>
      </x:c>
      <x:c r="AD497" s="10">
        <x:v>0.0288</x:v>
      </x:c>
      <x:c r="AE497" s="10">
        <x:v>0.0288</x:v>
      </x:c>
      <x:c r="AF497" s="2" t="s">
        <x:v>35</x:v>
      </x:c>
    </x:row>
    <x:row r="498">
      <x:c r="A498" s="4" t="s">
        <x:v>1496</x:v>
      </x:c>
      <x:c r="B498" s="4" t="s">
        <x:v>1497</x:v>
      </x:c>
      <x:c r="C498" s="4" t="s">
        <x:v>1498</x:v>
      </x:c>
      <x:c r="D498" s="6"/>
      <x:c r="E498" s="8">
        <x:v>1</x:v>
      </x:c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10">
        <x:v>0</x:v>
      </x:c>
      <x:c r="R498" s="10">
        <x:v>0.0323</x:v>
      </x:c>
      <x:c r="S498" s="10">
        <x:v>0</x:v>
      </x:c>
      <x:c r="T498" s="10">
        <x:v>0</x:v>
      </x:c>
      <x:c r="U498" s="10">
        <x:v>0</x:v>
      </x:c>
      <x:c r="V498" s="10">
        <x:v>0</x:v>
      </x:c>
      <x:c r="W498" s="10">
        <x:v>0</x:v>
      </x:c>
      <x:c r="X498" s="10">
        <x:v>0</x:v>
      </x:c>
      <x:c r="Y498" s="10">
        <x:v>0</x:v>
      </x:c>
      <x:c r="Z498" s="10">
        <x:v>0</x:v>
      </x:c>
      <x:c r="AA498" s="10">
        <x:v>0</x:v>
      </x:c>
      <x:c r="AB498" s="10">
        <x:v>0</x:v>
      </x:c>
      <x:c r="AC498" s="13">
        <x:v>0</x:v>
      </x:c>
      <x:c r="AD498" s="10">
        <x:v>0.0027</x:v>
      </x:c>
      <x:c r="AE498" s="10">
        <x:v>0.0027</x:v>
      </x:c>
      <x:c r="AF498" s="2" t="s">
        <x:v>35</x:v>
      </x:c>
    </x:row>
    <x:row r="499">
      <x:c r="A499" s="4" t="s">
        <x:v>1499</x:v>
      </x:c>
      <x:c r="B499" s="4" t="s">
        <x:v>1500</x:v>
      </x:c>
      <x:c r="C499" s="4" t="s">
        <x:v>1501</x:v>
      </x:c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22">
        <x:v>0</x:v>
      </x:c>
      <x:c r="R499" s="22">
        <x:v>0</x:v>
      </x:c>
      <x:c r="S499" s="22">
        <x:v>0</x:v>
      </x:c>
      <x:c r="T499" s="22">
        <x:v>0</x:v>
      </x:c>
      <x:c r="U499" s="22">
        <x:v>0</x:v>
      </x:c>
      <x:c r="V499" s="22">
        <x:v>0</x:v>
      </x:c>
      <x:c r="W499" s="22">
        <x:v>0</x:v>
      </x:c>
      <x:c r="X499" s="22">
        <x:v>0</x:v>
      </x:c>
      <x:c r="Y499" s="22">
        <x:v>0</x:v>
      </x:c>
      <x:c r="Z499" s="22">
        <x:v>0</x:v>
      </x:c>
      <x:c r="AA499" s="22">
        <x:v>0</x:v>
      </x:c>
      <x:c r="AB499" s="22">
        <x:v>0</x:v>
      </x:c>
      <x:c r="AC499" s="16">
        <x:v>0</x:v>
      </x:c>
      <x:c r="AF499" s="2" t="s">
        <x:v>51</x:v>
      </x:c>
    </x:row>
    <x:row r="500">
      <x:c r="A500" s="4" t="s">
        <x:v>1502</x:v>
      </x:c>
      <x:c r="B500" s="4" t="s">
        <x:v>46</x:v>
      </x:c>
      <x:c r="C500" s="4" t="s">
        <x:v>1503</x:v>
      </x:c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22">
        <x:v>0</x:v>
      </x:c>
      <x:c r="R500" s="22">
        <x:v>0</x:v>
      </x:c>
      <x:c r="S500" s="22">
        <x:v>0</x:v>
      </x:c>
      <x:c r="T500" s="22">
        <x:v>0</x:v>
      </x:c>
      <x:c r="U500" s="22">
        <x:v>0</x:v>
      </x:c>
      <x:c r="V500" s="22">
        <x:v>0</x:v>
      </x:c>
      <x:c r="W500" s="22">
        <x:v>0</x:v>
      </x:c>
      <x:c r="X500" s="22">
        <x:v>0</x:v>
      </x:c>
      <x:c r="Y500" s="22">
        <x:v>0</x:v>
      </x:c>
      <x:c r="Z500" s="22">
        <x:v>0</x:v>
      </x:c>
      <x:c r="AA500" s="22">
        <x:v>0</x:v>
      </x:c>
      <x:c r="AB500" s="22">
        <x:v>0</x:v>
      </x:c>
      <x:c r="AC500" s="16">
        <x:v>0</x:v>
      </x:c>
      <x:c r="AF500" s="2" t="s">
        <x:v>51</x:v>
      </x:c>
    </x:row>
    <x:row r="501">
      <x:c r="A501" s="4" t="s">
        <x:v>1504</x:v>
      </x:c>
      <x:c r="B501" s="4" t="s">
        <x:v>1505</x:v>
      </x:c>
      <x:c r="C501" s="4" t="s">
        <x:v>1506</x:v>
      </x:c>
      <x:c r="D501" s="8">
        <x:v>2</x:v>
      </x:c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22">
        <x:v>0</x:v>
      </x:c>
      <x:c r="R501" s="22">
        <x:v>0</x:v>
      </x:c>
      <x:c r="S501" s="22">
        <x:v>0</x:v>
      </x:c>
      <x:c r="T501" s="22">
        <x:v>0</x:v>
      </x:c>
      <x:c r="U501" s="22">
        <x:v>0</x:v>
      </x:c>
      <x:c r="V501" s="22">
        <x:v>0</x:v>
      </x:c>
      <x:c r="W501" s="22">
        <x:v>0</x:v>
      </x:c>
      <x:c r="X501" s="22">
        <x:v>0</x:v>
      </x:c>
      <x:c r="Y501" s="22">
        <x:v>0</x:v>
      </x:c>
      <x:c r="Z501" s="22">
        <x:v>0</x:v>
      </x:c>
      <x:c r="AA501" s="22">
        <x:v>0</x:v>
      </x:c>
      <x:c r="AB501" s="22">
        <x:v>0</x:v>
      </x:c>
      <x:c r="AC501" s="16">
        <x:v>0</x:v>
      </x:c>
      <x:c r="AF501" s="2" t="s">
        <x:v>35</x:v>
      </x:c>
    </x:row>
    <x:row r="502">
      <x:c r="A502" s="4" t="s">
        <x:v>1507</x:v>
      </x:c>
      <x:c r="B502" s="4" t="s">
        <x:v>76</x:v>
      </x:c>
      <x:c r="C502" s="4" t="s">
        <x:v>1508</x:v>
      </x:c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22">
        <x:v>0</x:v>
      </x:c>
      <x:c r="R502" s="22">
        <x:v>0</x:v>
      </x:c>
      <x:c r="S502" s="22">
        <x:v>0</x:v>
      </x:c>
      <x:c r="T502" s="22">
        <x:v>0</x:v>
      </x:c>
      <x:c r="U502" s="22">
        <x:v>0</x:v>
      </x:c>
      <x:c r="V502" s="22">
        <x:v>0</x:v>
      </x:c>
      <x:c r="W502" s="22">
        <x:v>0</x:v>
      </x:c>
      <x:c r="X502" s="22">
        <x:v>0</x:v>
      </x:c>
      <x:c r="Y502" s="22">
        <x:v>0</x:v>
      </x:c>
      <x:c r="Z502" s="22">
        <x:v>0</x:v>
      </x:c>
      <x:c r="AA502" s="22">
        <x:v>0</x:v>
      </x:c>
      <x:c r="AB502" s="22">
        <x:v>0</x:v>
      </x:c>
      <x:c r="AC502" s="16">
        <x:v>0</x:v>
      </x:c>
      <x:c r="AF502" s="2" t="s">
        <x:v>35</x:v>
      </x:c>
    </x:row>
    <x:row r="503">
      <x:c r="A503" s="4" t="s">
        <x:v>1509</x:v>
      </x:c>
      <x:c r="B503" s="4" t="s">
        <x:v>1510</x:v>
      </x:c>
      <x:c r="C503" s="4" t="s">
        <x:v>1511</x:v>
      </x:c>
      <x:c r="D503" s="6"/>
      <x:c r="E503" s="8">
        <x:v>6</x:v>
      </x:c>
      <x:c r="F503" s="8">
        <x:v>22</x:v>
      </x:c>
      <x:c r="G503" s="8">
        <x:v>20</x:v>
      </x:c>
      <x:c r="H503" s="8">
        <x:v>16</x:v>
      </x:c>
      <x:c r="I503" s="6"/>
      <x:c r="J503" s="8">
        <x:v>16</x:v>
      </x:c>
      <x:c r="K503" s="8">
        <x:v>10</x:v>
      </x:c>
      <x:c r="L503" s="8">
        <x:v>25</x:v>
      </x:c>
      <x:c r="M503" s="8">
        <x:v>23</x:v>
      </x:c>
      <x:c r="N503" s="6"/>
      <x:c r="O503" s="8">
        <x:v>15</x:v>
      </x:c>
      <x:c r="P503" s="8">
        <x:v>33</x:v>
      </x:c>
      <x:c r="Q503" s="10">
        <x:v>0</x:v>
      </x:c>
      <x:c r="R503" s="10">
        <x:v>0.1935</x:v>
      </x:c>
      <x:c r="S503" s="10">
        <x:v>0.6377</x:v>
      </x:c>
      <x:c r="T503" s="10">
        <x:v>0.6452</x:v>
      </x:c>
      <x:c r="U503" s="10">
        <x:v>0.5333</x:v>
      </x:c>
      <x:c r="V503" s="10">
        <x:v>0</x:v>
      </x:c>
      <x:c r="W503" s="10">
        <x:v>0.6452</x:v>
      </x:c>
      <x:c r="X503" s="10">
        <x:v>0.4202</x:v>
      </x:c>
      <x:c r="Y503" s="10">
        <x:v>0.7331</x:v>
      </x:c>
      <x:c r="Z503" s="10">
        <x:v>0.8519</x:v>
      </x:c>
      <x:c r="AA503" s="10">
        <x:v>0</x:v>
      </x:c>
      <x:c r="AB503" s="10">
        <x:v>0.4348</x:v>
      </x:c>
      <x:c r="AC503" s="13">
        <x:v>1.0645</x:v>
      </x:c>
      <x:c r="AD503" s="10">
        <x:v>0.4246</x:v>
      </x:c>
      <x:c r="AE503" s="10">
        <x:v>0.4246</x:v>
      </x:c>
      <x:c r="AF503" s="2" t="s">
        <x:v>35</x:v>
      </x:c>
    </x:row>
    <x:row r="504">
      <x:c r="A504" s="4" t="s">
        <x:v>1512</x:v>
      </x:c>
      <x:c r="B504" s="4" t="s">
        <x:v>1513</x:v>
      </x:c>
      <x:c r="C504" s="4" t="s">
        <x:v>1514</x:v>
      </x:c>
      <x:c r="D504" s="6"/>
      <x:c r="E504" s="8">
        <x:v>1</x:v>
      </x:c>
      <x:c r="F504" s="8">
        <x:v>4</x:v>
      </x:c>
      <x:c r="G504" s="6"/>
      <x:c r="H504" s="6"/>
      <x:c r="I504" s="8">
        <x:v>4</x:v>
      </x:c>
      <x:c r="J504" s="8">
        <x:v>6</x:v>
      </x:c>
      <x:c r="K504" s="8">
        <x:v>-5</x:v>
      </x:c>
      <x:c r="L504" s="6"/>
      <x:c r="M504" s="8">
        <x:v>2</x:v>
      </x:c>
      <x:c r="N504" s="8">
        <x:v>1</x:v>
      </x:c>
      <x:c r="O504" s="6"/>
      <x:c r="P504" s="6"/>
      <x:c r="Q504" s="19">
        <x:v>0</x:v>
      </x:c>
      <x:c r="R504" s="10">
        <x:v>0.0323</x:v>
      </x:c>
      <x:c r="S504" s="22">
        <x:v>0</x:v>
      </x:c>
      <x:c r="T504" s="19">
        <x:v>0</x:v>
      </x:c>
      <x:c r="U504" s="10">
        <x:v>0</x:v>
      </x:c>
      <x:c r="V504" s="10">
        <x:v>0.129</x:v>
      </x:c>
      <x:c r="W504" s="19">
        <x:v>0.3409</x:v>
      </x:c>
      <x:c r="X504" s="19">
        <x:v>-0.2451</x:v>
      </x:c>
      <x:c r="Y504" s="10">
        <x:v>0</x:v>
      </x:c>
      <x:c r="Z504" s="10">
        <x:v>0.0741</x:v>
      </x:c>
      <x:c r="AA504" s="19">
        <x:v>0.0381</x:v>
      </x:c>
      <x:c r="AB504" s="22">
        <x:v>0</x:v>
      </x:c>
      <x:c r="AC504" s="16">
        <x:v>0</x:v>
      </x:c>
      <x:c r="AD504" s="10">
        <x:v>0.0471</x:v>
      </x:c>
      <x:c r="AE504" s="10">
        <x:v>0.0471</x:v>
      </x:c>
      <x:c r="AF504" s="2" t="s">
        <x:v>35</x:v>
      </x:c>
    </x:row>
    <x:row r="505">
      <x:c r="A505" s="4" t="s">
        <x:v>1515</x:v>
      </x:c>
      <x:c r="B505" s="4" t="s">
        <x:v>1516</x:v>
      </x:c>
      <x:c r="C505" s="4" t="s">
        <x:v>1517</x:v>
      </x:c>
      <x:c r="D505" s="8">
        <x:v>23</x:v>
      </x:c>
      <x:c r="E505" s="8">
        <x:v>26</x:v>
      </x:c>
      <x:c r="F505" s="8">
        <x:v>7</x:v>
      </x:c>
      <x:c r="G505" s="8">
        <x:v>11</x:v>
      </x:c>
      <x:c r="H505" s="8">
        <x:v>-1</x:v>
      </x:c>
      <x:c r="I505" s="8">
        <x:v>20</x:v>
      </x:c>
      <x:c r="J505" s="6"/>
      <x:c r="K505" s="6"/>
      <x:c r="L505" s="8">
        <x:v>24</x:v>
      </x:c>
      <x:c r="M505" s="8">
        <x:v>1</x:v>
      </x:c>
      <x:c r="N505" s="8">
        <x:v>20</x:v>
      </x:c>
      <x:c r="O505" s="8">
        <x:v>15</x:v>
      </x:c>
      <x:c r="P505" s="8">
        <x:v>10</x:v>
      </x:c>
      <x:c r="Q505" s="10">
        <x:v>0.7419</x:v>
      </x:c>
      <x:c r="R505" s="10">
        <x:v>0.8387</x:v>
      </x:c>
      <x:c r="S505" s="10">
        <x:v>0.2029</x:v>
      </x:c>
      <x:c r="T505" s="10">
        <x:v>0.3548</x:v>
      </x:c>
      <x:c r="U505" s="10">
        <x:v>-0.0333</x:v>
      </x:c>
      <x:c r="V505" s="10">
        <x:v>0.6452</x:v>
      </x:c>
      <x:c r="W505" s="10">
        <x:v>0</x:v>
      </x:c>
      <x:c r="X505" s="10">
        <x:v>0</x:v>
      </x:c>
      <x:c r="Y505" s="10">
        <x:v>0.7038</x:v>
      </x:c>
      <x:c r="Z505" s="10">
        <x:v>0.037</x:v>
      </x:c>
      <x:c r="AA505" s="10">
        <x:v>0.6144</x:v>
      </x:c>
      <x:c r="AB505" s="10">
        <x:v>0.4348</x:v>
      </x:c>
      <x:c r="AC505" s="13">
        <x:v>0.3226</x:v>
      </x:c>
      <x:c r="AD505" s="10">
        <x:v>0.3784</x:v>
      </x:c>
      <x:c r="AE505" s="10">
        <x:v>0.3784</x:v>
      </x:c>
      <x:c r="AF505" s="2" t="s">
        <x:v>35</x:v>
      </x:c>
    </x:row>
    <x:row r="506">
      <x:c r="A506" s="4" t="s">
        <x:v>1518</x:v>
      </x:c>
      <x:c r="B506" s="4" t="s">
        <x:v>1519</x:v>
      </x:c>
      <x:c r="C506" s="4" t="s">
        <x:v>1520</x:v>
      </x:c>
      <x:c r="D506" s="8">
        <x:v>33</x:v>
      </x:c>
      <x:c r="E506" s="8">
        <x:v>74</x:v>
      </x:c>
      <x:c r="F506" s="8">
        <x:v>28</x:v>
      </x:c>
      <x:c r="G506" s="8">
        <x:v>53</x:v>
      </x:c>
      <x:c r="H506" s="8">
        <x:v>58</x:v>
      </x:c>
      <x:c r="I506" s="8">
        <x:v>71</x:v>
      </x:c>
      <x:c r="J506" s="8">
        <x:v>40</x:v>
      </x:c>
      <x:c r="K506" s="8">
        <x:v>10</x:v>
      </x:c>
      <x:c r="L506" s="8">
        <x:v>53</x:v>
      </x:c>
      <x:c r="M506" s="8">
        <x:v>48</x:v>
      </x:c>
      <x:c r="N506" s="8">
        <x:v>25</x:v>
      </x:c>
      <x:c r="O506" s="8">
        <x:v>51</x:v>
      </x:c>
      <x:c r="P506" s="8">
        <x:v>5</x:v>
      </x:c>
      <x:c r="Q506" s="10">
        <x:v>1.0645</x:v>
      </x:c>
      <x:c r="R506" s="10">
        <x:v>2.3871</x:v>
      </x:c>
      <x:c r="S506" s="10">
        <x:v>0.8116</x:v>
      </x:c>
      <x:c r="T506" s="10">
        <x:v>1.7097</x:v>
      </x:c>
      <x:c r="U506" s="10">
        <x:v>1.9333</x:v>
      </x:c>
      <x:c r="V506" s="10">
        <x:v>2.2903</x:v>
      </x:c>
      <x:c r="W506" s="10">
        <x:v>1.6129</x:v>
      </x:c>
      <x:c r="X506" s="10">
        <x:v>0.4202</x:v>
      </x:c>
      <x:c r="Y506" s="10">
        <x:v>1.5543</x:v>
      </x:c>
      <x:c r="Z506" s="10">
        <x:v>1.7778</x:v>
      </x:c>
      <x:c r="AA506" s="10">
        <x:v>0.768</x:v>
      </x:c>
      <x:c r="AB506" s="10">
        <x:v>1.4783</x:v>
      </x:c>
      <x:c r="AC506" s="13">
        <x:v>0.1613</x:v>
      </x:c>
      <x:c r="AD506" s="10">
        <x:v>1.484</x:v>
      </x:c>
      <x:c r="AE506" s="10">
        <x:v>1.484</x:v>
      </x:c>
      <x:c r="AF506" s="2" t="s">
        <x:v>35</x:v>
      </x:c>
    </x:row>
    <x:row r="507">
      <x:c r="A507" s="4" t="s">
        <x:v>1521</x:v>
      </x:c>
      <x:c r="B507" s="4" t="s">
        <x:v>144</x:v>
      </x:c>
      <x:c r="C507" s="4" t="s">
        <x:v>1522</x:v>
      </x:c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22">
        <x:v>0</x:v>
      </x:c>
      <x:c r="R507" s="22">
        <x:v>0</x:v>
      </x:c>
      <x:c r="S507" s="22">
        <x:v>0</x:v>
      </x:c>
      <x:c r="T507" s="22">
        <x:v>0</x:v>
      </x:c>
      <x:c r="U507" s="22">
        <x:v>0</x:v>
      </x:c>
      <x:c r="V507" s="22">
        <x:v>0</x:v>
      </x:c>
      <x:c r="W507" s="22">
        <x:v>0</x:v>
      </x:c>
      <x:c r="X507" s="22">
        <x:v>0</x:v>
      </x:c>
      <x:c r="Y507" s="22">
        <x:v>0</x:v>
      </x:c>
      <x:c r="Z507" s="22">
        <x:v>0</x:v>
      </x:c>
      <x:c r="AA507" s="22">
        <x:v>0</x:v>
      </x:c>
      <x:c r="AB507" s="22">
        <x:v>0</x:v>
      </x:c>
      <x:c r="AC507" s="16">
        <x:v>0</x:v>
      </x:c>
      <x:c r="AF507" s="2" t="s">
        <x:v>51</x:v>
      </x:c>
    </x:row>
    <x:row r="508">
      <x:c r="A508" s="4" t="s">
        <x:v>1523</x:v>
      </x:c>
      <x:c r="B508" s="4" t="s">
        <x:v>147</x:v>
      </x:c>
      <x:c r="C508" s="4" t="s">
        <x:v>1524</x:v>
      </x:c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22">
        <x:v>0</x:v>
      </x:c>
      <x:c r="R508" s="22">
        <x:v>0</x:v>
      </x:c>
      <x:c r="S508" s="22">
        <x:v>0</x:v>
      </x:c>
      <x:c r="T508" s="22">
        <x:v>0</x:v>
      </x:c>
      <x:c r="U508" s="22">
        <x:v>0</x:v>
      </x:c>
      <x:c r="V508" s="22">
        <x:v>0</x:v>
      </x:c>
      <x:c r="W508" s="22">
        <x:v>0</x:v>
      </x:c>
      <x:c r="X508" s="22">
        <x:v>0</x:v>
      </x:c>
      <x:c r="Y508" s="22">
        <x:v>0</x:v>
      </x:c>
      <x:c r="Z508" s="22">
        <x:v>0</x:v>
      </x:c>
      <x:c r="AA508" s="22">
        <x:v>0</x:v>
      </x:c>
      <x:c r="AB508" s="22">
        <x:v>0</x:v>
      </x:c>
      <x:c r="AC508" s="16">
        <x:v>0</x:v>
      </x:c>
      <x:c r="AF508" s="2" t="s">
        <x:v>35</x:v>
      </x:c>
    </x:row>
    <x:row r="509">
      <x:c r="A509" s="4" t="s">
        <x:v>1525</x:v>
      </x:c>
      <x:c r="B509" s="4" t="s">
        <x:v>1526</x:v>
      </x:c>
      <x:c r="C509" s="4" t="s">
        <x:v>1527</x:v>
      </x:c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22">
        <x:v>0</x:v>
      </x:c>
      <x:c r="R509" s="22">
        <x:v>0</x:v>
      </x:c>
      <x:c r="S509" s="22">
        <x:v>0</x:v>
      </x:c>
      <x:c r="T509" s="22">
        <x:v>0</x:v>
      </x:c>
      <x:c r="U509" s="22">
        <x:v>0</x:v>
      </x:c>
      <x:c r="V509" s="22">
        <x:v>0</x:v>
      </x:c>
      <x:c r="W509" s="22">
        <x:v>0</x:v>
      </x:c>
      <x:c r="X509" s="22">
        <x:v>0</x:v>
      </x:c>
      <x:c r="Y509" s="22">
        <x:v>0</x:v>
      </x:c>
      <x:c r="Z509" s="22">
        <x:v>0</x:v>
      </x:c>
      <x:c r="AA509" s="22">
        <x:v>0</x:v>
      </x:c>
      <x:c r="AB509" s="22">
        <x:v>0</x:v>
      </x:c>
      <x:c r="AC509" s="16">
        <x:v>0</x:v>
      </x:c>
      <x:c r="AF509" s="2" t="s">
        <x:v>51</x:v>
      </x:c>
    </x:row>
    <x:row r="510">
      <x:c r="A510" s="4" t="s">
        <x:v>1528</x:v>
      </x:c>
      <x:c r="B510" s="4" t="s">
        <x:v>1529</x:v>
      </x:c>
      <x:c r="C510" s="4" t="s">
        <x:v>1530</x:v>
      </x:c>
      <x:c r="D510" s="8">
        <x:v>2</x:v>
      </x:c>
      <x:c r="E510" s="8">
        <x:v>2</x:v>
      </x:c>
      <x:c r="F510" s="6"/>
      <x:c r="G510" s="8">
        <x:v>3</x:v>
      </x:c>
      <x:c r="H510" s="6"/>
      <x:c r="I510" s="6"/>
      <x:c r="J510" s="8">
        <x:v>2</x:v>
      </x:c>
      <x:c r="K510" s="6"/>
      <x:c r="L510" s="6"/>
      <x:c r="M510" s="6"/>
      <x:c r="N510" s="8">
        <x:v>2</x:v>
      </x:c>
      <x:c r="O510" s="8">
        <x:v>2</x:v>
      </x:c>
      <x:c r="P510" s="6"/>
      <x:c r="Q510" s="10">
        <x:v>0.0645</x:v>
      </x:c>
      <x:c r="R510" s="10">
        <x:v>0.0645</x:v>
      </x:c>
      <x:c r="S510" s="10">
        <x:v>0</x:v>
      </x:c>
      <x:c r="T510" s="10">
        <x:v>0.0968</x:v>
      </x:c>
      <x:c r="U510" s="10">
        <x:v>0</x:v>
      </x:c>
      <x:c r="V510" s="10">
        <x:v>0</x:v>
      </x:c>
      <x:c r="W510" s="10">
        <x:v>0.0806</x:v>
      </x:c>
      <x:c r="X510" s="10">
        <x:v>0</x:v>
      </x:c>
      <x:c r="Y510" s="10">
        <x:v>0</x:v>
      </x:c>
      <x:c r="Z510" s="10">
        <x:v>0</x:v>
      </x:c>
      <x:c r="AA510" s="10">
        <x:v>0.0614</x:v>
      </x:c>
      <x:c r="AB510" s="10">
        <x:v>0.058</x:v>
      </x:c>
      <x:c r="AC510" s="13">
        <x:v>0</x:v>
      </x:c>
      <x:c r="AD510" s="10">
        <x:v>0.0355</x:v>
      </x:c>
      <x:c r="AE510" s="10">
        <x:v>0.0355</x:v>
      </x:c>
      <x:c r="AF510" s="2" t="s">
        <x:v>35</x:v>
      </x:c>
    </x:row>
    <x:row r="511">
      <x:c r="A511" s="4" t="s">
        <x:v>1531</x:v>
      </x:c>
      <x:c r="B511" s="4" t="s">
        <x:v>1532</x:v>
      </x:c>
      <x:c r="C511" s="4" t="s">
        <x:v>1533</x:v>
      </x:c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22">
        <x:v>0</x:v>
      </x:c>
      <x:c r="R511" s="22">
        <x:v>0</x:v>
      </x:c>
      <x:c r="S511" s="22">
        <x:v>0</x:v>
      </x:c>
      <x:c r="T511" s="22">
        <x:v>0</x:v>
      </x:c>
      <x:c r="U511" s="22">
        <x:v>0</x:v>
      </x:c>
      <x:c r="V511" s="22">
        <x:v>0</x:v>
      </x:c>
      <x:c r="W511" s="22">
        <x:v>0</x:v>
      </x:c>
      <x:c r="X511" s="22">
        <x:v>0</x:v>
      </x:c>
      <x:c r="Y511" s="22">
        <x:v>0</x:v>
      </x:c>
      <x:c r="Z511" s="22">
        <x:v>0</x:v>
      </x:c>
      <x:c r="AA511" s="22">
        <x:v>0</x:v>
      </x:c>
      <x:c r="AB511" s="22">
        <x:v>0</x:v>
      </x:c>
      <x:c r="AC511" s="16">
        <x:v>0</x:v>
      </x:c>
      <x:c r="AF511" s="2" t="s">
        <x:v>51</x:v>
      </x:c>
    </x:row>
    <x:row r="512">
      <x:c r="A512" s="4" t="s">
        <x:v>1534</x:v>
      </x:c>
      <x:c r="B512" s="4" t="s">
        <x:v>1535</x:v>
      </x:c>
      <x:c r="C512" s="4" t="s">
        <x:v>1536</x:v>
      </x:c>
      <x:c r="D512" s="8">
        <x:v>336</x:v>
      </x:c>
      <x:c r="E512" s="8">
        <x:v>223</x:v>
      </x:c>
      <x:c r="F512" s="8">
        <x:v>100</x:v>
      </x:c>
      <x:c r="G512" s="8">
        <x:v>275</x:v>
      </x:c>
      <x:c r="H512" s="8">
        <x:v>275</x:v>
      </x:c>
      <x:c r="I512" s="8">
        <x:v>173</x:v>
      </x:c>
      <x:c r="J512" s="8">
        <x:v>200</x:v>
      </x:c>
      <x:c r="K512" s="8">
        <x:v>299</x:v>
      </x:c>
      <x:c r="L512" s="8">
        <x:v>200</x:v>
      </x:c>
      <x:c r="M512" s="8">
        <x:v>202</x:v>
      </x:c>
      <x:c r="N512" s="8">
        <x:v>215</x:v>
      </x:c>
      <x:c r="O512" s="8">
        <x:v>168</x:v>
      </x:c>
      <x:c r="P512" s="8">
        <x:v>150</x:v>
      </x:c>
      <x:c r="Q512" s="10">
        <x:v>10.8387</x:v>
      </x:c>
      <x:c r="R512" s="10">
        <x:v>7.1935</x:v>
      </x:c>
      <x:c r="S512" s="10">
        <x:v>2.8986</x:v>
      </x:c>
      <x:c r="T512" s="10">
        <x:v>8.871</x:v>
      </x:c>
      <x:c r="U512" s="10">
        <x:v>9.1667</x:v>
      </x:c>
      <x:c r="V512" s="10">
        <x:v>5.5806</x:v>
      </x:c>
      <x:c r="W512" s="10">
        <x:v>8.0645</x:v>
      </x:c>
      <x:c r="X512" s="10">
        <x:v>12.563</x:v>
      </x:c>
      <x:c r="Y512" s="10">
        <x:v>5.8651</x:v>
      </x:c>
      <x:c r="Z512" s="10">
        <x:v>7.4815</x:v>
      </x:c>
      <x:c r="AA512" s="19">
        <x:v>7.3129</x:v>
      </x:c>
      <x:c r="AB512" s="19">
        <x:v>10.4348</x:v>
      </x:c>
      <x:c r="AC512" s="16">
        <x:v>8.3333</x:v>
      </x:c>
      <x:c r="AD512" s="10">
        <x:v>7.8523</x:v>
      </x:c>
      <x:c r="AE512" s="10">
        <x:v>7.8523</x:v>
      </x:c>
      <x:c r="AF512" s="2" t="s">
        <x:v>35</x:v>
      </x:c>
    </x:row>
    <x:row r="513">
      <x:c r="A513" s="4" t="s">
        <x:v>1537</x:v>
      </x:c>
      <x:c r="B513" s="4" t="s">
        <x:v>1538</x:v>
      </x:c>
      <x:c r="C513" s="4" t="s">
        <x:v>1539</x:v>
      </x:c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22">
        <x:v>0</x:v>
      </x:c>
      <x:c r="R513" s="22">
        <x:v>0</x:v>
      </x:c>
      <x:c r="S513" s="22">
        <x:v>0</x:v>
      </x:c>
      <x:c r="T513" s="22">
        <x:v>0</x:v>
      </x:c>
      <x:c r="U513" s="22">
        <x:v>0</x:v>
      </x:c>
      <x:c r="V513" s="22">
        <x:v>0</x:v>
      </x:c>
      <x:c r="W513" s="22">
        <x:v>0</x:v>
      </x:c>
      <x:c r="X513" s="22">
        <x:v>0</x:v>
      </x:c>
      <x:c r="Y513" s="22">
        <x:v>0</x:v>
      </x:c>
      <x:c r="Z513" s="22">
        <x:v>0</x:v>
      </x:c>
      <x:c r="AA513" s="22">
        <x:v>0</x:v>
      </x:c>
      <x:c r="AB513" s="22">
        <x:v>0</x:v>
      </x:c>
      <x:c r="AC513" s="16">
        <x:v>0</x:v>
      </x:c>
      <x:c r="AF513" s="2" t="s">
        <x:v>51</x:v>
      </x:c>
    </x:row>
    <x:row r="514">
      <x:c r="A514" s="4" t="s">
        <x:v>1540</x:v>
      </x:c>
      <x:c r="B514" s="4" t="s">
        <x:v>346</x:v>
      </x:c>
      <x:c r="C514" s="4" t="s">
        <x:v>1541</x:v>
      </x:c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22">
        <x:v>0</x:v>
      </x:c>
      <x:c r="R514" s="22">
        <x:v>0</x:v>
      </x:c>
      <x:c r="S514" s="22">
        <x:v>0</x:v>
      </x:c>
      <x:c r="T514" s="22">
        <x:v>0</x:v>
      </x:c>
      <x:c r="U514" s="22">
        <x:v>0</x:v>
      </x:c>
      <x:c r="V514" s="22">
        <x:v>0</x:v>
      </x:c>
      <x:c r="W514" s="22">
        <x:v>0</x:v>
      </x:c>
      <x:c r="X514" s="22">
        <x:v>0</x:v>
      </x:c>
      <x:c r="Y514" s="22">
        <x:v>0</x:v>
      </x:c>
      <x:c r="Z514" s="22">
        <x:v>0</x:v>
      </x:c>
      <x:c r="AA514" s="22">
        <x:v>0</x:v>
      </x:c>
      <x:c r="AB514" s="22">
        <x:v>0</x:v>
      </x:c>
      <x:c r="AC514" s="16">
        <x:v>0</x:v>
      </x:c>
      <x:c r="AF514" s="2" t="s">
        <x:v>51</x:v>
      </x:c>
    </x:row>
    <x:row r="515">
      <x:c r="A515" s="4" t="s">
        <x:v>1542</x:v>
      </x:c>
      <x:c r="B515" s="4" t="s">
        <x:v>1543</x:v>
      </x:c>
      <x:c r="C515" s="4" t="s">
        <x:v>1544</x:v>
      </x:c>
      <x:c r="D515" s="8">
        <x:v>26</x:v>
      </x:c>
      <x:c r="E515" s="8">
        <x:v>22</x:v>
      </x:c>
      <x:c r="F515" s="8">
        <x:v>27</x:v>
      </x:c>
      <x:c r="G515" s="8">
        <x:v>23</x:v>
      </x:c>
      <x:c r="H515" s="8">
        <x:v>32</x:v>
      </x:c>
      <x:c r="I515" s="6"/>
      <x:c r="J515" s="8">
        <x:v>47</x:v>
      </x:c>
      <x:c r="K515" s="8">
        <x:v>2</x:v>
      </x:c>
      <x:c r="L515" s="8">
        <x:v>2</x:v>
      </x:c>
      <x:c r="M515" s="8">
        <x:v>22</x:v>
      </x:c>
      <x:c r="N515" s="8">
        <x:v>20</x:v>
      </x:c>
      <x:c r="O515" s="8">
        <x:v>42</x:v>
      </x:c>
      <x:c r="P515" s="8">
        <x:v>4</x:v>
      </x:c>
      <x:c r="Q515" s="10">
        <x:v>0.8387</x:v>
      </x:c>
      <x:c r="R515" s="10">
        <x:v>0.7097</x:v>
      </x:c>
      <x:c r="S515" s="10">
        <x:v>0.7826</x:v>
      </x:c>
      <x:c r="T515" s="10">
        <x:v>0.7419</x:v>
      </x:c>
      <x:c r="U515" s="10">
        <x:v>1.0667</x:v>
      </x:c>
      <x:c r="V515" s="10">
        <x:v>0</x:v>
      </x:c>
      <x:c r="W515" s="10">
        <x:v>1.8952</x:v>
      </x:c>
      <x:c r="X515" s="10">
        <x:v>0.084</x:v>
      </x:c>
      <x:c r="Y515" s="10">
        <x:v>0.0587</x:v>
      </x:c>
      <x:c r="Z515" s="10">
        <x:v>0.8148</x:v>
      </x:c>
      <x:c r="AA515" s="10">
        <x:v>0.6144</x:v>
      </x:c>
      <x:c r="AB515" s="10">
        <x:v>1.2174</x:v>
      </x:c>
      <x:c r="AC515" s="13">
        <x:v>0.129</x:v>
      </x:c>
      <x:c r="AD515" s="10">
        <x:v>0.7353</x:v>
      </x:c>
      <x:c r="AE515" s="10">
        <x:v>0.7353</x:v>
      </x:c>
      <x:c r="AF515" s="2" t="s">
        <x:v>35</x:v>
      </x:c>
    </x:row>
    <x:row r="516">
      <x:c r="A516" s="4" t="s">
        <x:v>1545</x:v>
      </x:c>
      <x:c r="B516" s="4" t="s">
        <x:v>1546</x:v>
      </x:c>
      <x:c r="C516" s="4" t="s">
        <x:v>1547</x:v>
      </x:c>
      <x:c r="D516" s="8">
        <x:v>17</x:v>
      </x:c>
      <x:c r="E516" s="8">
        <x:v>5</x:v>
      </x:c>
      <x:c r="F516" s="6"/>
      <x:c r="G516" s="6"/>
      <x:c r="H516" s="8">
        <x:v>9</x:v>
      </x:c>
      <x:c r="I516" s="8">
        <x:v>2</x:v>
      </x:c>
      <x:c r="J516" s="8">
        <x:v>8</x:v>
      </x:c>
      <x:c r="K516" s="8">
        <x:v>14</x:v>
      </x:c>
      <x:c r="L516" s="8">
        <x:v>12</x:v>
      </x:c>
      <x:c r="M516" s="6"/>
      <x:c r="N516" s="8">
        <x:v>4</x:v>
      </x:c>
      <x:c r="O516" s="6"/>
      <x:c r="P516" s="8">
        <x:v>21</x:v>
      </x:c>
      <x:c r="Q516" s="10">
        <x:v>0.5484</x:v>
      </x:c>
      <x:c r="R516" s="19">
        <x:v>0.8333</x:v>
      </x:c>
      <x:c r="S516" s="22">
        <x:v>0</x:v>
      </x:c>
      <x:c r="T516" s="19">
        <x:v>0</x:v>
      </x:c>
      <x:c r="U516" s="10">
        <x:v>0.3</x:v>
      </x:c>
      <x:c r="V516" s="10">
        <x:v>0.0645</x:v>
      </x:c>
      <x:c r="W516" s="19">
        <x:v>1</x:v>
      </x:c>
      <x:c r="X516" s="10">
        <x:v>0.5882</x:v>
      </x:c>
      <x:c r="Y516" s="19">
        <x:v>0.9091</x:v>
      </x:c>
      <x:c r="Z516" s="22">
        <x:v>0</x:v>
      </x:c>
      <x:c r="AA516" s="19">
        <x:v>0.127</x:v>
      </x:c>
      <x:c r="AB516" s="10">
        <x:v>0</x:v>
      </x:c>
      <x:c r="AC516" s="16">
        <x:v>0.8077</x:v>
      </x:c>
      <x:c r="AD516" s="10">
        <x:v>0.3002</x:v>
      </x:c>
      <x:c r="AE516" s="10">
        <x:v>0.3002</x:v>
      </x:c>
      <x:c r="AF516" s="2" t="s">
        <x:v>35</x:v>
      </x:c>
    </x:row>
    <x:row r="517">
      <x:c r="A517" s="4" t="s">
        <x:v>1548</x:v>
      </x:c>
      <x:c r="B517" s="4" t="s">
        <x:v>1549</x:v>
      </x:c>
      <x:c r="C517" s="4" t="s">
        <x:v>1550</x:v>
      </x:c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22">
        <x:v>0</x:v>
      </x:c>
      <x:c r="R517" s="22">
        <x:v>0</x:v>
      </x:c>
      <x:c r="S517" s="22">
        <x:v>0</x:v>
      </x:c>
      <x:c r="T517" s="22">
        <x:v>0</x:v>
      </x:c>
      <x:c r="U517" s="22">
        <x:v>0</x:v>
      </x:c>
      <x:c r="V517" s="22">
        <x:v>0</x:v>
      </x:c>
      <x:c r="W517" s="22">
        <x:v>0</x:v>
      </x:c>
      <x:c r="X517" s="22">
        <x:v>0</x:v>
      </x:c>
      <x:c r="Y517" s="22">
        <x:v>0</x:v>
      </x:c>
      <x:c r="Z517" s="22">
        <x:v>0</x:v>
      </x:c>
      <x:c r="AA517" s="22">
        <x:v>0</x:v>
      </x:c>
      <x:c r="AB517" s="22">
        <x:v>0</x:v>
      </x:c>
      <x:c r="AC517" s="16">
        <x:v>0</x:v>
      </x:c>
      <x:c r="AF517" s="2" t="s">
        <x:v>35</x:v>
      </x:c>
    </x:row>
    <x:row r="518">
      <x:c r="A518" s="4" t="s">
        <x:v>1551</x:v>
      </x:c>
      <x:c r="B518" s="4" t="s">
        <x:v>381</x:v>
      </x:c>
      <x:c r="C518" s="4" t="s">
        <x:v>1552</x:v>
      </x:c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22">
        <x:v>0</x:v>
      </x:c>
      <x:c r="R518" s="22">
        <x:v>0</x:v>
      </x:c>
      <x:c r="S518" s="22">
        <x:v>0</x:v>
      </x:c>
      <x:c r="T518" s="22">
        <x:v>0</x:v>
      </x:c>
      <x:c r="U518" s="22">
        <x:v>0</x:v>
      </x:c>
      <x:c r="V518" s="22">
        <x:v>0</x:v>
      </x:c>
      <x:c r="W518" s="22">
        <x:v>0</x:v>
      </x:c>
      <x:c r="X518" s="22">
        <x:v>0</x:v>
      </x:c>
      <x:c r="Y518" s="22">
        <x:v>0</x:v>
      </x:c>
      <x:c r="Z518" s="22">
        <x:v>0</x:v>
      </x:c>
      <x:c r="AA518" s="22">
        <x:v>0</x:v>
      </x:c>
      <x:c r="AB518" s="22">
        <x:v>0</x:v>
      </x:c>
      <x:c r="AC518" s="16">
        <x:v>0</x:v>
      </x:c>
      <x:c r="AF518" s="2" t="s">
        <x:v>35</x:v>
      </x:c>
    </x:row>
    <x:row r="519">
      <x:c r="A519" s="4" t="s">
        <x:v>1553</x:v>
      </x:c>
      <x:c r="B519" s="4" t="s">
        <x:v>393</x:v>
      </x:c>
      <x:c r="C519" s="4" t="s">
        <x:v>1554</x:v>
      </x:c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22">
        <x:v>0</x:v>
      </x:c>
      <x:c r="R519" s="22">
        <x:v>0</x:v>
      </x:c>
      <x:c r="S519" s="22">
        <x:v>0</x:v>
      </x:c>
      <x:c r="T519" s="22">
        <x:v>0</x:v>
      </x:c>
      <x:c r="U519" s="22">
        <x:v>0</x:v>
      </x:c>
      <x:c r="V519" s="22">
        <x:v>0</x:v>
      </x:c>
      <x:c r="W519" s="22">
        <x:v>0</x:v>
      </x:c>
      <x:c r="X519" s="22">
        <x:v>0</x:v>
      </x:c>
      <x:c r="Y519" s="22">
        <x:v>0</x:v>
      </x:c>
      <x:c r="Z519" s="22">
        <x:v>0</x:v>
      </x:c>
      <x:c r="AA519" s="22">
        <x:v>0</x:v>
      </x:c>
      <x:c r="AB519" s="22">
        <x:v>0</x:v>
      </x:c>
      <x:c r="AC519" s="16">
        <x:v>0</x:v>
      </x:c>
      <x:c r="AF519" s="2" t="s">
        <x:v>51</x:v>
      </x:c>
    </x:row>
    <x:row r="520">
      <x:c r="A520" s="4" t="s">
        <x:v>1555</x:v>
      </x:c>
      <x:c r="B520" s="4" t="s">
        <x:v>1556</x:v>
      </x:c>
      <x:c r="C520" s="4" t="s">
        <x:v>1557</x:v>
      </x:c>
      <x:c r="D520" s="8">
        <x:v>145</x:v>
      </x:c>
      <x:c r="E520" s="8">
        <x:v>72</x:v>
      </x:c>
      <x:c r="F520" s="8">
        <x:v>56</x:v>
      </x:c>
      <x:c r="G520" s="8">
        <x:v>99</x:v>
      </x:c>
      <x:c r="H520" s="8">
        <x:v>75</x:v>
      </x:c>
      <x:c r="I520" s="8">
        <x:v>105</x:v>
      </x:c>
      <x:c r="J520" s="8">
        <x:v>4</x:v>
      </x:c>
      <x:c r="K520" s="8">
        <x:v>53</x:v>
      </x:c>
      <x:c r="L520" s="8">
        <x:v>80</x:v>
      </x:c>
      <x:c r="M520" s="8">
        <x:v>84</x:v>
      </x:c>
      <x:c r="N520" s="8">
        <x:v>80</x:v>
      </x:c>
      <x:c r="O520" s="8">
        <x:v>259</x:v>
      </x:c>
      <x:c r="P520" s="8">
        <x:v>57</x:v>
      </x:c>
      <x:c r="Q520" s="10">
        <x:v>4.6774</x:v>
      </x:c>
      <x:c r="R520" s="10">
        <x:v>2.3226</x:v>
      </x:c>
      <x:c r="S520" s="10">
        <x:v>1.6232</x:v>
      </x:c>
      <x:c r="T520" s="10">
        <x:v>3.1935</x:v>
      </x:c>
      <x:c r="U520" s="10">
        <x:v>2.5</x:v>
      </x:c>
      <x:c r="V520" s="10">
        <x:v>3.3871</x:v>
      </x:c>
      <x:c r="W520" s="10">
        <x:v>0.1613</x:v>
      </x:c>
      <x:c r="X520" s="10">
        <x:v>2.2269</x:v>
      </x:c>
      <x:c r="Y520" s="10">
        <x:v>2.346</x:v>
      </x:c>
      <x:c r="Z520" s="10">
        <x:v>3.1111</x:v>
      </x:c>
      <x:c r="AA520" s="10">
        <x:v>2.4578</x:v>
      </x:c>
      <x:c r="AB520" s="10">
        <x:v>7.5072</x:v>
      </x:c>
      <x:c r="AC520" s="13">
        <x:v>1.8387</x:v>
      </x:c>
      <x:c r="AD520" s="10">
        <x:v>2.9595</x:v>
      </x:c>
      <x:c r="AE520" s="10">
        <x:v>2.9595</x:v>
      </x:c>
      <x:c r="AF520" s="2" t="s">
        <x:v>35</x:v>
      </x:c>
    </x:row>
    <x:row r="521">
      <x:c r="A521" s="4" t="s">
        <x:v>1558</x:v>
      </x:c>
      <x:c r="B521" s="4" t="s">
        <x:v>399</x:v>
      </x:c>
      <x:c r="C521" s="4" t="s">
        <x:v>1559</x:v>
      </x:c>
      <x:c r="D521" s="6"/>
      <x:c r="E521" s="6"/>
      <x:c r="F521" s="6"/>
      <x:c r="G521" s="8">
        <x:v>1</x:v>
      </x:c>
      <x:c r="H521" s="8">
        <x:v>4</x:v>
      </x:c>
      <x:c r="I521" s="6"/>
      <x:c r="J521" s="6"/>
      <x:c r="K521" s="6"/>
      <x:c r="L521" s="6"/>
      <x:c r="M521" s="6"/>
      <x:c r="N521" s="6"/>
      <x:c r="O521" s="8">
        <x:v>1</x:v>
      </x:c>
      <x:c r="P521" s="6"/>
      <x:c r="Q521" s="10">
        <x:v>0</x:v>
      </x:c>
      <x:c r="R521" s="10">
        <x:v>0</x:v>
      </x:c>
      <x:c r="S521" s="10">
        <x:v>0</x:v>
      </x:c>
      <x:c r="T521" s="10">
        <x:v>0.0323</x:v>
      </x:c>
      <x:c r="U521" s="10">
        <x:v>0.1333</x:v>
      </x:c>
      <x:c r="V521" s="10">
        <x:v>0</x:v>
      </x:c>
      <x:c r="W521" s="10">
        <x:v>0</x:v>
      </x:c>
      <x:c r="X521" s="10">
        <x:v>0</x:v>
      </x:c>
      <x:c r="Y521" s="10">
        <x:v>0</x:v>
      </x:c>
      <x:c r="Z521" s="10">
        <x:v>0</x:v>
      </x:c>
      <x:c r="AA521" s="10">
        <x:v>0</x:v>
      </x:c>
      <x:c r="AB521" s="10">
        <x:v>0.029</x:v>
      </x:c>
      <x:c r="AC521" s="13">
        <x:v>0</x:v>
      </x:c>
      <x:c r="AD521" s="10">
        <x:v>0.0162</x:v>
      </x:c>
      <x:c r="AE521" s="10">
        <x:v>0.0162</x:v>
      </x:c>
      <x:c r="AF521" s="2" t="s">
        <x:v>35</x:v>
      </x:c>
    </x:row>
    <x:row r="522">
      <x:c r="A522" s="4" t="s">
        <x:v>1560</x:v>
      </x:c>
      <x:c r="B522" s="4" t="s">
        <x:v>1561</x:v>
      </x:c>
      <x:c r="C522" s="4" t="s">
        <x:v>1562</x:v>
      </x:c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22">
        <x:v>0</x:v>
      </x:c>
      <x:c r="R522" s="22">
        <x:v>0</x:v>
      </x:c>
      <x:c r="S522" s="22">
        <x:v>0</x:v>
      </x:c>
      <x:c r="T522" s="22">
        <x:v>0</x:v>
      </x:c>
      <x:c r="U522" s="22">
        <x:v>0</x:v>
      </x:c>
      <x:c r="V522" s="22">
        <x:v>0</x:v>
      </x:c>
      <x:c r="W522" s="22">
        <x:v>0</x:v>
      </x:c>
      <x:c r="X522" s="22">
        <x:v>0</x:v>
      </x:c>
      <x:c r="Y522" s="22">
        <x:v>0</x:v>
      </x:c>
      <x:c r="Z522" s="22">
        <x:v>0</x:v>
      </x:c>
      <x:c r="AA522" s="22">
        <x:v>0</x:v>
      </x:c>
      <x:c r="AB522" s="22">
        <x:v>0</x:v>
      </x:c>
      <x:c r="AC522" s="16">
        <x:v>0</x:v>
      </x:c>
      <x:c r="AF522" s="2" t="s">
        <x:v>35</x:v>
      </x:c>
    </x:row>
    <x:row r="523">
      <x:c r="A523" s="4" t="s">
        <x:v>1563</x:v>
      </x:c>
      <x:c r="B523" s="4" t="s">
        <x:v>1564</x:v>
      </x:c>
      <x:c r="C523" s="4" t="s">
        <x:v>1565</x:v>
      </x:c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22">
        <x:v>0</x:v>
      </x:c>
      <x:c r="R523" s="22">
        <x:v>0</x:v>
      </x:c>
      <x:c r="S523" s="22">
        <x:v>0</x:v>
      </x:c>
      <x:c r="T523" s="22">
        <x:v>0</x:v>
      </x:c>
      <x:c r="U523" s="22">
        <x:v>0</x:v>
      </x:c>
      <x:c r="V523" s="22">
        <x:v>0</x:v>
      </x:c>
      <x:c r="W523" s="22">
        <x:v>0</x:v>
      </x:c>
      <x:c r="X523" s="22">
        <x:v>0</x:v>
      </x:c>
      <x:c r="Y523" s="22">
        <x:v>0</x:v>
      </x:c>
      <x:c r="Z523" s="22">
        <x:v>0</x:v>
      </x:c>
      <x:c r="AA523" s="22">
        <x:v>0</x:v>
      </x:c>
      <x:c r="AB523" s="22">
        <x:v>0</x:v>
      </x:c>
      <x:c r="AC523" s="16">
        <x:v>0</x:v>
      </x:c>
      <x:c r="AF523" s="2" t="s">
        <x:v>51</x:v>
      </x:c>
    </x:row>
    <x:row r="524">
      <x:c r="A524" s="4" t="s">
        <x:v>1566</x:v>
      </x:c>
      <x:c r="B524" s="4" t="s">
        <x:v>1567</x:v>
      </x:c>
      <x:c r="C524" s="4" t="s">
        <x:v>1568</x:v>
      </x:c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22">
        <x:v>0</x:v>
      </x:c>
      <x:c r="R524" s="22">
        <x:v>0</x:v>
      </x:c>
      <x:c r="S524" s="22">
        <x:v>0</x:v>
      </x:c>
      <x:c r="T524" s="22">
        <x:v>0</x:v>
      </x:c>
      <x:c r="U524" s="22">
        <x:v>0</x:v>
      </x:c>
      <x:c r="V524" s="22">
        <x:v>0</x:v>
      </x:c>
      <x:c r="W524" s="22">
        <x:v>0</x:v>
      </x:c>
      <x:c r="X524" s="22">
        <x:v>0</x:v>
      </x:c>
      <x:c r="Y524" s="22">
        <x:v>0</x:v>
      </x:c>
      <x:c r="Z524" s="22">
        <x:v>0</x:v>
      </x:c>
      <x:c r="AA524" s="22">
        <x:v>0</x:v>
      </x:c>
      <x:c r="AB524" s="22">
        <x:v>0</x:v>
      </x:c>
      <x:c r="AC524" s="16">
        <x:v>0</x:v>
      </x:c>
      <x:c r="AF524" s="2" t="s">
        <x:v>35</x:v>
      </x:c>
    </x:row>
    <x:row r="525">
      <x:c r="A525" s="4" t="s">
        <x:v>1569</x:v>
      </x:c>
      <x:c r="B525" s="4" t="s">
        <x:v>1570</x:v>
      </x:c>
      <x:c r="C525" s="4" t="s">
        <x:v>1571</x:v>
      </x:c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22">
        <x:v>0</x:v>
      </x:c>
      <x:c r="R525" s="22">
        <x:v>0</x:v>
      </x:c>
      <x:c r="S525" s="22">
        <x:v>0</x:v>
      </x:c>
      <x:c r="T525" s="22">
        <x:v>0</x:v>
      </x:c>
      <x:c r="U525" s="22">
        <x:v>0</x:v>
      </x:c>
      <x:c r="V525" s="22">
        <x:v>0</x:v>
      </x:c>
      <x:c r="W525" s="22">
        <x:v>0</x:v>
      </x:c>
      <x:c r="X525" s="22">
        <x:v>0</x:v>
      </x:c>
      <x:c r="Y525" s="22">
        <x:v>0</x:v>
      </x:c>
      <x:c r="Z525" s="22">
        <x:v>0</x:v>
      </x:c>
      <x:c r="AA525" s="22">
        <x:v>0</x:v>
      </x:c>
      <x:c r="AB525" s="22">
        <x:v>0</x:v>
      </x:c>
      <x:c r="AC525" s="16">
        <x:v>0</x:v>
      </x:c>
      <x:c r="AF525" s="2" t="s">
        <x:v>51</x:v>
      </x:c>
    </x:row>
    <x:row r="526">
      <x:c r="A526" s="4" t="s">
        <x:v>1572</x:v>
      </x:c>
      <x:c r="B526" s="4" t="s">
        <x:v>1573</x:v>
      </x:c>
      <x:c r="C526" s="4" t="s">
        <x:v>1574</x:v>
      </x:c>
      <x:c r="D526" s="8">
        <x:v>15</x:v>
      </x:c>
      <x:c r="E526" s="8">
        <x:v>42</x:v>
      </x:c>
      <x:c r="F526" s="8">
        <x:v>21</x:v>
      </x:c>
      <x:c r="G526" s="8">
        <x:v>7</x:v>
      </x:c>
      <x:c r="H526" s="8">
        <x:v>20</x:v>
      </x:c>
      <x:c r="I526" s="6"/>
      <x:c r="J526" s="8">
        <x:v>2</x:v>
      </x:c>
      <x:c r="K526" s="8">
        <x:v>7</x:v>
      </x:c>
      <x:c r="L526" s="8">
        <x:v>22</x:v>
      </x:c>
      <x:c r="M526" s="8">
        <x:v>1</x:v>
      </x:c>
      <x:c r="N526" s="8">
        <x:v>12</x:v>
      </x:c>
      <x:c r="O526" s="8">
        <x:v>55</x:v>
      </x:c>
      <x:c r="P526" s="8">
        <x:v>21</x:v>
      </x:c>
      <x:c r="Q526" s="10">
        <x:v>0.4839</x:v>
      </x:c>
      <x:c r="R526" s="10">
        <x:v>1.3548</x:v>
      </x:c>
      <x:c r="S526" s="10">
        <x:v>0.6087</x:v>
      </x:c>
      <x:c r="T526" s="10">
        <x:v>0.2258</x:v>
      </x:c>
      <x:c r="U526" s="10">
        <x:v>0.6667</x:v>
      </x:c>
      <x:c r="V526" s="10">
        <x:v>0</x:v>
      </x:c>
      <x:c r="W526" s="10">
        <x:v>0.0806</x:v>
      </x:c>
      <x:c r="X526" s="10">
        <x:v>0.2941</x:v>
      </x:c>
      <x:c r="Y526" s="10">
        <x:v>0.6452</x:v>
      </x:c>
      <x:c r="Z526" s="10">
        <x:v>0.037</x:v>
      </x:c>
      <x:c r="AA526" s="10">
        <x:v>0.3687</x:v>
      </x:c>
      <x:c r="AB526" s="10">
        <x:v>1.5942</x:v>
      </x:c>
      <x:c r="AC526" s="13">
        <x:v>0.6774</x:v>
      </x:c>
      <x:c r="AD526" s="10">
        <x:v>0.53</x:v>
      </x:c>
      <x:c r="AE526" s="10">
        <x:v>0.53</x:v>
      </x:c>
      <x:c r="AF526" s="2" t="s">
        <x:v>35</x:v>
      </x:c>
    </x:row>
    <x:row r="527">
      <x:c r="A527" s="4" t="s">
        <x:v>1575</x:v>
      </x:c>
      <x:c r="B527" s="4" t="s">
        <x:v>1576</x:v>
      </x:c>
      <x:c r="C527" s="4" t="s">
        <x:v>1539</x:v>
      </x:c>
      <x:c r="D527" s="8">
        <x:v>43</x:v>
      </x:c>
      <x:c r="E527" s="8">
        <x:v>56</x:v>
      </x:c>
      <x:c r="F527" s="8">
        <x:v>94</x:v>
      </x:c>
      <x:c r="G527" s="8">
        <x:v>69</x:v>
      </x:c>
      <x:c r="H527" s="8">
        <x:v>146</x:v>
      </x:c>
      <x:c r="I527" s="8">
        <x:v>28</x:v>
      </x:c>
      <x:c r="J527" s="8">
        <x:v>52</x:v>
      </x:c>
      <x:c r="K527" s="8">
        <x:v>68</x:v>
      </x:c>
      <x:c r="L527" s="8">
        <x:v>54</x:v>
      </x:c>
      <x:c r="M527" s="8">
        <x:v>56</x:v>
      </x:c>
      <x:c r="N527" s="8">
        <x:v>87</x:v>
      </x:c>
      <x:c r="O527" s="8">
        <x:v>98</x:v>
      </x:c>
      <x:c r="P527" s="8">
        <x:v>6</x:v>
      </x:c>
      <x:c r="Q527" s="10">
        <x:v>1.3871</x:v>
      </x:c>
      <x:c r="R527" s="10">
        <x:v>1.8065</x:v>
      </x:c>
      <x:c r="S527" s="10">
        <x:v>2.7246</x:v>
      </x:c>
      <x:c r="T527" s="10">
        <x:v>2.2258</x:v>
      </x:c>
      <x:c r="U527" s="10">
        <x:v>4.8667</x:v>
      </x:c>
      <x:c r="V527" s="10">
        <x:v>0.9032</x:v>
      </x:c>
      <x:c r="W527" s="10">
        <x:v>2.0968</x:v>
      </x:c>
      <x:c r="X527" s="10">
        <x:v>2.8571</x:v>
      </x:c>
      <x:c r="Y527" s="10">
        <x:v>1.5836</x:v>
      </x:c>
      <x:c r="Z527" s="10">
        <x:v>2.0741</x:v>
      </x:c>
      <x:c r="AA527" s="10">
        <x:v>2.6728</x:v>
      </x:c>
      <x:c r="AB527" s="10">
        <x:v>2.8406</x:v>
      </x:c>
      <x:c r="AC527" s="13">
        <x:v>0.1935</x:v>
      </x:c>
      <x:c r="AD527" s="10">
        <x:v>2.3366</x:v>
      </x:c>
      <x:c r="AE527" s="10">
        <x:v>2.3366</x:v>
      </x:c>
      <x:c r="AF527" s="2" t="s">
        <x:v>35</x:v>
      </x:c>
    </x:row>
    <x:row r="528">
      <x:c r="A528" s="4" t="s">
        <x:v>1577</x:v>
      </x:c>
      <x:c r="B528" s="4" t="s">
        <x:v>1578</x:v>
      </x:c>
      <x:c r="C528" s="4" t="s">
        <x:v>1554</x:v>
      </x:c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22">
        <x:v>0</x:v>
      </x:c>
      <x:c r="R528" s="22">
        <x:v>0</x:v>
      </x:c>
      <x:c r="S528" s="22">
        <x:v>0</x:v>
      </x:c>
      <x:c r="T528" s="22">
        <x:v>0</x:v>
      </x:c>
      <x:c r="U528" s="22">
        <x:v>0</x:v>
      </x:c>
      <x:c r="V528" s="22">
        <x:v>0</x:v>
      </x:c>
      <x:c r="W528" s="22">
        <x:v>0</x:v>
      </x:c>
      <x:c r="X528" s="22">
        <x:v>0</x:v>
      </x:c>
      <x:c r="Y528" s="22">
        <x:v>0</x:v>
      </x:c>
      <x:c r="Z528" s="22">
        <x:v>0</x:v>
      </x:c>
      <x:c r="AA528" s="22">
        <x:v>0</x:v>
      </x:c>
      <x:c r="AB528" s="22">
        <x:v>0</x:v>
      </x:c>
      <x:c r="AC528" s="16">
        <x:v>0</x:v>
      </x:c>
      <x:c r="AF528" s="2" t="s">
        <x:v>35</x:v>
      </x:c>
    </x:row>
    <x:row r="529">
      <x:c r="A529" s="4" t="s">
        <x:v>1579</x:v>
      </x:c>
      <x:c r="B529" s="4" t="s">
        <x:v>1580</x:v>
      </x:c>
      <x:c r="C529" s="4" t="s">
        <x:v>1541</x:v>
      </x:c>
      <x:c r="D529" s="8">
        <x:v>5</x:v>
      </x:c>
      <x:c r="E529" s="8">
        <x:v>7</x:v>
      </x:c>
      <x:c r="F529" s="8">
        <x:v>40</x:v>
      </x:c>
      <x:c r="G529" s="8">
        <x:v>45</x:v>
      </x:c>
      <x:c r="H529" s="8">
        <x:v>2</x:v>
      </x:c>
      <x:c r="I529" s="8">
        <x:v>43</x:v>
      </x:c>
      <x:c r="J529" s="8">
        <x:v>1</x:v>
      </x:c>
      <x:c r="K529" s="8">
        <x:v>27</x:v>
      </x:c>
      <x:c r="L529" s="8">
        <x:v>27</x:v>
      </x:c>
      <x:c r="M529" s="8">
        <x:v>26</x:v>
      </x:c>
      <x:c r="N529" s="8">
        <x:v>41</x:v>
      </x:c>
      <x:c r="O529" s="8">
        <x:v>52</x:v>
      </x:c>
      <x:c r="P529" s="8">
        <x:v>2</x:v>
      </x:c>
      <x:c r="Q529" s="10">
        <x:v>0.1613</x:v>
      </x:c>
      <x:c r="R529" s="10">
        <x:v>0.2258</x:v>
      </x:c>
      <x:c r="S529" s="10">
        <x:v>1.1594</x:v>
      </x:c>
      <x:c r="T529" s="10">
        <x:v>1.4516</x:v>
      </x:c>
      <x:c r="U529" s="10">
        <x:v>0.0667</x:v>
      </x:c>
      <x:c r="V529" s="10">
        <x:v>1.3871</x:v>
      </x:c>
      <x:c r="W529" s="10">
        <x:v>0.0403</x:v>
      </x:c>
      <x:c r="X529" s="10">
        <x:v>1.1345</x:v>
      </x:c>
      <x:c r="Y529" s="10">
        <x:v>0.7918</x:v>
      </x:c>
      <x:c r="Z529" s="10">
        <x:v>0.963</x:v>
      </x:c>
      <x:c r="AA529" s="10">
        <x:v>1.2596</x:v>
      </x:c>
      <x:c r="AB529" s="10">
        <x:v>1.5072</x:v>
      </x:c>
      <x:c r="AC529" s="13">
        <x:v>0.0645</x:v>
      </x:c>
      <x:c r="AD529" s="10">
        <x:v>0.8457</x:v>
      </x:c>
      <x:c r="AE529" s="10">
        <x:v>0.8457</x:v>
      </x:c>
      <x:c r="AF529" s="2" t="s">
        <x:v>35</x:v>
      </x:c>
    </x:row>
    <x:row r="530">
      <x:c r="A530" s="4" t="s">
        <x:v>1581</x:v>
      </x:c>
      <x:c r="B530" s="4" t="s">
        <x:v>1582</x:v>
      </x:c>
      <x:c r="C530" s="4" t="s">
        <x:v>1583</x:v>
      </x:c>
      <x:c r="D530" s="8">
        <x:v>26</x:v>
      </x:c>
      <x:c r="E530" s="8">
        <x:v>47</x:v>
      </x:c>
      <x:c r="F530" s="8">
        <x:v>23</x:v>
      </x:c>
      <x:c r="G530" s="8">
        <x:v>75</x:v>
      </x:c>
      <x:c r="H530" s="8">
        <x:v>37</x:v>
      </x:c>
      <x:c r="I530" s="8">
        <x:v>114</x:v>
      </x:c>
      <x:c r="J530" s="8">
        <x:v>9</x:v>
      </x:c>
      <x:c r="K530" s="8">
        <x:v>19</x:v>
      </x:c>
      <x:c r="L530" s="8">
        <x:v>102</x:v>
      </x:c>
      <x:c r="M530" s="8">
        <x:v>4</x:v>
      </x:c>
      <x:c r="N530" s="8">
        <x:v>75</x:v>
      </x:c>
      <x:c r="O530" s="8">
        <x:v>65</x:v>
      </x:c>
      <x:c r="P530" s="8">
        <x:v>15</x:v>
      </x:c>
      <x:c r="Q530" s="10">
        <x:v>0.8387</x:v>
      </x:c>
      <x:c r="R530" s="10">
        <x:v>1.5161</x:v>
      </x:c>
      <x:c r="S530" s="10">
        <x:v>0.6667</x:v>
      </x:c>
      <x:c r="T530" s="10">
        <x:v>2.4194</x:v>
      </x:c>
      <x:c r="U530" s="10">
        <x:v>1.2333</x:v>
      </x:c>
      <x:c r="V530" s="10">
        <x:v>3.6774</x:v>
      </x:c>
      <x:c r="W530" s="10">
        <x:v>0.3629</x:v>
      </x:c>
      <x:c r="X530" s="10">
        <x:v>0.7983</x:v>
      </x:c>
      <x:c r="Y530" s="10">
        <x:v>2.9912</x:v>
      </x:c>
      <x:c r="Z530" s="19">
        <x:v>0.3175</x:v>
      </x:c>
      <x:c r="AA530" s="19">
        <x:v>2.381</x:v>
      </x:c>
      <x:c r="AB530" s="10">
        <x:v>1.8841</x:v>
      </x:c>
      <x:c r="AC530" s="13">
        <x:v>0.4839</x:v>
      </x:c>
      <x:c r="AD530" s="10">
        <x:v>1.6388</x:v>
      </x:c>
      <x:c r="AE530" s="10">
        <x:v>1.6388</x:v>
      </x:c>
      <x:c r="AF530" s="2" t="s">
        <x:v>35</x:v>
      </x:c>
    </x:row>
    <x:row r="531">
      <x:c r="A531" s="4" t="s">
        <x:v>1584</x:v>
      </x:c>
      <x:c r="B531" s="4" t="s">
        <x:v>1585</x:v>
      </x:c>
      <x:c r="C531" s="4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22">
        <x:v>0</x:v>
      </x:c>
      <x:c r="R531" s="22">
        <x:v>0</x:v>
      </x:c>
      <x:c r="S531" s="22">
        <x:v>0</x:v>
      </x:c>
      <x:c r="T531" s="22">
        <x:v>0</x:v>
      </x:c>
      <x:c r="U531" s="22">
        <x:v>0</x:v>
      </x:c>
      <x:c r="V531" s="22">
        <x:v>0</x:v>
      </x:c>
      <x:c r="W531" s="22">
        <x:v>0</x:v>
      </x:c>
      <x:c r="X531" s="22">
        <x:v>0</x:v>
      </x:c>
      <x:c r="Y531" s="22">
        <x:v>0</x:v>
      </x:c>
      <x:c r="Z531" s="22">
        <x:v>0</x:v>
      </x:c>
      <x:c r="AA531" s="22">
        <x:v>0</x:v>
      </x:c>
      <x:c r="AB531" s="22">
        <x:v>0</x:v>
      </x:c>
      <x:c r="AC531" s="28">
        <x:v>0</x:v>
      </x:c>
      <x:c r="AF531" s="2" t="s">
        <x:v>35</x:v>
      </x:c>
    </x:row>
  </x:sheetData>
  <x:legacyDrawing r:id="Ra9e5d35c74594b9d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AP500"/>
  <x:sheetViews>
    <x:sheetView tabSelected="1" workbookViewId="0"/>
  </x:sheetViews>
  <x:sheetFormatPr defaultRowHeight="15"/>
  <x:cols>
    <x:col min="1" max="1" width="12" customWidth="1"/>
    <x:col min="2" max="2" width="45" customWidth="1"/>
    <x:col min="3" max="4" width="12" customWidth="1"/>
    <x:col min="5" max="5" width="1" customWidth="1"/>
    <x:col min="6" max="7" width="12" customWidth="1"/>
    <x:col min="8" max="8" width="1" customWidth="1"/>
    <x:col min="9" max="9" width="12" customWidth="1"/>
    <x:col min="10" max="10" width="6" customWidth="1"/>
    <x:col min="11" max="14" width="12" customWidth="1"/>
    <x:col min="15" max="16" width="1" customWidth="1"/>
    <x:col min="17" max="22" width="12" customWidth="1"/>
    <x:col min="23" max="24" width="1" customWidth="1"/>
    <x:col min="25" max="26" width="12" customWidth="1"/>
    <x:col min="27" max="27" width="1" customWidth="1"/>
    <x:col min="28" max="31" width="12" customWidth="1"/>
    <x:col min="32" max="33" width="1" customWidth="1"/>
    <x:col min="34" max="37" width="12" customWidth="1"/>
    <x:col min="38" max="39" width="1" customWidth="1"/>
    <x:col min="40" max="42" width="12" customWidth="1"/>
  </x:cols>
  <x:sheetData>
    <x:row r="1">
      <x:c r="A1" s="2" t="s">
        <x:v>1586</x:v>
      </x:c>
      <x:c r="B1" s="29">
        <x:v>46313</x:v>
      </x:c>
      <x:c r="D1" s="2" t="s">
        <x:v>1587</x:v>
      </x:c>
      <x:c r="E1" s="7">
        <x:v>180</x:v>
      </x:c>
      <x:c r="G1" s="2" t="s">
        <x:v>1588</x:v>
      </x:c>
      <x:c r="H1" s="7">
        <x:v>90</x:v>
      </x:c>
      <x:c r="J1" s="2" t="s">
        <x:v>1589</x:v>
      </x:c>
      <x:c r="K1" s="30">
        <x:v>7</x:v>
      </x:c>
      <x:c r="L1" s="30">
        <x:v>1</x:v>
      </x:c>
    </x:row>
    <x:row r="3">
      <x:c r="I3" s="34" t="s">
        <x:v>1596</x:v>
      </x:c>
      <x:c r="AH3" s="37" t="s">
        <x:v>1622</x:v>
      </x:c>
    </x:row>
    <x:row r="4">
      <x:c r="A4" s="3" t="s">
        <x:v>2</x:v>
      </x:c>
      <x:c r="B4" s="3" t="s">
        <x:v>1</x:v>
      </x:c>
      <x:c r="C4" s="3" t="s">
        <x:v>1590</x:v>
      </x:c>
      <x:c r="D4" s="3" t="s">
        <x:v>1591</x:v>
      </x:c>
      <x:c r="E4" s="3" t="s">
        <x:v>1592</x:v>
      </x:c>
      <x:c r="F4" s="3" t="s">
        <x:v>1593</x:v>
      </x:c>
      <x:c r="G4" s="3" t="s">
        <x:v>1594</x:v>
      </x:c>
      <x:c r="H4" s="3" t="s">
        <x:v>1595</x:v>
      </x:c>
      <x:c r="I4" s="3" t="s">
        <x:v>1597</x:v>
      </x:c>
      <x:c r="J4" s="3" t="s">
        <x:v>1598</x:v>
      </x:c>
      <x:c r="K4" s="3" t="s">
        <x:v>1599</x:v>
      </x:c>
      <x:c r="L4" s="3" t="s">
        <x:v>1600</x:v>
      </x:c>
      <x:c r="M4" s="3" t="s">
        <x:v>1601</x:v>
      </x:c>
      <x:c r="N4" s="3" t="s">
        <x:v>1602</x:v>
      </x:c>
      <x:c r="O4" s="3" t="s">
        <x:v>1603</x:v>
      </x:c>
      <x:c r="P4" s="3" t="s">
        <x:v>1604</x:v>
      </x:c>
      <x:c r="Q4" s="3" t="s">
        <x:v>1605</x:v>
      </x:c>
      <x:c r="R4" s="3" t="s">
        <x:v>1606</x:v>
      </x:c>
      <x:c r="S4" s="3" t="s">
        <x:v>1607</x:v>
      </x:c>
      <x:c r="T4" s="3" t="s">
        <x:v>1608</x:v>
      </x:c>
      <x:c r="U4" s="3" t="s">
        <x:v>1609</x:v>
      </x:c>
      <x:c r="V4" s="3" t="s">
        <x:v>1610</x:v>
      </x:c>
      <x:c r="W4" s="3" t="s">
        <x:v>1611</x:v>
      </x:c>
      <x:c r="X4" s="3" t="s">
        <x:v>1612</x:v>
      </x:c>
      <x:c r="Y4" s="3" t="s">
        <x:v>1613</x:v>
      </x:c>
      <x:c r="Z4" s="3" t="s">
        <x:v>1614</x:v>
      </x:c>
      <x:c r="AA4" s="3" t="s">
        <x:v>1615</x:v>
      </x:c>
      <x:c r="AB4" s="3" t="s">
        <x:v>1616</x:v>
      </x:c>
      <x:c r="AC4" s="3" t="s">
        <x:v>1617</x:v>
      </x:c>
      <x:c r="AD4" s="3" t="s">
        <x:v>1618</x:v>
      </x:c>
      <x:c r="AE4" s="3" t="s">
        <x:v>1619</x:v>
      </x:c>
      <x:c r="AF4" s="3" t="s">
        <x:v>1620</x:v>
      </x:c>
      <x:c r="AG4" s="3" t="s">
        <x:v>1621</x:v>
      </x:c>
      <x:c r="AH4" s="3" t="s">
        <x:v>1623</x:v>
      </x:c>
      <x:c r="AI4" s="3" t="s">
        <x:v>1600</x:v>
      </x:c>
      <x:c r="AJ4" s="3" t="s">
        <x:v>1624</x:v>
      </x:c>
      <x:c r="AK4" s="3" t="s">
        <x:v>1602</x:v>
      </x:c>
      <x:c r="AL4" s="3" t="s">
        <x:v>1625</x:v>
      </x:c>
      <x:c r="AM4" s="3" t="s">
        <x:v>1604</x:v>
      </x:c>
      <x:c r="AN4" s="3" t="s">
        <x:v>1626</x:v>
      </x:c>
      <x:c r="AO4" s="3" t="s">
        <x:v>1606</x:v>
      </x:c>
      <x:c r="AP4" s="3" t="s">
        <x:v>1627</x:v>
      </x:c>
    </x:row>
    <x:row r="5">
      <x:c r="A5" s="4" t="s">
        <x:v>34</x:v>
      </x:c>
      <x:c r="B5" s="4" t="s">
        <x:v>33</x:v>
      </x:c>
      <x:c r="C5" s="38" t="s">
        <x:v>32</x:v>
      </x:c>
      <x:c r="D5" s="41" t="s">
        <x:v>1493</x:v>
      </x:c>
      <x:c r="E5" s="44"/>
      <x:c r="F5" s="8">
        <x:v>25</x:v>
      </x:c>
      <x:c r="G5" s="40"/>
      <x:c r="H5" s="43"/>
      <x:c r="I5" s="45">
        <x:v>46313</x:v>
      </x:c>
      <x:c r="J5" s="46">
        <x:v>81</x:v>
      </x:c>
      <x:c r="K5" s="47">
        <x:f>(F5-(0)+0-(J5*Ventas!AE2*1.0556))</x:f>
      </x:c>
      <x:c r="L5" s="49">
        <x:f>(K5/(Ventas!AE2*1.0556)/80)</x:f>
      </x:c>
      <x:c r="M5" s="51">
        <x:f>(G5-(0)+0-(J5*Ventas!AE497*1.0556))</x:f>
      </x:c>
      <x:c r="N5" s="52">
        <x:f>(M5/(Ventas!AE497*1.0556)/85)</x:f>
      </x:c>
      <x:c r="O5" s="54">
        <x:f>(H5+0)</x:f>
      </x:c>
      <x:c r="P5" s="43"/>
      <x:c r="Q5" s="55">
        <x:f>(K5+M5+O5)</x:f>
      </x:c>
      <x:c r="R5" s="56">
        <x:f>(((L5*7)+(N5*1)+(P5*0))/8)</x:f>
      </x:c>
      <x:c r="S5" s="47">
        <x:f>(180*(Ventas!AE2*0.9644) - IF(K5&gt;0,K5,0))</x:f>
      </x:c>
      <x:c r="T5" s="47">
        <x:f>IF(S5&gt;0,S5,0)</x:f>
      </x:c>
      <x:c r="U5" s="51">
        <x:f>(180*(Ventas!AE497*0.9644) - IF(M5&gt;0,M5,0))</x:f>
      </x:c>
      <x:c r="V5" s="51">
        <x:f>IF(U5&gt;0,U5,0)</x:f>
      </x:c>
      <x:c r="W5" s="43"/>
      <x:c r="X5" s="43"/>
      <x:c r="Y5" s="47">
        <x:f>IF(K5&gt;0,K5+IF(T5&gt;0,T5,0),T5)</x:f>
      </x:c>
      <x:c r="Z5" s="51">
        <x:f>IF(M5&gt;0,M5+IF(V5&gt;0,V5,0),V5)</x:f>
      </x:c>
      <x:c r="AA5" s="43"/>
      <x:c r="AB5" s="50">
        <x:v>4.25</x:v>
      </x:c>
      <x:c r="AC5" s="8">
        <x:v>3016</x:v>
      </x:c>
      <x:c r="AD5" s="53">
        <x:v>4.0598</x:v>
      </x:c>
      <x:c r="AE5" s="40"/>
      <x:c r="AF5" s="43"/>
      <x:c r="AG5" s="43"/>
      <x:c r="AH5" s="47">
        <x:f>(Y5-(90*Ventas!AE2*0.9644))</x:f>
      </x:c>
      <x:c r="AI5" s="49">
        <x:f>(AH5/(Ventas!AE2*0.9644)/80)</x:f>
      </x:c>
      <x:c r="AJ5" s="51">
        <x:f>(Z5-(90*Ventas!AE497*0.9644))</x:f>
      </x:c>
      <x:c r="AK5" s="52">
        <x:f>(AJ5/(Ventas!AE497*0.9644)/85)</x:f>
      </x:c>
      <x:c r="AL5" s="43"/>
      <x:c r="AM5" s="43"/>
      <x:c r="AN5" s="55">
        <x:f>(IF(AH5&gt;0,AH5,0)+IF(AJ5&gt;0,AJ5,0)+IF(AL5&gt;0,AL5,0))</x:f>
      </x:c>
      <x:c r="AO5" s="56">
        <x:f>(((AI5*7)+(AK5*1)+(AM5*1))/8)</x:f>
      </x:c>
      <x:c r="AP5" s="4" t="s">
        <x:v>35</x:v>
      </x:c>
    </x:row>
    <x:row r="6">
      <x:c r="A6" s="4" t="s">
        <x:v>38</x:v>
      </x:c>
      <x:c r="B6" s="4" t="s">
        <x:v>37</x:v>
      </x:c>
      <x:c r="C6" s="38" t="s">
        <x:v>36</x:v>
      </x:c>
      <x:c r="D6" s="41" t="s">
        <x:v>1496</x:v>
      </x:c>
      <x:c r="E6" s="44"/>
      <x:c r="F6" s="8">
        <x:v>44</x:v>
      </x:c>
      <x:c r="G6" s="57">
        <x:v>22</x:v>
      </x:c>
      <x:c r="H6" s="43"/>
      <x:c r="I6" s="45">
        <x:v>46313</x:v>
      </x:c>
      <x:c r="J6" s="46">
        <x:v>81</x:v>
      </x:c>
      <x:c r="K6" s="47">
        <x:f>(F6-(0)+0-(J6*Ventas!AE3*1.0556))</x:f>
      </x:c>
      <x:c r="L6" s="49">
        <x:f>(K6/(Ventas!AE3*1.0556)/80)</x:f>
      </x:c>
      <x:c r="M6" s="51">
        <x:f>(G6-(0)+0-(J6*Ventas!AE498*1.0556))</x:f>
      </x:c>
      <x:c r="N6" s="52">
        <x:f>(M6/(Ventas!AE498*1.0556)/85)</x:f>
      </x:c>
      <x:c r="O6" s="54">
        <x:f>(H6+0)</x:f>
      </x:c>
      <x:c r="P6" s="43"/>
      <x:c r="Q6" s="55">
        <x:f>(K6+M6+O6)</x:f>
      </x:c>
      <x:c r="R6" s="56">
        <x:f>(((L6*7)+(N6*1)+(P6*0))/8)</x:f>
      </x:c>
      <x:c r="S6" s="47">
        <x:f>(180*(Ventas!AE3*0.9644) - IF(K6&gt;0,K6,0))</x:f>
      </x:c>
      <x:c r="T6" s="47">
        <x:f>IF(S6&gt;0,S6,0)</x:f>
      </x:c>
      <x:c r="U6" s="51">
        <x:f>(180*(Ventas!AE498*0.9644) - IF(M6&gt;0,M6,0))</x:f>
      </x:c>
      <x:c r="V6" s="51">
        <x:f>IF(U6&gt;0,U6,0)</x:f>
      </x:c>
      <x:c r="W6" s="43"/>
      <x:c r="X6" s="43"/>
      <x:c r="Y6" s="47">
        <x:f>IF(K6&gt;0,K6+IF(T6&gt;0,T6,0),T6)</x:f>
      </x:c>
      <x:c r="Z6" s="51">
        <x:f>IF(M6&gt;0,M6+IF(V6&gt;0,V6,0),V6)</x:f>
      </x:c>
      <x:c r="AA6" s="43"/>
      <x:c r="AB6" s="50">
        <x:v>2.3</x:v>
      </x:c>
      <x:c r="AC6" s="8">
        <x:v>3016</x:v>
      </x:c>
      <x:c r="AD6" s="53">
        <x:v>2.3</x:v>
      </x:c>
      <x:c r="AE6" s="40"/>
      <x:c r="AF6" s="43"/>
      <x:c r="AG6" s="43"/>
      <x:c r="AH6" s="47">
        <x:f>(Y6-(90*Ventas!AE3*0.9644))</x:f>
      </x:c>
      <x:c r="AI6" s="49">
        <x:f>(AH6/(Ventas!AE3*0.9644)/80)</x:f>
      </x:c>
      <x:c r="AJ6" s="51">
        <x:f>(Z6-(90*Ventas!AE498*0.9644))</x:f>
      </x:c>
      <x:c r="AK6" s="52">
        <x:f>(AJ6/(Ventas!AE498*0.9644)/85)</x:f>
      </x:c>
      <x:c r="AL6" s="43"/>
      <x:c r="AM6" s="43"/>
      <x:c r="AN6" s="55">
        <x:f>(IF(AH6&gt;0,AH6,0)+IF(AJ6&gt;0,AJ6,0)+IF(AL6&gt;0,AL6,0))</x:f>
      </x:c>
      <x:c r="AO6" s="56">
        <x:f>(((AI6*7)+(AK6*1)+(AM6*1))/8)</x:f>
      </x:c>
      <x:c r="AP6" s="4" t="s">
        <x:v>35</x:v>
      </x:c>
    </x:row>
    <x:row r="7">
      <x:c r="A7" s="4" t="s">
        <x:v>41</x:v>
      </x:c>
      <x:c r="B7" s="4" t="s">
        <x:v>40</x:v>
      </x:c>
      <x:c r="C7" s="38" t="s">
        <x:v>39</x:v>
      </x:c>
      <x:c r="D7" s="41" t="s">
        <x:v>1499</x:v>
      </x:c>
      <x:c r="E7" s="44"/>
      <x:c r="F7" s="8">
        <x:v>9</x:v>
      </x:c>
      <x:c r="G7" s="40"/>
      <x:c r="H7" s="43"/>
      <x:c r="I7" s="45">
        <x:v>46313</x:v>
      </x:c>
      <x:c r="J7" s="46">
        <x:v>81</x:v>
      </x:c>
      <x:c r="K7" s="47">
        <x:f>(F7-(0)+0-(J7*Ventas!AE4*1.0556))</x:f>
      </x:c>
      <x:c r="L7" s="6"/>
      <x:c r="M7" s="51">
        <x:f>(G7-(0)+0-(J7*Ventas!AE499*1.0556))</x:f>
      </x:c>
      <x:c r="N7" s="40"/>
      <x:c r="O7" s="54">
        <x:f>(H7+0)</x:f>
      </x:c>
      <x:c r="P7" s="43"/>
      <x:c r="Q7" s="55">
        <x:f>(K7+M7+O7)</x:f>
      </x:c>
      <x:c r="R7" s="56">
        <x:f>(((L7*7)+(N7*1)+(P7*0))/8)</x:f>
      </x:c>
      <x:c r="S7" s="47">
        <x:f>(180*(Ventas!AE4*0.9644) - IF(K7&gt;0,K7,0))</x:f>
      </x:c>
      <x:c r="T7" s="47">
        <x:f>IF(S7&gt;0,S7,0)</x:f>
      </x:c>
      <x:c r="U7" s="51">
        <x:f>(180*(Ventas!AE499*0.9644) - IF(M7&gt;0,M7,0))</x:f>
      </x:c>
      <x:c r="V7" s="51">
        <x:f>IF(U7&gt;0,U7,0)</x:f>
      </x:c>
      <x:c r="W7" s="43"/>
      <x:c r="X7" s="43"/>
      <x:c r="Y7" s="47">
        <x:f>IF(K7&gt;0,K7+IF(T7&gt;0,T7,0),T7)</x:f>
      </x:c>
      <x:c r="Z7" s="51">
        <x:f>IF(M7&gt;0,M7+IF(V7&gt;0,V7,0),V7)</x:f>
      </x:c>
      <x:c r="AA7" s="43"/>
      <x:c r="AB7" s="50">
        <x:v>7.4265</x:v>
      </x:c>
      <x:c r="AC7" s="8">
        <x:v>3016</x:v>
      </x:c>
      <x:c r="AD7" s="53">
        <x:v>5.96</x:v>
      </x:c>
      <x:c r="AE7" s="40"/>
      <x:c r="AF7" s="43"/>
      <x:c r="AG7" s="43"/>
      <x:c r="AH7" s="6"/>
      <x:c r="AI7" s="6"/>
      <x:c r="AJ7" s="40"/>
      <x:c r="AK7" s="40"/>
      <x:c r="AL7" s="43"/>
      <x:c r="AM7" s="43"/>
      <x:c r="AN7" s="55">
        <x:f>(IF(AH7&gt;0,AH7,0)+IF(AJ7&gt;0,AJ7,0)+IF(AL7&gt;0,AL7,0))</x:f>
      </x:c>
      <x:c r="AO7" s="56">
        <x:f>(((AI7*7)+(AK7*1)+(AM7*1))/8)</x:f>
      </x:c>
      <x:c r="AP7" s="4" t="s">
        <x:v>35</x:v>
      </x:c>
    </x:row>
    <x:row r="8">
      <x:c r="A8" s="4" t="s">
        <x:v>44</x:v>
      </x:c>
      <x:c r="B8" s="4" t="s">
        <x:v>43</x:v>
      </x:c>
      <x:c r="C8" s="38" t="s">
        <x:v>42</x:v>
      </x:c>
      <x:c r="D8" s="41"/>
      <x:c r="E8" s="44"/>
      <x:c r="F8" s="8">
        <x:v>1</x:v>
      </x:c>
      <x:c r="G8" s="40"/>
      <x:c r="H8" s="43"/>
      <x:c r="I8" s="45">
        <x:v>46313</x:v>
      </x:c>
      <x:c r="J8" s="46">
        <x:v>81</x:v>
      </x:c>
      <x:c r="K8" s="47">
        <x:f>(F8-(0)+0-(J8*Ventas!AE5*1.0556))</x:f>
      </x:c>
      <x:c r="L8" s="49">
        <x:f>(K8/(Ventas!AE5*1.0556)/80)</x:f>
      </x:c>
      <x:c r="M8" s="51">
        <x:f>(G8+0)</x:f>
      </x:c>
      <x:c r="N8" s="40"/>
      <x:c r="O8" s="54">
        <x:f>(H8+0)</x:f>
      </x:c>
      <x:c r="P8" s="43"/>
      <x:c r="Q8" s="55">
        <x:f>(K8+M8+O8)</x:f>
      </x:c>
      <x:c r="R8" s="56">
        <x:f>(((L8*7)+(N8*1)+(P8*0))/8)</x:f>
      </x:c>
      <x:c r="S8" s="47">
        <x:f>(180*(Ventas!AE5*0.9644) - IF(K8&gt;0,K8,0))</x:f>
      </x:c>
      <x:c r="T8" s="47">
        <x:f>IF(S8&gt;0,S8,0)</x:f>
      </x:c>
      <x:c r="U8" s="40"/>
      <x:c r="V8" s="40"/>
      <x:c r="W8" s="43"/>
      <x:c r="X8" s="43"/>
      <x:c r="Y8" s="47">
        <x:f>IF(K8&gt;0,K8+IF(T8&gt;0,T8,0),T8)</x:f>
      </x:c>
      <x:c r="Z8" s="40"/>
      <x:c r="AA8" s="43"/>
      <x:c r="AB8" s="50">
        <x:v>3.479</x:v>
      </x:c>
      <x:c r="AC8" s="8">
        <x:v>3016</x:v>
      </x:c>
      <x:c r="AD8" s="40"/>
      <x:c r="AE8" s="40"/>
      <x:c r="AF8" s="43"/>
      <x:c r="AG8" s="43"/>
      <x:c r="AH8" s="47">
        <x:f>(Y8-(90*Ventas!AE5*0.9644))</x:f>
      </x:c>
      <x:c r="AI8" s="49">
        <x:f>(AH8/(Ventas!AE5*0.9644)/80)</x:f>
      </x:c>
      <x:c r="AJ8" s="40"/>
      <x:c r="AK8" s="40"/>
      <x:c r="AL8" s="43"/>
      <x:c r="AM8" s="43"/>
      <x:c r="AN8" s="55">
        <x:f>(IF(AH8&gt;0,AH8,0)+IF(AJ8&gt;0,AJ8,0)+IF(AL8&gt;0,AL8,0))</x:f>
      </x:c>
      <x:c r="AO8" s="56">
        <x:f>(((AI8*7)+(AK8*1)+(AM8*1))/8)</x:f>
      </x:c>
      <x:c r="AP8" s="4" t="s">
        <x:v>35</x:v>
      </x:c>
    </x:row>
    <x:row r="9">
      <x:c r="A9" s="4" t="s">
        <x:v>47</x:v>
      </x:c>
      <x:c r="B9" s="4" t="s">
        <x:v>46</x:v>
      </x:c>
      <x:c r="C9" s="38" t="s">
        <x:v>45</x:v>
      </x:c>
      <x:c r="D9" s="41" t="s">
        <x:v>1502</x:v>
      </x:c>
      <x:c r="E9" s="44"/>
      <x:c r="F9" s="6"/>
      <x:c r="G9" s="40"/>
      <x:c r="H9" s="43"/>
      <x:c r="I9" s="45">
        <x:v>46313</x:v>
      </x:c>
      <x:c r="J9" s="46">
        <x:v>81</x:v>
      </x:c>
      <x:c r="K9" s="47">
        <x:f>(F9-(0)+0-(J9*Ventas!AE6*1.0556))</x:f>
      </x:c>
      <x:c r="L9" s="6"/>
      <x:c r="M9" s="51">
        <x:f>(G9-(0)+0-(J9*Ventas!AE500*1.0556))</x:f>
      </x:c>
      <x:c r="N9" s="40"/>
      <x:c r="O9" s="54">
        <x:f>(H9+0)</x:f>
      </x:c>
      <x:c r="P9" s="43"/>
      <x:c r="Q9" s="55">
        <x:f>(K9+M9+O9)</x:f>
      </x:c>
      <x:c r="R9" s="56">
        <x:f>(((L9*7)+(N9*1)+(P9*0))/8)</x:f>
      </x:c>
      <x:c r="S9" s="47">
        <x:f>(180*(Ventas!AE6*0.9644) - IF(K9&gt;0,K9,0))</x:f>
      </x:c>
      <x:c r="T9" s="47">
        <x:f>IF(S9&gt;0,S9,0)</x:f>
      </x:c>
      <x:c r="U9" s="51">
        <x:f>(180*(Ventas!AE500*0.9644) - IF(M9&gt;0,M9,0))</x:f>
      </x:c>
      <x:c r="V9" s="51">
        <x:f>IF(U9&gt;0,U9,0)</x:f>
      </x:c>
      <x:c r="W9" s="43"/>
      <x:c r="X9" s="43"/>
      <x:c r="Y9" s="47">
        <x:f>IF(K9&gt;0,K9+IF(T9&gt;0,T9,0),T9)</x:f>
      </x:c>
      <x:c r="Z9" s="51">
        <x:f>IF(M9&gt;0,M9+IF(V9&gt;0,V9,0),V9)</x:f>
      </x:c>
      <x:c r="AA9" s="43"/>
      <x:c r="AB9" s="50">
        <x:v>5.445</x:v>
      </x:c>
      <x:c r="AC9" s="8">
        <x:v>3022</x:v>
      </x:c>
      <x:c r="AD9" s="53">
        <x:v>4.56</x:v>
      </x:c>
      <x:c r="AE9" s="40"/>
      <x:c r="AF9" s="43"/>
      <x:c r="AG9" s="43"/>
      <x:c r="AH9" s="6"/>
      <x:c r="AI9" s="6"/>
      <x:c r="AJ9" s="40"/>
      <x:c r="AK9" s="40"/>
      <x:c r="AL9" s="43"/>
      <x:c r="AM9" s="43"/>
      <x:c r="AN9" s="55">
        <x:f>(IF(AH9&gt;0,AH9,0)+IF(AJ9&gt;0,AJ9,0)+IF(AL9&gt;0,AL9,0))</x:f>
      </x:c>
      <x:c r="AO9" s="56">
        <x:f>(((AI9*7)+(AK9*1)+(AM9*1))/8)</x:f>
      </x:c>
      <x:c r="AP9" s="4" t="s">
        <x:v>35</x:v>
      </x:c>
    </x:row>
    <x:row r="10">
      <x:c r="A10" s="4" t="s">
        <x:v>50</x:v>
      </x:c>
      <x:c r="B10" s="4" t="s">
        <x:v>49</x:v>
      </x:c>
      <x:c r="C10" s="38" t="s">
        <x:v>48</x:v>
      </x:c>
      <x:c r="D10" s="41"/>
      <x:c r="E10" s="44"/>
      <x:c r="F10" s="6"/>
      <x:c r="G10" s="40"/>
      <x:c r="H10" s="43"/>
      <x:c r="I10" s="45">
        <x:v>46313</x:v>
      </x:c>
      <x:c r="J10" s="46">
        <x:v>81</x:v>
      </x:c>
      <x:c r="K10" s="47">
        <x:f>(F10-(0)+0-(J10*Ventas!AE7*1.0556))</x:f>
      </x:c>
      <x:c r="L10" s="6"/>
      <x:c r="M10" s="51">
        <x:f>(G10+0)</x:f>
      </x:c>
      <x:c r="N10" s="40"/>
      <x:c r="O10" s="54">
        <x:f>(H10+0)</x:f>
      </x:c>
      <x:c r="P10" s="43"/>
      <x:c r="Q10" s="55">
        <x:f>(K10+M10+O10)</x:f>
      </x:c>
      <x:c r="R10" s="56">
        <x:f>(((L10*7)+(N10*1)+(P10*0))/8)</x:f>
      </x:c>
      <x:c r="S10" s="47">
        <x:f>(180*(Ventas!AE7*0.9644) - IF(K10&gt;0,K10,0))</x:f>
      </x:c>
      <x:c r="T10" s="47">
        <x:f>IF(S10&gt;0,S10,0)</x:f>
      </x:c>
      <x:c r="U10" s="40"/>
      <x:c r="V10" s="40"/>
      <x:c r="W10" s="43"/>
      <x:c r="X10" s="43"/>
      <x:c r="Y10" s="47">
        <x:f>IF(K10&gt;0,K10+IF(T10&gt;0,T10,0),T10)</x:f>
      </x:c>
      <x:c r="Z10" s="40"/>
      <x:c r="AA10" s="43"/>
      <x:c r="AB10" s="50">
        <x:v>10.5</x:v>
      </x:c>
      <x:c r="AC10" s="8">
        <x:v>3002</x:v>
      </x:c>
      <x:c r="AD10" s="40"/>
      <x:c r="AE10" s="40"/>
      <x:c r="AF10" s="43"/>
      <x:c r="AG10" s="43"/>
      <x:c r="AH10" s="6"/>
      <x:c r="AI10" s="6"/>
      <x:c r="AJ10" s="40"/>
      <x:c r="AK10" s="40"/>
      <x:c r="AL10" s="43"/>
      <x:c r="AM10" s="43"/>
      <x:c r="AN10" s="55">
        <x:f>(IF(AH10&gt;0,AH10,0)+IF(AJ10&gt;0,AJ10,0)+IF(AL10&gt;0,AL10,0))</x:f>
      </x:c>
      <x:c r="AO10" s="56">
        <x:f>(((AI10*7)+(AK10*1)+(AM10*1))/8)</x:f>
      </x:c>
      <x:c r="AP10" s="4" t="s">
        <x:v>51</x:v>
      </x:c>
    </x:row>
    <x:row r="11">
      <x:c r="A11" s="4" t="s">
        <x:v>54</x:v>
      </x:c>
      <x:c r="B11" s="4" t="s">
        <x:v>53</x:v>
      </x:c>
      <x:c r="C11" s="38" t="s">
        <x:v>52</x:v>
      </x:c>
      <x:c r="D11" s="41"/>
      <x:c r="E11" s="44"/>
      <x:c r="F11" s="6"/>
      <x:c r="G11" s="40"/>
      <x:c r="H11" s="43"/>
      <x:c r="I11" s="45">
        <x:v>46313</x:v>
      </x:c>
      <x:c r="J11" s="46">
        <x:v>81</x:v>
      </x:c>
      <x:c r="K11" s="47">
        <x:f>(F11-(0)+0-(J11*Ventas!AE8*1.0556))</x:f>
      </x:c>
      <x:c r="L11" s="6"/>
      <x:c r="M11" s="51">
        <x:f>(G11+0)</x:f>
      </x:c>
      <x:c r="N11" s="40"/>
      <x:c r="O11" s="54">
        <x:f>(H11+0)</x:f>
      </x:c>
      <x:c r="P11" s="43"/>
      <x:c r="Q11" s="55">
        <x:f>(K11+M11+O11)</x:f>
      </x:c>
      <x:c r="R11" s="56">
        <x:f>(((L11*7)+(N11*1)+(P11*0))/8)</x:f>
      </x:c>
      <x:c r="S11" s="47">
        <x:f>(180*(Ventas!AE8*0.9644) - IF(K11&gt;0,K11,0))</x:f>
      </x:c>
      <x:c r="T11" s="47">
        <x:f>IF(S11&gt;0,S11,0)</x:f>
      </x:c>
      <x:c r="U11" s="40"/>
      <x:c r="V11" s="40"/>
      <x:c r="W11" s="43"/>
      <x:c r="X11" s="43"/>
      <x:c r="Y11" s="47">
        <x:f>IF(K11&gt;0,K11+IF(T11&gt;0,T11,0),T11)</x:f>
      </x:c>
      <x:c r="Z11" s="40"/>
      <x:c r="AA11" s="43"/>
      <x:c r="AB11" s="50">
        <x:v>2.65</x:v>
      </x:c>
      <x:c r="AC11" s="8">
        <x:v>2998</x:v>
      </x:c>
      <x:c r="AD11" s="40"/>
      <x:c r="AE11" s="40"/>
      <x:c r="AF11" s="43"/>
      <x:c r="AG11" s="43"/>
      <x:c r="AH11" s="6"/>
      <x:c r="AI11" s="6"/>
      <x:c r="AJ11" s="40"/>
      <x:c r="AK11" s="40"/>
      <x:c r="AL11" s="43"/>
      <x:c r="AM11" s="43"/>
      <x:c r="AN11" s="55">
        <x:f>(IF(AH11&gt;0,AH11,0)+IF(AJ11&gt;0,AJ11,0)+IF(AL11&gt;0,AL11,0))</x:f>
      </x:c>
      <x:c r="AO11" s="56">
        <x:f>(((AI11*7)+(AK11*1)+(AM11*1))/8)</x:f>
      </x:c>
      <x:c r="AP11" s="4" t="s">
        <x:v>35</x:v>
      </x:c>
    </x:row>
    <x:row r="12">
      <x:c r="A12" s="4" t="s">
        <x:v>57</x:v>
      </x:c>
      <x:c r="B12" s="4" t="s">
        <x:v>56</x:v>
      </x:c>
      <x:c r="C12" s="38" t="s">
        <x:v>55</x:v>
      </x:c>
      <x:c r="D12" s="41"/>
      <x:c r="E12" s="44"/>
      <x:c r="F12" s="8">
        <x:v>3</x:v>
      </x:c>
      <x:c r="G12" s="40"/>
      <x:c r="H12" s="43"/>
      <x:c r="I12" s="45">
        <x:v>46313</x:v>
      </x:c>
      <x:c r="J12" s="46">
        <x:v>81</x:v>
      </x:c>
      <x:c r="K12" s="47">
        <x:f>(F12-(0)+0-(J12*Ventas!AE9*1.0556))</x:f>
      </x:c>
      <x:c r="L12" s="6"/>
      <x:c r="M12" s="51">
        <x:f>(G12+0)</x:f>
      </x:c>
      <x:c r="N12" s="40"/>
      <x:c r="O12" s="54">
        <x:f>(H12+0)</x:f>
      </x:c>
      <x:c r="P12" s="43"/>
      <x:c r="Q12" s="55">
        <x:f>(K12+M12+O12)</x:f>
      </x:c>
      <x:c r="R12" s="56">
        <x:f>(((L12*7)+(N12*1)+(P12*0))/8)</x:f>
      </x:c>
      <x:c r="S12" s="47">
        <x:f>(180*(Ventas!AE9*0.9644) - IF(K12&gt;0,K12,0))</x:f>
      </x:c>
      <x:c r="T12" s="47">
        <x:f>IF(S12&gt;0,S12,0)</x:f>
      </x:c>
      <x:c r="U12" s="40"/>
      <x:c r="V12" s="40"/>
      <x:c r="W12" s="43"/>
      <x:c r="X12" s="43"/>
      <x:c r="Y12" s="47">
        <x:f>IF(K12&gt;0,K12+IF(T12&gt;0,T12,0),T12)</x:f>
      </x:c>
      <x:c r="Z12" s="40"/>
      <x:c r="AA12" s="43"/>
      <x:c r="AB12" s="50">
        <x:v>2.65</x:v>
      </x:c>
      <x:c r="AC12" s="8">
        <x:v>2998</x:v>
      </x:c>
      <x:c r="AD12" s="40"/>
      <x:c r="AE12" s="40"/>
      <x:c r="AF12" s="43"/>
      <x:c r="AG12" s="43"/>
      <x:c r="AH12" s="6"/>
      <x:c r="AI12" s="6"/>
      <x:c r="AJ12" s="40"/>
      <x:c r="AK12" s="40"/>
      <x:c r="AL12" s="43"/>
      <x:c r="AM12" s="43"/>
      <x:c r="AN12" s="55">
        <x:f>(IF(AH12&gt;0,AH12,0)+IF(AJ12&gt;0,AJ12,0)+IF(AL12&gt;0,AL12,0))</x:f>
      </x:c>
      <x:c r="AO12" s="56">
        <x:f>(((AI12*7)+(AK12*1)+(AM12*1))/8)</x:f>
      </x:c>
      <x:c r="AP12" s="4" t="s">
        <x:v>35</x:v>
      </x:c>
    </x:row>
    <x:row r="13">
      <x:c r="A13" s="4" t="s">
        <x:v>60</x:v>
      </x:c>
      <x:c r="B13" s="4" t="s">
        <x:v>59</x:v>
      </x:c>
      <x:c r="C13" s="38" t="s">
        <x:v>58</x:v>
      </x:c>
      <x:c r="D13" s="41"/>
      <x:c r="E13" s="44"/>
      <x:c r="F13" s="8">
        <x:v>3</x:v>
      </x:c>
      <x:c r="G13" s="40"/>
      <x:c r="H13" s="43"/>
      <x:c r="I13" s="45">
        <x:v>46313</x:v>
      </x:c>
      <x:c r="J13" s="46">
        <x:v>81</x:v>
      </x:c>
      <x:c r="K13" s="47">
        <x:f>(F13-(0)+0-(J13*Ventas!AE10*1.0556))</x:f>
      </x:c>
      <x:c r="L13" s="6"/>
      <x:c r="M13" s="51">
        <x:f>(G13+0)</x:f>
      </x:c>
      <x:c r="N13" s="40"/>
      <x:c r="O13" s="54">
        <x:f>(H13+0)</x:f>
      </x:c>
      <x:c r="P13" s="43"/>
      <x:c r="Q13" s="55">
        <x:f>(K13+M13+O13)</x:f>
      </x:c>
      <x:c r="R13" s="56">
        <x:f>(((L13*7)+(N13*1)+(P13*0))/8)</x:f>
      </x:c>
      <x:c r="S13" s="47">
        <x:f>(180*(Ventas!AE10*0.9644) - IF(K13&gt;0,K13,0))</x:f>
      </x:c>
      <x:c r="T13" s="47">
        <x:f>IF(S13&gt;0,S13,0)</x:f>
      </x:c>
      <x:c r="U13" s="40"/>
      <x:c r="V13" s="40"/>
      <x:c r="W13" s="43"/>
      <x:c r="X13" s="43"/>
      <x:c r="Y13" s="47">
        <x:f>IF(K13&gt;0,K13+IF(T13&gt;0,T13,0),T13)</x:f>
      </x:c>
      <x:c r="Z13" s="40"/>
      <x:c r="AA13" s="43"/>
      <x:c r="AB13" s="50">
        <x:v>2.65</x:v>
      </x:c>
      <x:c r="AC13" s="8">
        <x:v>2998</x:v>
      </x:c>
      <x:c r="AD13" s="40"/>
      <x:c r="AE13" s="40"/>
      <x:c r="AF13" s="43"/>
      <x:c r="AG13" s="43"/>
      <x:c r="AH13" s="6"/>
      <x:c r="AI13" s="6"/>
      <x:c r="AJ13" s="40"/>
      <x:c r="AK13" s="40"/>
      <x:c r="AL13" s="43"/>
      <x:c r="AM13" s="43"/>
      <x:c r="AN13" s="55">
        <x:f>(IF(AH13&gt;0,AH13,0)+IF(AJ13&gt;0,AJ13,0)+IF(AL13&gt;0,AL13,0))</x:f>
      </x:c>
      <x:c r="AO13" s="56">
        <x:f>(((AI13*7)+(AK13*1)+(AM13*1))/8)</x:f>
      </x:c>
      <x:c r="AP13" s="4" t="s">
        <x:v>35</x:v>
      </x:c>
    </x:row>
    <x:row r="14">
      <x:c r="A14" s="4" t="s">
        <x:v>63</x:v>
      </x:c>
      <x:c r="B14" s="4" t="s">
        <x:v>62</x:v>
      </x:c>
      <x:c r="C14" s="38" t="s">
        <x:v>61</x:v>
      </x:c>
      <x:c r="D14" s="41"/>
      <x:c r="E14" s="44"/>
      <x:c r="F14" s="8">
        <x:v>1</x:v>
      </x:c>
      <x:c r="G14" s="40"/>
      <x:c r="H14" s="43"/>
      <x:c r="I14" s="45">
        <x:v>46313</x:v>
      </x:c>
      <x:c r="J14" s="46">
        <x:v>81</x:v>
      </x:c>
      <x:c r="K14" s="47">
        <x:f>(F14-(0)+0-(J14*Ventas!AE11*1.0556))</x:f>
      </x:c>
      <x:c r="L14" s="6"/>
      <x:c r="M14" s="51">
        <x:f>(G14+0)</x:f>
      </x:c>
      <x:c r="N14" s="40"/>
      <x:c r="O14" s="54">
        <x:f>(H14+0)</x:f>
      </x:c>
      <x:c r="P14" s="43"/>
      <x:c r="Q14" s="55">
        <x:f>(K14+M14+O14)</x:f>
      </x:c>
      <x:c r="R14" s="56">
        <x:f>(((L14*7)+(N14*1)+(P14*0))/8)</x:f>
      </x:c>
      <x:c r="S14" s="47">
        <x:f>(180*(Ventas!AE11*0.9644) - IF(K14&gt;0,K14,0))</x:f>
      </x:c>
      <x:c r="T14" s="47">
        <x:f>IF(S14&gt;0,S14,0)</x:f>
      </x:c>
      <x:c r="U14" s="40"/>
      <x:c r="V14" s="40"/>
      <x:c r="W14" s="43"/>
      <x:c r="X14" s="43"/>
      <x:c r="Y14" s="47">
        <x:f>IF(K14&gt;0,K14+IF(T14&gt;0,T14,0),T14)</x:f>
      </x:c>
      <x:c r="Z14" s="40"/>
      <x:c r="AA14" s="43"/>
      <x:c r="AB14" s="50">
        <x:v>2.65</x:v>
      </x:c>
      <x:c r="AC14" s="8">
        <x:v>2998</x:v>
      </x:c>
      <x:c r="AD14" s="40"/>
      <x:c r="AE14" s="40"/>
      <x:c r="AF14" s="43"/>
      <x:c r="AG14" s="43"/>
      <x:c r="AH14" s="6"/>
      <x:c r="AI14" s="6"/>
      <x:c r="AJ14" s="40"/>
      <x:c r="AK14" s="40"/>
      <x:c r="AL14" s="43"/>
      <x:c r="AM14" s="43"/>
      <x:c r="AN14" s="55">
        <x:f>(IF(AH14&gt;0,AH14,0)+IF(AJ14&gt;0,AJ14,0)+IF(AL14&gt;0,AL14,0))</x:f>
      </x:c>
      <x:c r="AO14" s="56">
        <x:f>(((AI14*7)+(AK14*1)+(AM14*1))/8)</x:f>
      </x:c>
      <x:c r="AP14" s="4" t="s">
        <x:v>35</x:v>
      </x:c>
    </x:row>
    <x:row r="15">
      <x:c r="A15" s="4" t="s">
        <x:v>66</x:v>
      </x:c>
      <x:c r="B15" s="4" t="s">
        <x:v>65</x:v>
      </x:c>
      <x:c r="C15" s="38" t="s">
        <x:v>64</x:v>
      </x:c>
      <x:c r="D15" s="41" t="s">
        <x:v>1504</x:v>
      </x:c>
      <x:c r="E15" s="44"/>
      <x:c r="F15" s="8">
        <x:v>69</x:v>
      </x:c>
      <x:c r="G15" s="40"/>
      <x:c r="H15" s="43"/>
      <x:c r="I15" s="45">
        <x:v>46313</x:v>
      </x:c>
      <x:c r="J15" s="46">
        <x:v>81</x:v>
      </x:c>
      <x:c r="K15" s="47">
        <x:f>(F15-(0)+0-(J15*Ventas!AE12*1.0556))</x:f>
      </x:c>
      <x:c r="L15" s="49">
        <x:f>(K15/(Ventas!AE12*1.0556)/80)</x:f>
      </x:c>
      <x:c r="M15" s="51">
        <x:f>(G15-(0)+0-(J15*Ventas!AE501*1.0556))</x:f>
      </x:c>
      <x:c r="N15" s="40"/>
      <x:c r="O15" s="54">
        <x:f>(H15+0)</x:f>
      </x:c>
      <x:c r="P15" s="43"/>
      <x:c r="Q15" s="55">
        <x:f>(K15+M15+O15)</x:f>
      </x:c>
      <x:c r="R15" s="56">
        <x:f>(((L15*7)+(N15*1)+(P15*0))/8)</x:f>
      </x:c>
      <x:c r="S15" s="47">
        <x:f>(180*(Ventas!AE12*0.9644) - IF(K15&gt;0,K15,0))</x:f>
      </x:c>
      <x:c r="T15" s="47">
        <x:f>IF(S15&gt;0,S15,0)</x:f>
      </x:c>
      <x:c r="U15" s="51">
        <x:f>(180*(Ventas!AE501*0.9644) - IF(M15&gt;0,M15,0))</x:f>
      </x:c>
      <x:c r="V15" s="51">
        <x:f>IF(U15&gt;0,U15,0)</x:f>
      </x:c>
      <x:c r="W15" s="43"/>
      <x:c r="X15" s="43"/>
      <x:c r="Y15" s="47">
        <x:f>IF(K15&gt;0,K15+IF(T15&gt;0,T15,0),T15)</x:f>
      </x:c>
      <x:c r="Z15" s="51">
        <x:f>IF(M15&gt;0,M15+IF(V15&gt;0,V15,0),V15)</x:f>
      </x:c>
      <x:c r="AA15" s="43"/>
      <x:c r="AB15" s="50">
        <x:v>2.75</x:v>
      </x:c>
      <x:c r="AC15" s="8">
        <x:v>3016</x:v>
      </x:c>
      <x:c r="AD15" s="53">
        <x:v>2.7788</x:v>
      </x:c>
      <x:c r="AE15" s="40"/>
      <x:c r="AF15" s="43"/>
      <x:c r="AG15" s="43"/>
      <x:c r="AH15" s="47">
        <x:f>(Y15-(90*Ventas!AE12*0.9644))</x:f>
      </x:c>
      <x:c r="AI15" s="49">
        <x:f>(AH15/(Ventas!AE12*0.9644)/80)</x:f>
      </x:c>
      <x:c r="AJ15" s="40"/>
      <x:c r="AK15" s="40"/>
      <x:c r="AL15" s="43"/>
      <x:c r="AM15" s="43"/>
      <x:c r="AN15" s="55">
        <x:f>(IF(AH15&gt;0,AH15,0)+IF(AJ15&gt;0,AJ15,0)+IF(AL15&gt;0,AL15,0))</x:f>
      </x:c>
      <x:c r="AO15" s="56">
        <x:f>(((AI15*7)+(AK15*1)+(AM15*1))/8)</x:f>
      </x:c>
      <x:c r="AP15" s="4" t="s">
        <x:v>35</x:v>
      </x:c>
    </x:row>
    <x:row r="16">
      <x:c r="A16" s="4" t="s">
        <x:v>69</x:v>
      </x:c>
      <x:c r="B16" s="4" t="s">
        <x:v>68</x:v>
      </x:c>
      <x:c r="C16" s="38" t="s">
        <x:v>67</x:v>
      </x:c>
      <x:c r="D16" s="41"/>
      <x:c r="E16" s="44"/>
      <x:c r="F16" s="8">
        <x:v>57</x:v>
      </x:c>
      <x:c r="G16" s="40"/>
      <x:c r="H16" s="43"/>
      <x:c r="I16" s="45">
        <x:v>46313</x:v>
      </x:c>
      <x:c r="J16" s="46">
        <x:v>81</x:v>
      </x:c>
      <x:c r="K16" s="47">
        <x:f>(F16-(0)+0-(J16*Ventas!AE13*1.0556))</x:f>
      </x:c>
      <x:c r="L16" s="49">
        <x:f>(K16/(Ventas!AE13*1.0556)/80)</x:f>
      </x:c>
      <x:c r="M16" s="51">
        <x:f>(G16+0)</x:f>
      </x:c>
      <x:c r="N16" s="40"/>
      <x:c r="O16" s="54">
        <x:f>(H16+0)</x:f>
      </x:c>
      <x:c r="P16" s="43"/>
      <x:c r="Q16" s="55">
        <x:f>(K16+M16+O16)</x:f>
      </x:c>
      <x:c r="R16" s="56">
        <x:f>(((L16*7)+(N16*1)+(P16*0))/8)</x:f>
      </x:c>
      <x:c r="S16" s="47">
        <x:f>(180*(Ventas!AE13*0.9644) - IF(K16&gt;0,K16,0))</x:f>
      </x:c>
      <x:c r="T16" s="47">
        <x:f>IF(S16&gt;0,S16,0)</x:f>
      </x:c>
      <x:c r="U16" s="40"/>
      <x:c r="V16" s="40"/>
      <x:c r="W16" s="43"/>
      <x:c r="X16" s="43"/>
      <x:c r="Y16" s="47">
        <x:f>IF(K16&gt;0,K16+IF(T16&gt;0,T16,0),T16)</x:f>
      </x:c>
      <x:c r="Z16" s="40"/>
      <x:c r="AA16" s="43"/>
      <x:c r="AB16" s="50">
        <x:v>3.3</x:v>
      </x:c>
      <x:c r="AC16" s="8">
        <x:v>3016</x:v>
      </x:c>
      <x:c r="AD16" s="40"/>
      <x:c r="AE16" s="40"/>
      <x:c r="AF16" s="43"/>
      <x:c r="AG16" s="43"/>
      <x:c r="AH16" s="47">
        <x:f>(Y16-(90*Ventas!AE13*0.9644))</x:f>
      </x:c>
      <x:c r="AI16" s="49">
        <x:f>(AH16/(Ventas!AE13*0.9644)/80)</x:f>
      </x:c>
      <x:c r="AJ16" s="40"/>
      <x:c r="AK16" s="40"/>
      <x:c r="AL16" s="43"/>
      <x:c r="AM16" s="43"/>
      <x:c r="AN16" s="55">
        <x:f>(IF(AH16&gt;0,AH16,0)+IF(AJ16&gt;0,AJ16,0)+IF(AL16&gt;0,AL16,0))</x:f>
      </x:c>
      <x:c r="AO16" s="56">
        <x:f>(((AI16*7)+(AK16*1)+(AM16*1))/8)</x:f>
      </x:c>
      <x:c r="AP16" s="4" t="s">
        <x:v>35</x:v>
      </x:c>
    </x:row>
    <x:row r="17">
      <x:c r="A17" s="4"/>
      <x:c r="B17" s="4" t="s">
        <x:v>71</x:v>
      </x:c>
      <x:c r="C17" s="38" t="s">
        <x:v>70</x:v>
      </x:c>
      <x:c r="D17" s="41"/>
      <x:c r="E17" s="44"/>
      <x:c r="F17" s="6"/>
      <x:c r="G17" s="40"/>
      <x:c r="H17" s="43"/>
      <x:c r="I17" s="45">
        <x:v>46313</x:v>
      </x:c>
      <x:c r="J17" s="46">
        <x:v>81</x:v>
      </x:c>
      <x:c r="K17" s="47">
        <x:f>(F17-(0)+0-(J17*Ventas!AE14*1.0556))</x:f>
      </x:c>
      <x:c r="L17" s="6"/>
      <x:c r="M17" s="51">
        <x:f>(G17+0)</x:f>
      </x:c>
      <x:c r="N17" s="40"/>
      <x:c r="O17" s="54">
        <x:f>(H17+0)</x:f>
      </x:c>
      <x:c r="P17" s="43"/>
      <x:c r="Q17" s="55">
        <x:f>(K17+M17+O17)</x:f>
      </x:c>
      <x:c r="R17" s="56">
        <x:f>(((L17*7)+(N17*1)+(P17*0))/8)</x:f>
      </x:c>
      <x:c r="S17" s="47">
        <x:f>(180*(Ventas!AE14*0.9644) - IF(K17&gt;0,K17,0))</x:f>
      </x:c>
      <x:c r="T17" s="47">
        <x:f>IF(S17&gt;0,S17,0)</x:f>
      </x:c>
      <x:c r="U17" s="40"/>
      <x:c r="V17" s="40"/>
      <x:c r="W17" s="43"/>
      <x:c r="X17" s="43"/>
      <x:c r="Y17" s="47">
        <x:f>IF(K17&gt;0,K17+IF(T17&gt;0,T17,0),T17)</x:f>
      </x:c>
      <x:c r="Z17" s="40"/>
      <x:c r="AA17" s="43"/>
      <x:c r="AB17" s="6"/>
      <x:c r="AC17" s="6"/>
      <x:c r="AD17" s="40"/>
      <x:c r="AE17" s="40"/>
      <x:c r="AF17" s="43"/>
      <x:c r="AG17" s="43"/>
      <x:c r="AH17" s="6"/>
      <x:c r="AI17" s="6"/>
      <x:c r="AJ17" s="40"/>
      <x:c r="AK17" s="40"/>
      <x:c r="AL17" s="43"/>
      <x:c r="AM17" s="43"/>
      <x:c r="AN17" s="55">
        <x:f>(IF(AH17&gt;0,AH17,0)+IF(AJ17&gt;0,AJ17,0)+IF(AL17&gt;0,AL17,0))</x:f>
      </x:c>
      <x:c r="AO17" s="56">
        <x:f>(((AI17*7)+(AK17*1)+(AM17*1))/8)</x:f>
      </x:c>
      <x:c r="AP17" s="4" t="s">
        <x:v>51</x:v>
      </x:c>
    </x:row>
    <x:row r="18">
      <x:c r="A18" s="4" t="s">
        <x:v>74</x:v>
      </x:c>
      <x:c r="B18" s="4" t="s">
        <x:v>73</x:v>
      </x:c>
      <x:c r="C18" s="38" t="s">
        <x:v>72</x:v>
      </x:c>
      <x:c r="D18" s="41"/>
      <x:c r="E18" s="44"/>
      <x:c r="F18" s="6"/>
      <x:c r="G18" s="40"/>
      <x:c r="H18" s="43"/>
      <x:c r="I18" s="45">
        <x:v>46313</x:v>
      </x:c>
      <x:c r="J18" s="46">
        <x:v>81</x:v>
      </x:c>
      <x:c r="K18" s="47">
        <x:f>(F18-(0)+0-(J18*Ventas!AE15*1.0556))</x:f>
      </x:c>
      <x:c r="L18" s="6"/>
      <x:c r="M18" s="51">
        <x:f>(G18+0)</x:f>
      </x:c>
      <x:c r="N18" s="40"/>
      <x:c r="O18" s="54">
        <x:f>(H18+0)</x:f>
      </x:c>
      <x:c r="P18" s="43"/>
      <x:c r="Q18" s="55">
        <x:f>(K18+M18+O18)</x:f>
      </x:c>
      <x:c r="R18" s="56">
        <x:f>(((L18*7)+(N18*1)+(P18*0))/8)</x:f>
      </x:c>
      <x:c r="S18" s="47">
        <x:f>(180*(Ventas!AE15*0.9644) - IF(K18&gt;0,K18,0))</x:f>
      </x:c>
      <x:c r="T18" s="47">
        <x:f>IF(S18&gt;0,S18,0)</x:f>
      </x:c>
      <x:c r="U18" s="40"/>
      <x:c r="V18" s="40"/>
      <x:c r="W18" s="43"/>
      <x:c r="X18" s="43"/>
      <x:c r="Y18" s="47">
        <x:f>IF(K18&gt;0,K18+IF(T18&gt;0,T18,0),T18)</x:f>
      </x:c>
      <x:c r="Z18" s="40"/>
      <x:c r="AA18" s="43"/>
      <x:c r="AB18" s="6"/>
      <x:c r="AC18" s="6"/>
      <x:c r="AD18" s="40"/>
      <x:c r="AE18" s="40"/>
      <x:c r="AF18" s="43"/>
      <x:c r="AG18" s="43"/>
      <x:c r="AH18" s="6"/>
      <x:c r="AI18" s="6"/>
      <x:c r="AJ18" s="40"/>
      <x:c r="AK18" s="40"/>
      <x:c r="AL18" s="43"/>
      <x:c r="AM18" s="43"/>
      <x:c r="AN18" s="55">
        <x:f>(IF(AH18&gt;0,AH18,0)+IF(AJ18&gt;0,AJ18,0)+IF(AL18&gt;0,AL18,0))</x:f>
      </x:c>
      <x:c r="AO18" s="56">
        <x:f>(((AI18*7)+(AK18*1)+(AM18*1))/8)</x:f>
      </x:c>
      <x:c r="AP18" s="4" t="s">
        <x:v>35</x:v>
      </x:c>
    </x:row>
    <x:row r="19">
      <x:c r="A19" s="4" t="s">
        <x:v>77</x:v>
      </x:c>
      <x:c r="B19" s="4" t="s">
        <x:v>76</x:v>
      </x:c>
      <x:c r="C19" s="38" t="s">
        <x:v>75</x:v>
      </x:c>
      <x:c r="D19" s="41" t="s">
        <x:v>1507</x:v>
      </x:c>
      <x:c r="E19" s="44"/>
      <x:c r="F19" s="8">
        <x:v>42</x:v>
      </x:c>
      <x:c r="G19" s="40"/>
      <x:c r="H19" s="43"/>
      <x:c r="I19" s="45">
        <x:v>46313</x:v>
      </x:c>
      <x:c r="J19" s="46">
        <x:v>81</x:v>
      </x:c>
      <x:c r="K19" s="47">
        <x:f>(F19-(0)+0-(J19*Ventas!AE16*1.0556))</x:f>
      </x:c>
      <x:c r="L19" s="49">
        <x:f>(K19/(Ventas!AE16*1.0556)/80)</x:f>
      </x:c>
      <x:c r="M19" s="51">
        <x:f>(G19-(0)+0-(J19*Ventas!AE502*1.0556))</x:f>
      </x:c>
      <x:c r="N19" s="40"/>
      <x:c r="O19" s="54">
        <x:f>(H19+0)</x:f>
      </x:c>
      <x:c r="P19" s="43"/>
      <x:c r="Q19" s="55">
        <x:f>(K19+M19+O19)</x:f>
      </x:c>
      <x:c r="R19" s="56">
        <x:f>(((L19*7)+(N19*1)+(P19*0))/8)</x:f>
      </x:c>
      <x:c r="S19" s="47">
        <x:f>(180*(Ventas!AE16*0.9644) - IF(K19&gt;0,K19,0))</x:f>
      </x:c>
      <x:c r="T19" s="47">
        <x:f>IF(S19&gt;0,S19,0)</x:f>
      </x:c>
      <x:c r="U19" s="51">
        <x:f>(180*(Ventas!AE502*0.9644) - IF(M19&gt;0,M19,0))</x:f>
      </x:c>
      <x:c r="V19" s="51">
        <x:f>IF(U19&gt;0,U19,0)</x:f>
      </x:c>
      <x:c r="W19" s="43"/>
      <x:c r="X19" s="43"/>
      <x:c r="Y19" s="47">
        <x:f>IF(K19&gt;0,K19+IF(T19&gt;0,T19,0),T19)</x:f>
      </x:c>
      <x:c r="Z19" s="51">
        <x:f>IF(M19&gt;0,M19+IF(V19&gt;0,V19,0),V19)</x:f>
      </x:c>
      <x:c r="AA19" s="43"/>
      <x:c r="AB19" s="50">
        <x:v>4.31</x:v>
      </x:c>
      <x:c r="AC19" s="8">
        <x:v>3016</x:v>
      </x:c>
      <x:c r="AD19" s="40"/>
      <x:c r="AE19" s="40"/>
      <x:c r="AF19" s="43"/>
      <x:c r="AG19" s="43"/>
      <x:c r="AH19" s="47">
        <x:f>(Y19-(90*Ventas!AE16*0.9644))</x:f>
      </x:c>
      <x:c r="AI19" s="49">
        <x:f>(AH19/(Ventas!AE16*0.9644)/80)</x:f>
      </x:c>
      <x:c r="AJ19" s="40"/>
      <x:c r="AK19" s="40"/>
      <x:c r="AL19" s="43"/>
      <x:c r="AM19" s="43"/>
      <x:c r="AN19" s="55">
        <x:f>(IF(AH19&gt;0,AH19,0)+IF(AJ19&gt;0,AJ19,0)+IF(AL19&gt;0,AL19,0))</x:f>
      </x:c>
      <x:c r="AO19" s="56">
        <x:f>(((AI19*7)+(AK19*1)+(AM19*1))/8)</x:f>
      </x:c>
      <x:c r="AP19" s="4" t="s">
        <x:v>35</x:v>
      </x:c>
    </x:row>
    <x:row r="20">
      <x:c r="A20" s="4" t="s">
        <x:v>83</x:v>
      </x:c>
      <x:c r="B20" s="4" t="s">
        <x:v>82</x:v>
      </x:c>
      <x:c r="C20" s="38" t="s">
        <x:v>81</x:v>
      </x:c>
      <x:c r="D20" s="41"/>
      <x:c r="E20" s="44"/>
      <x:c r="F20" s="6"/>
      <x:c r="G20" s="40"/>
      <x:c r="H20" s="43"/>
      <x:c r="I20" s="45">
        <x:v>46313</x:v>
      </x:c>
      <x:c r="J20" s="46">
        <x:v>81</x:v>
      </x:c>
      <x:c r="K20" s="47">
        <x:f>(F20-(0)+0-(J20*Ventas!AE18*1.0556))</x:f>
      </x:c>
      <x:c r="L20" s="6"/>
      <x:c r="M20" s="51">
        <x:f>(G20+0)</x:f>
      </x:c>
      <x:c r="N20" s="40"/>
      <x:c r="O20" s="54">
        <x:f>(H20+0)</x:f>
      </x:c>
      <x:c r="P20" s="43"/>
      <x:c r="Q20" s="55">
        <x:f>(K20+M20+O20)</x:f>
      </x:c>
      <x:c r="R20" s="56">
        <x:f>(((L20*7)+(N20*1)+(P20*0))/8)</x:f>
      </x:c>
      <x:c r="S20" s="47">
        <x:f>(180*(Ventas!AE18*0.9644) - IF(K20&gt;0,K20,0))</x:f>
      </x:c>
      <x:c r="T20" s="47">
        <x:f>IF(S20&gt;0,S20,0)</x:f>
      </x:c>
      <x:c r="U20" s="40"/>
      <x:c r="V20" s="40"/>
      <x:c r="W20" s="43"/>
      <x:c r="X20" s="43"/>
      <x:c r="Y20" s="47">
        <x:f>IF(K20&gt;0,K20+IF(T20&gt;0,T20,0),T20)</x:f>
      </x:c>
      <x:c r="Z20" s="40"/>
      <x:c r="AA20" s="43"/>
      <x:c r="AB20" s="50">
        <x:v>2.79</x:v>
      </x:c>
      <x:c r="AC20" s="8">
        <x:v>3022</x:v>
      </x:c>
      <x:c r="AD20" s="40"/>
      <x:c r="AE20" s="40"/>
      <x:c r="AF20" s="43"/>
      <x:c r="AG20" s="43"/>
      <x:c r="AH20" s="6"/>
      <x:c r="AI20" s="6"/>
      <x:c r="AJ20" s="40"/>
      <x:c r="AK20" s="40"/>
      <x:c r="AL20" s="43"/>
      <x:c r="AM20" s="43"/>
      <x:c r="AN20" s="55">
        <x:f>(IF(AH20&gt;0,AH20,0)+IF(AJ20&gt;0,AJ20,0)+IF(AL20&gt;0,AL20,0))</x:f>
      </x:c>
      <x:c r="AO20" s="56">
        <x:f>(((AI20*7)+(AK20*1)+(AM20*1))/8)</x:f>
      </x:c>
      <x:c r="AP20" s="4" t="s">
        <x:v>35</x:v>
      </x:c>
    </x:row>
    <x:row r="21">
      <x:c r="A21" s="4" t="s">
        <x:v>86</x:v>
      </x:c>
      <x:c r="B21" s="4" t="s">
        <x:v>85</x:v>
      </x:c>
      <x:c r="C21" s="38" t="s">
        <x:v>84</x:v>
      </x:c>
      <x:c r="D21" s="41"/>
      <x:c r="E21" s="44"/>
      <x:c r="F21" s="6"/>
      <x:c r="G21" s="40"/>
      <x:c r="H21" s="43"/>
      <x:c r="I21" s="45">
        <x:v>46313</x:v>
      </x:c>
      <x:c r="J21" s="46">
        <x:v>81</x:v>
      </x:c>
      <x:c r="K21" s="47">
        <x:f>(F21-(0)+0-(J21*Ventas!AE19*1.0556))</x:f>
      </x:c>
      <x:c r="L21" s="6"/>
      <x:c r="M21" s="51">
        <x:f>(G21+0)</x:f>
      </x:c>
      <x:c r="N21" s="40"/>
      <x:c r="O21" s="54">
        <x:f>(H21+0)</x:f>
      </x:c>
      <x:c r="P21" s="43"/>
      <x:c r="Q21" s="55">
        <x:f>(K21+M21+O21)</x:f>
      </x:c>
      <x:c r="R21" s="56">
        <x:f>(((L21*7)+(N21*1)+(P21*0))/8)</x:f>
      </x:c>
      <x:c r="S21" s="47">
        <x:f>(180*(Ventas!AE19*0.9644) - IF(K21&gt;0,K21,0))</x:f>
      </x:c>
      <x:c r="T21" s="47">
        <x:f>IF(S21&gt;0,S21,0)</x:f>
      </x:c>
      <x:c r="U21" s="40"/>
      <x:c r="V21" s="40"/>
      <x:c r="W21" s="43"/>
      <x:c r="X21" s="43"/>
      <x:c r="Y21" s="47">
        <x:f>IF(K21&gt;0,K21+IF(T21&gt;0,T21,0),T21)</x:f>
      </x:c>
      <x:c r="Z21" s="40"/>
      <x:c r="AA21" s="43"/>
      <x:c r="AB21" s="50">
        <x:v>7.3</x:v>
      </x:c>
      <x:c r="AC21" s="8">
        <x:v>3011</x:v>
      </x:c>
      <x:c r="AD21" s="40"/>
      <x:c r="AE21" s="40"/>
      <x:c r="AF21" s="43"/>
      <x:c r="AG21" s="43"/>
      <x:c r="AH21" s="6"/>
      <x:c r="AI21" s="6"/>
      <x:c r="AJ21" s="40"/>
      <x:c r="AK21" s="40"/>
      <x:c r="AL21" s="43"/>
      <x:c r="AM21" s="43"/>
      <x:c r="AN21" s="55">
        <x:f>(IF(AH21&gt;0,AH21,0)+IF(AJ21&gt;0,AJ21,0)+IF(AL21&gt;0,AL21,0))</x:f>
      </x:c>
      <x:c r="AO21" s="56">
        <x:f>(((AI21*7)+(AK21*1)+(AM21*1))/8)</x:f>
      </x:c>
      <x:c r="AP21" s="4" t="s">
        <x:v>51</x:v>
      </x:c>
    </x:row>
    <x:row r="22">
      <x:c r="A22" s="4" t="s">
        <x:v>89</x:v>
      </x:c>
      <x:c r="B22" s="4" t="s">
        <x:v>88</x:v>
      </x:c>
      <x:c r="C22" s="38" t="s">
        <x:v>87</x:v>
      </x:c>
      <x:c r="D22" s="41" t="s">
        <x:v>1512</x:v>
      </x:c>
      <x:c r="E22" s="44"/>
      <x:c r="F22" s="8">
        <x:v>19</x:v>
      </x:c>
      <x:c r="G22" s="57">
        <x:v>12</x:v>
      </x:c>
      <x:c r="H22" s="43"/>
      <x:c r="I22" s="45">
        <x:v>46313</x:v>
      </x:c>
      <x:c r="J22" s="46">
        <x:v>81</x:v>
      </x:c>
      <x:c r="K22" s="47">
        <x:f>(F22-(0)+0-(J22*Ventas!AE20*1.0556))</x:f>
      </x:c>
      <x:c r="L22" s="49">
        <x:f>(K22/(Ventas!AE20*1.0556)/80)</x:f>
      </x:c>
      <x:c r="M22" s="51">
        <x:f>(G22-(0)+0-(J22*Ventas!AE504*1.0556))</x:f>
      </x:c>
      <x:c r="N22" s="52">
        <x:f>(M22/(Ventas!AE504*1.0556)/85)</x:f>
      </x:c>
      <x:c r="O22" s="54">
        <x:f>(H22+0)</x:f>
      </x:c>
      <x:c r="P22" s="43"/>
      <x:c r="Q22" s="55">
        <x:f>(K22+M22+O22)</x:f>
      </x:c>
      <x:c r="R22" s="56">
        <x:f>(((L22*7)+(N22*1)+(P22*0))/8)</x:f>
      </x:c>
      <x:c r="S22" s="47">
        <x:f>(180*(Ventas!AE20*0.9644) - IF(K22&gt;0,K22,0))</x:f>
      </x:c>
      <x:c r="T22" s="47">
        <x:f>IF(S22&gt;0,S22,0)</x:f>
      </x:c>
      <x:c r="U22" s="51">
        <x:f>(180*(Ventas!AE504*0.9644) - IF(M22&gt;0,M22,0))</x:f>
      </x:c>
      <x:c r="V22" s="51">
        <x:f>IF(U22&gt;0,U22,0)</x:f>
      </x:c>
      <x:c r="W22" s="43"/>
      <x:c r="X22" s="43"/>
      <x:c r="Y22" s="47">
        <x:f>IF(K22&gt;0,K22+IF(T22&gt;0,T22,0),T22)</x:f>
      </x:c>
      <x:c r="Z22" s="51">
        <x:f>IF(M22&gt;0,M22+IF(V22&gt;0,V22,0),V22)</x:f>
      </x:c>
      <x:c r="AA22" s="43"/>
      <x:c r="AB22" s="50">
        <x:v>4.3</x:v>
      </x:c>
      <x:c r="AC22" s="8">
        <x:v>3016</x:v>
      </x:c>
      <x:c r="AD22" s="53">
        <x:v>4.3</x:v>
      </x:c>
      <x:c r="AE22" s="40"/>
      <x:c r="AF22" s="43"/>
      <x:c r="AG22" s="43"/>
      <x:c r="AH22" s="47">
        <x:f>(Y22-(90*Ventas!AE20*0.9644))</x:f>
      </x:c>
      <x:c r="AI22" s="49">
        <x:f>(AH22/(Ventas!AE20*0.9644)/80)</x:f>
      </x:c>
      <x:c r="AJ22" s="51">
        <x:f>(Z22-(90*Ventas!AE504*0.9644))</x:f>
      </x:c>
      <x:c r="AK22" s="52">
        <x:f>(AJ22/(Ventas!AE504*0.9644)/85)</x:f>
      </x:c>
      <x:c r="AL22" s="43"/>
      <x:c r="AM22" s="43"/>
      <x:c r="AN22" s="55">
        <x:f>(IF(AH22&gt;0,AH22,0)+IF(AJ22&gt;0,AJ22,0)+IF(AL22&gt;0,AL22,0))</x:f>
      </x:c>
      <x:c r="AO22" s="56">
        <x:f>(((AI22*7)+(AK22*1)+(AM22*1))/8)</x:f>
      </x:c>
      <x:c r="AP22" s="4" t="s">
        <x:v>35</x:v>
      </x:c>
    </x:row>
    <x:row r="23">
      <x:c r="A23" s="4" t="s">
        <x:v>92</x:v>
      </x:c>
      <x:c r="B23" s="4" t="s">
        <x:v>91</x:v>
      </x:c>
      <x:c r="C23" s="38" t="s">
        <x:v>90</x:v>
      </x:c>
      <x:c r="D23" s="41"/>
      <x:c r="E23" s="44"/>
      <x:c r="F23" s="6"/>
      <x:c r="G23" s="40"/>
      <x:c r="H23" s="43"/>
      <x:c r="I23" s="45">
        <x:v>46313</x:v>
      </x:c>
      <x:c r="J23" s="46">
        <x:v>81</x:v>
      </x:c>
      <x:c r="K23" s="47">
        <x:f>(F23-(0)+0-(J23*Ventas!AE21*1.0556))</x:f>
      </x:c>
      <x:c r="L23" s="6"/>
      <x:c r="M23" s="51">
        <x:f>(G23+0)</x:f>
      </x:c>
      <x:c r="N23" s="40"/>
      <x:c r="O23" s="54">
        <x:f>(H23+0)</x:f>
      </x:c>
      <x:c r="P23" s="43"/>
      <x:c r="Q23" s="55">
        <x:f>(K23+M23+O23)</x:f>
      </x:c>
      <x:c r="R23" s="56">
        <x:f>(((L23*7)+(N23*1)+(P23*0))/8)</x:f>
      </x:c>
      <x:c r="S23" s="47">
        <x:f>(180*(Ventas!AE21*0.9644) - IF(K23&gt;0,K23,0))</x:f>
      </x:c>
      <x:c r="T23" s="47">
        <x:f>IF(S23&gt;0,S23,0)</x:f>
      </x:c>
      <x:c r="U23" s="40"/>
      <x:c r="V23" s="40"/>
      <x:c r="W23" s="43"/>
      <x:c r="X23" s="43"/>
      <x:c r="Y23" s="47">
        <x:f>IF(K23&gt;0,K23+IF(T23&gt;0,T23,0),T23)</x:f>
      </x:c>
      <x:c r="Z23" s="40"/>
      <x:c r="AA23" s="43"/>
      <x:c r="AB23" s="50">
        <x:v>3</x:v>
      </x:c>
      <x:c r="AC23" s="8">
        <x:v>3013</x:v>
      </x:c>
      <x:c r="AD23" s="40"/>
      <x:c r="AE23" s="40"/>
      <x:c r="AF23" s="43"/>
      <x:c r="AG23" s="43"/>
      <x:c r="AH23" s="6"/>
      <x:c r="AI23" s="6"/>
      <x:c r="AJ23" s="40"/>
      <x:c r="AK23" s="40"/>
      <x:c r="AL23" s="43"/>
      <x:c r="AM23" s="43"/>
      <x:c r="AN23" s="55">
        <x:f>(IF(AH23&gt;0,AH23,0)+IF(AJ23&gt;0,AJ23,0)+IF(AL23&gt;0,AL23,0))</x:f>
      </x:c>
      <x:c r="AO23" s="56">
        <x:f>(((AI23*7)+(AK23*1)+(AM23*1))/8)</x:f>
      </x:c>
      <x:c r="AP23" s="4" t="s">
        <x:v>35</x:v>
      </x:c>
    </x:row>
    <x:row r="24">
      <x:c r="A24" s="4" t="s">
        <x:v>95</x:v>
      </x:c>
      <x:c r="B24" s="4" t="s">
        <x:v>94</x:v>
      </x:c>
      <x:c r="C24" s="38" t="s">
        <x:v>93</x:v>
      </x:c>
      <x:c r="D24" s="41"/>
      <x:c r="E24" s="44"/>
      <x:c r="F24" s="8">
        <x:v>1</x:v>
      </x:c>
      <x:c r="G24" s="40"/>
      <x:c r="H24" s="43"/>
      <x:c r="I24" s="45">
        <x:v>46313</x:v>
      </x:c>
      <x:c r="J24" s="46">
        <x:v>81</x:v>
      </x:c>
      <x:c r="K24" s="47">
        <x:f>(F24-(0)+0-(J24*Ventas!AE22*1.0556))</x:f>
      </x:c>
      <x:c r="L24" s="49">
        <x:f>(K24/(Ventas!AE22*1.0556)/80)</x:f>
      </x:c>
      <x:c r="M24" s="51">
        <x:f>(G24+0)</x:f>
      </x:c>
      <x:c r="N24" s="40"/>
      <x:c r="O24" s="54">
        <x:f>(H24+0)</x:f>
      </x:c>
      <x:c r="P24" s="43"/>
      <x:c r="Q24" s="55">
        <x:f>(K24+M24+O24)</x:f>
      </x:c>
      <x:c r="R24" s="56">
        <x:f>(((L24*7)+(N24*1)+(P24*0))/8)</x:f>
      </x:c>
      <x:c r="S24" s="47">
        <x:f>(180*(Ventas!AE22*0.9644) - IF(K24&gt;0,K24,0))</x:f>
      </x:c>
      <x:c r="T24" s="47">
        <x:f>IF(S24&gt;0,S24,0)</x:f>
      </x:c>
      <x:c r="U24" s="40"/>
      <x:c r="V24" s="40"/>
      <x:c r="W24" s="43"/>
      <x:c r="X24" s="43"/>
      <x:c r="Y24" s="47">
        <x:f>IF(K24&gt;0,K24+IF(T24&gt;0,T24,0),T24)</x:f>
      </x:c>
      <x:c r="Z24" s="40"/>
      <x:c r="AA24" s="43"/>
      <x:c r="AB24" s="50">
        <x:v>7.1</x:v>
      </x:c>
      <x:c r="AC24" s="8">
        <x:v>3016</x:v>
      </x:c>
      <x:c r="AD24" s="40"/>
      <x:c r="AE24" s="40"/>
      <x:c r="AF24" s="43"/>
      <x:c r="AG24" s="43"/>
      <x:c r="AH24" s="47">
        <x:f>(Y24-(90*Ventas!AE22*0.9644))</x:f>
      </x:c>
      <x:c r="AI24" s="49">
        <x:f>(AH24/(Ventas!AE22*0.9644)/80)</x:f>
      </x:c>
      <x:c r="AJ24" s="40"/>
      <x:c r="AK24" s="40"/>
      <x:c r="AL24" s="43"/>
      <x:c r="AM24" s="43"/>
      <x:c r="AN24" s="55">
        <x:f>(IF(AH24&gt;0,AH24,0)+IF(AJ24&gt;0,AJ24,0)+IF(AL24&gt;0,AL24,0))</x:f>
      </x:c>
      <x:c r="AO24" s="56">
        <x:f>(((AI24*7)+(AK24*1)+(AM24*1))/8)</x:f>
      </x:c>
      <x:c r="AP24" s="4" t="s">
        <x:v>35</x:v>
      </x:c>
    </x:row>
    <x:row r="25">
      <x:c r="A25" s="4"/>
      <x:c r="B25" s="4" t="s">
        <x:v>100</x:v>
      </x:c>
      <x:c r="C25" s="38" t="s">
        <x:v>99</x:v>
      </x:c>
      <x:c r="D25" s="41"/>
      <x:c r="E25" s="44"/>
      <x:c r="F25" s="6"/>
      <x:c r="G25" s="40"/>
      <x:c r="H25" s="43"/>
      <x:c r="I25" s="45">
        <x:v>46313</x:v>
      </x:c>
      <x:c r="J25" s="46">
        <x:v>81</x:v>
      </x:c>
      <x:c r="K25" s="47">
        <x:f>(F25-(0)+0-(J25*Ventas!AE24*1.0556))</x:f>
      </x:c>
      <x:c r="L25" s="6"/>
      <x:c r="M25" s="51">
        <x:f>(G25+0)</x:f>
      </x:c>
      <x:c r="N25" s="40"/>
      <x:c r="O25" s="54">
        <x:f>(H25+0)</x:f>
      </x:c>
      <x:c r="P25" s="43"/>
      <x:c r="Q25" s="55">
        <x:f>(K25+M25+O25)</x:f>
      </x:c>
      <x:c r="R25" s="56">
        <x:f>(((L25*7)+(N25*1)+(P25*0))/8)</x:f>
      </x:c>
      <x:c r="S25" s="47">
        <x:f>(180*(Ventas!AE24*0.9644) - IF(K25&gt;0,K25,0))</x:f>
      </x:c>
      <x:c r="T25" s="47">
        <x:f>IF(S25&gt;0,S25,0)</x:f>
      </x:c>
      <x:c r="U25" s="40"/>
      <x:c r="V25" s="40"/>
      <x:c r="W25" s="43"/>
      <x:c r="X25" s="43"/>
      <x:c r="Y25" s="47">
        <x:f>IF(K25&gt;0,K25+IF(T25&gt;0,T25,0),T25)</x:f>
      </x:c>
      <x:c r="Z25" s="40"/>
      <x:c r="AA25" s="43"/>
      <x:c r="AB25" s="50">
        <x:v>6.55</x:v>
      </x:c>
      <x:c r="AC25" s="8">
        <x:v>2998</x:v>
      </x:c>
      <x:c r="AD25" s="40"/>
      <x:c r="AE25" s="40"/>
      <x:c r="AF25" s="43"/>
      <x:c r="AG25" s="43"/>
      <x:c r="AH25" s="6"/>
      <x:c r="AI25" s="6"/>
      <x:c r="AJ25" s="40"/>
      <x:c r="AK25" s="40"/>
      <x:c r="AL25" s="43"/>
      <x:c r="AM25" s="43"/>
      <x:c r="AN25" s="55">
        <x:f>(IF(AH25&gt;0,AH25,0)+IF(AJ25&gt;0,AJ25,0)+IF(AL25&gt;0,AL25,0))</x:f>
      </x:c>
      <x:c r="AO25" s="56">
        <x:f>(((AI25*7)+(AK25*1)+(AM25*1))/8)</x:f>
      </x:c>
      <x:c r="AP25" s="4" t="s">
        <x:v>51</x:v>
      </x:c>
    </x:row>
    <x:row r="26">
      <x:c r="A26" s="4" t="s">
        <x:v>103</x:v>
      </x:c>
      <x:c r="B26" s="4" t="s">
        <x:v>102</x:v>
      </x:c>
      <x:c r="C26" s="38" t="s">
        <x:v>101</x:v>
      </x:c>
      <x:c r="D26" s="41"/>
      <x:c r="E26" s="44"/>
      <x:c r="F26" s="8">
        <x:v>1</x:v>
      </x:c>
      <x:c r="G26" s="40"/>
      <x:c r="H26" s="43"/>
      <x:c r="I26" s="45">
        <x:v>46313</x:v>
      </x:c>
      <x:c r="J26" s="46">
        <x:v>81</x:v>
      </x:c>
      <x:c r="K26" s="47">
        <x:f>(F26-(0)+0-(J26*Ventas!AE25*1.0556))</x:f>
      </x:c>
      <x:c r="L26" s="6"/>
      <x:c r="M26" s="51">
        <x:f>(G26+0)</x:f>
      </x:c>
      <x:c r="N26" s="40"/>
      <x:c r="O26" s="54">
        <x:f>(H26+0)</x:f>
      </x:c>
      <x:c r="P26" s="43"/>
      <x:c r="Q26" s="55">
        <x:f>(K26+M26+O26)</x:f>
      </x:c>
      <x:c r="R26" s="56">
        <x:f>(((L26*7)+(N26*1)+(P26*0))/8)</x:f>
      </x:c>
      <x:c r="S26" s="47">
        <x:f>(180*(Ventas!AE25*0.9644) - IF(K26&gt;0,K26,0))</x:f>
      </x:c>
      <x:c r="T26" s="47">
        <x:f>IF(S26&gt;0,S26,0)</x:f>
      </x:c>
      <x:c r="U26" s="40"/>
      <x:c r="V26" s="40"/>
      <x:c r="W26" s="43"/>
      <x:c r="X26" s="43"/>
      <x:c r="Y26" s="47">
        <x:f>IF(K26&gt;0,K26+IF(T26&gt;0,T26,0),T26)</x:f>
      </x:c>
      <x:c r="Z26" s="40"/>
      <x:c r="AA26" s="43"/>
      <x:c r="AB26" s="50">
        <x:v>13.8</x:v>
      </x:c>
      <x:c r="AC26" s="8">
        <x:v>3011</x:v>
      </x:c>
      <x:c r="AD26" s="40"/>
      <x:c r="AE26" s="40"/>
      <x:c r="AF26" s="43"/>
      <x:c r="AG26" s="43"/>
      <x:c r="AH26" s="6"/>
      <x:c r="AI26" s="6"/>
      <x:c r="AJ26" s="40"/>
      <x:c r="AK26" s="40"/>
      <x:c r="AL26" s="43"/>
      <x:c r="AM26" s="43"/>
      <x:c r="AN26" s="55">
        <x:f>(IF(AH26&gt;0,AH26,0)+IF(AJ26&gt;0,AJ26,0)+IF(AL26&gt;0,AL26,0))</x:f>
      </x:c>
      <x:c r="AO26" s="56">
        <x:f>(((AI26*7)+(AK26*1)+(AM26*1))/8)</x:f>
      </x:c>
      <x:c r="AP26" s="4" t="s">
        <x:v>51</x:v>
      </x:c>
    </x:row>
    <x:row r="27">
      <x:c r="A27" s="4" t="s">
        <x:v>106</x:v>
      </x:c>
      <x:c r="B27" s="4" t="s">
        <x:v>105</x:v>
      </x:c>
      <x:c r="C27" s="38" t="s">
        <x:v>104</x:v>
      </x:c>
      <x:c r="D27" s="41"/>
      <x:c r="E27" s="44"/>
      <x:c r="F27" s="6"/>
      <x:c r="G27" s="40"/>
      <x:c r="H27" s="43"/>
      <x:c r="I27" s="45">
        <x:v>46313</x:v>
      </x:c>
      <x:c r="J27" s="46">
        <x:v>81</x:v>
      </x:c>
      <x:c r="K27" s="47">
        <x:f>(F27-(0)+0-(J27*Ventas!AE26*1.0556))</x:f>
      </x:c>
      <x:c r="L27" s="6"/>
      <x:c r="M27" s="51">
        <x:f>(G27+0)</x:f>
      </x:c>
      <x:c r="N27" s="40"/>
      <x:c r="O27" s="54">
        <x:f>(H27+0)</x:f>
      </x:c>
      <x:c r="P27" s="43"/>
      <x:c r="Q27" s="55">
        <x:f>(K27+M27+O27)</x:f>
      </x:c>
      <x:c r="R27" s="56">
        <x:f>(((L27*7)+(N27*1)+(P27*0))/8)</x:f>
      </x:c>
      <x:c r="S27" s="47">
        <x:f>(180*(Ventas!AE26*0.9644) - IF(K27&gt;0,K27,0))</x:f>
      </x:c>
      <x:c r="T27" s="47">
        <x:f>IF(S27&gt;0,S27,0)</x:f>
      </x:c>
      <x:c r="U27" s="40"/>
      <x:c r="V27" s="40"/>
      <x:c r="W27" s="43"/>
      <x:c r="X27" s="43"/>
      <x:c r="Y27" s="47">
        <x:f>IF(K27&gt;0,K27+IF(T27&gt;0,T27,0),T27)</x:f>
      </x:c>
      <x:c r="Z27" s="40"/>
      <x:c r="AA27" s="43"/>
      <x:c r="AB27" s="50">
        <x:v>14.6</x:v>
      </x:c>
      <x:c r="AC27" s="8">
        <x:v>3002</x:v>
      </x:c>
      <x:c r="AD27" s="40"/>
      <x:c r="AE27" s="40"/>
      <x:c r="AF27" s="43"/>
      <x:c r="AG27" s="43"/>
      <x:c r="AH27" s="6"/>
      <x:c r="AI27" s="6"/>
      <x:c r="AJ27" s="40"/>
      <x:c r="AK27" s="40"/>
      <x:c r="AL27" s="43"/>
      <x:c r="AM27" s="43"/>
      <x:c r="AN27" s="55">
        <x:f>(IF(AH27&gt;0,AH27,0)+IF(AJ27&gt;0,AJ27,0)+IF(AL27&gt;0,AL27,0))</x:f>
      </x:c>
      <x:c r="AO27" s="56">
        <x:f>(((AI27*7)+(AK27*1)+(AM27*1))/8)</x:f>
      </x:c>
      <x:c r="AP27" s="4" t="s">
        <x:v>51</x:v>
      </x:c>
    </x:row>
    <x:row r="28">
      <x:c r="A28" s="4" t="s">
        <x:v>109</x:v>
      </x:c>
      <x:c r="B28" s="4" t="s">
        <x:v>108</x:v>
      </x:c>
      <x:c r="C28" s="38" t="s">
        <x:v>107</x:v>
      </x:c>
      <x:c r="D28" s="41"/>
      <x:c r="E28" s="44"/>
      <x:c r="F28" s="6"/>
      <x:c r="G28" s="40"/>
      <x:c r="H28" s="43"/>
      <x:c r="I28" s="45">
        <x:v>46313</x:v>
      </x:c>
      <x:c r="J28" s="46">
        <x:v>81</x:v>
      </x:c>
      <x:c r="K28" s="47">
        <x:f>(F28-(0)+0-(J28*Ventas!AE27*1.0556))</x:f>
      </x:c>
      <x:c r="L28" s="6"/>
      <x:c r="M28" s="51">
        <x:f>(G28+0)</x:f>
      </x:c>
      <x:c r="N28" s="40"/>
      <x:c r="O28" s="54">
        <x:f>(H28+0)</x:f>
      </x:c>
      <x:c r="P28" s="43"/>
      <x:c r="Q28" s="55">
        <x:f>(K28+M28+O28)</x:f>
      </x:c>
      <x:c r="R28" s="56">
        <x:f>(((L28*7)+(N28*1)+(P28*0))/8)</x:f>
      </x:c>
      <x:c r="S28" s="47">
        <x:f>(180*(Ventas!AE27*0.9644) - IF(K28&gt;0,K28,0))</x:f>
      </x:c>
      <x:c r="T28" s="47">
        <x:f>IF(S28&gt;0,S28,0)</x:f>
      </x:c>
      <x:c r="U28" s="40"/>
      <x:c r="V28" s="40"/>
      <x:c r="W28" s="43"/>
      <x:c r="X28" s="43"/>
      <x:c r="Y28" s="47">
        <x:f>IF(K28&gt;0,K28+IF(T28&gt;0,T28,0),T28)</x:f>
      </x:c>
      <x:c r="Z28" s="40"/>
      <x:c r="AA28" s="43"/>
      <x:c r="AB28" s="50">
        <x:v>14.6</x:v>
      </x:c>
      <x:c r="AC28" s="8">
        <x:v>3002</x:v>
      </x:c>
      <x:c r="AD28" s="40"/>
      <x:c r="AE28" s="40"/>
      <x:c r="AF28" s="43"/>
      <x:c r="AG28" s="43"/>
      <x:c r="AH28" s="6"/>
      <x:c r="AI28" s="6"/>
      <x:c r="AJ28" s="40"/>
      <x:c r="AK28" s="40"/>
      <x:c r="AL28" s="43"/>
      <x:c r="AM28" s="43"/>
      <x:c r="AN28" s="55">
        <x:f>(IF(AH28&gt;0,AH28,0)+IF(AJ28&gt;0,AJ28,0)+IF(AL28&gt;0,AL28,0))</x:f>
      </x:c>
      <x:c r="AO28" s="56">
        <x:f>(((AI28*7)+(AK28*1)+(AM28*1))/8)</x:f>
      </x:c>
      <x:c r="AP28" s="4" t="s">
        <x:v>51</x:v>
      </x:c>
    </x:row>
    <x:row r="29">
      <x:c r="A29" s="4" t="s">
        <x:v>112</x:v>
      </x:c>
      <x:c r="B29" s="4" t="s">
        <x:v>111</x:v>
      </x:c>
      <x:c r="C29" s="38" t="s">
        <x:v>110</x:v>
      </x:c>
      <x:c r="D29" s="41"/>
      <x:c r="E29" s="44"/>
      <x:c r="F29" s="6"/>
      <x:c r="G29" s="40"/>
      <x:c r="H29" s="43"/>
      <x:c r="I29" s="45">
        <x:v>46313</x:v>
      </x:c>
      <x:c r="J29" s="46">
        <x:v>81</x:v>
      </x:c>
      <x:c r="K29" s="47">
        <x:f>(F29-(0)+0-(J29*Ventas!AE28*1.0556))</x:f>
      </x:c>
      <x:c r="L29" s="6"/>
      <x:c r="M29" s="51">
        <x:f>(G29+0)</x:f>
      </x:c>
      <x:c r="N29" s="40"/>
      <x:c r="O29" s="54">
        <x:f>(H29+0)</x:f>
      </x:c>
      <x:c r="P29" s="43"/>
      <x:c r="Q29" s="55">
        <x:f>(K29+M29+O29)</x:f>
      </x:c>
      <x:c r="R29" s="56">
        <x:f>(((L29*7)+(N29*1)+(P29*0))/8)</x:f>
      </x:c>
      <x:c r="S29" s="47">
        <x:f>(180*(Ventas!AE28*0.9644) - IF(K29&gt;0,K29,0))</x:f>
      </x:c>
      <x:c r="T29" s="47">
        <x:f>IF(S29&gt;0,S29,0)</x:f>
      </x:c>
      <x:c r="U29" s="40"/>
      <x:c r="V29" s="40"/>
      <x:c r="W29" s="43"/>
      <x:c r="X29" s="43"/>
      <x:c r="Y29" s="47">
        <x:f>IF(K29&gt;0,K29+IF(T29&gt;0,T29,0),T29)</x:f>
      </x:c>
      <x:c r="Z29" s="40"/>
      <x:c r="AA29" s="43"/>
      <x:c r="AB29" s="50">
        <x:v>14.5</x:v>
      </x:c>
      <x:c r="AC29" s="8">
        <x:v>3011</x:v>
      </x:c>
      <x:c r="AD29" s="40"/>
      <x:c r="AE29" s="40"/>
      <x:c r="AF29" s="43"/>
      <x:c r="AG29" s="43"/>
      <x:c r="AH29" s="6"/>
      <x:c r="AI29" s="6"/>
      <x:c r="AJ29" s="40"/>
      <x:c r="AK29" s="40"/>
      <x:c r="AL29" s="43"/>
      <x:c r="AM29" s="43"/>
      <x:c r="AN29" s="55">
        <x:f>(IF(AH29&gt;0,AH29,0)+IF(AJ29&gt;0,AJ29,0)+IF(AL29&gt;0,AL29,0))</x:f>
      </x:c>
      <x:c r="AO29" s="56">
        <x:f>(((AI29*7)+(AK29*1)+(AM29*1))/8)</x:f>
      </x:c>
      <x:c r="AP29" s="4" t="s">
        <x:v>51</x:v>
      </x:c>
    </x:row>
    <x:row r="30">
      <x:c r="A30" s="4" t="s">
        <x:v>115</x:v>
      </x:c>
      <x:c r="B30" s="4" t="s">
        <x:v>114</x:v>
      </x:c>
      <x:c r="C30" s="38" t="s">
        <x:v>113</x:v>
      </x:c>
      <x:c r="D30" s="41"/>
      <x:c r="E30" s="44"/>
      <x:c r="F30" s="6"/>
      <x:c r="G30" s="40"/>
      <x:c r="H30" s="43"/>
      <x:c r="I30" s="45">
        <x:v>46313</x:v>
      </x:c>
      <x:c r="J30" s="46">
        <x:v>81</x:v>
      </x:c>
      <x:c r="K30" s="47">
        <x:f>(F30-(0)+0-(J30*Ventas!AE29*1.0556))</x:f>
      </x:c>
      <x:c r="L30" s="6"/>
      <x:c r="M30" s="51">
        <x:f>(G30+0)</x:f>
      </x:c>
      <x:c r="N30" s="40"/>
      <x:c r="O30" s="54">
        <x:f>(H30+0)</x:f>
      </x:c>
      <x:c r="P30" s="43"/>
      <x:c r="Q30" s="55">
        <x:f>(K30+M30+O30)</x:f>
      </x:c>
      <x:c r="R30" s="56">
        <x:f>(((L30*7)+(N30*1)+(P30*0))/8)</x:f>
      </x:c>
      <x:c r="S30" s="47">
        <x:f>(180*(Ventas!AE29*0.9644) - IF(K30&gt;0,K30,0))</x:f>
      </x:c>
      <x:c r="T30" s="47">
        <x:f>IF(S30&gt;0,S30,0)</x:f>
      </x:c>
      <x:c r="U30" s="40"/>
      <x:c r="V30" s="40"/>
      <x:c r="W30" s="43"/>
      <x:c r="X30" s="43"/>
      <x:c r="Y30" s="47">
        <x:f>IF(K30&gt;0,K30+IF(T30&gt;0,T30,0),T30)</x:f>
      </x:c>
      <x:c r="Z30" s="40"/>
      <x:c r="AA30" s="43"/>
      <x:c r="AB30" s="50">
        <x:v>7</x:v>
      </x:c>
      <x:c r="AC30" s="8">
        <x:v>2998</x:v>
      </x:c>
      <x:c r="AD30" s="40"/>
      <x:c r="AE30" s="40"/>
      <x:c r="AF30" s="43"/>
      <x:c r="AG30" s="43"/>
      <x:c r="AH30" s="6"/>
      <x:c r="AI30" s="6"/>
      <x:c r="AJ30" s="40"/>
      <x:c r="AK30" s="40"/>
      <x:c r="AL30" s="43"/>
      <x:c r="AM30" s="43"/>
      <x:c r="AN30" s="55">
        <x:f>(IF(AH30&gt;0,AH30,0)+IF(AJ30&gt;0,AJ30,0)+IF(AL30&gt;0,AL30,0))</x:f>
      </x:c>
      <x:c r="AO30" s="56">
        <x:f>(((AI30*7)+(AK30*1)+(AM30*1))/8)</x:f>
      </x:c>
      <x:c r="AP30" s="4" t="s">
        <x:v>35</x:v>
      </x:c>
    </x:row>
    <x:row r="31">
      <x:c r="A31" s="4" t="s">
        <x:v>118</x:v>
      </x:c>
      <x:c r="B31" s="4" t="s">
        <x:v>117</x:v>
      </x:c>
      <x:c r="C31" s="38" t="s">
        <x:v>116</x:v>
      </x:c>
      <x:c r="D31" s="41"/>
      <x:c r="E31" s="44"/>
      <x:c r="F31" s="6"/>
      <x:c r="G31" s="40"/>
      <x:c r="H31" s="43"/>
      <x:c r="I31" s="45">
        <x:v>46313</x:v>
      </x:c>
      <x:c r="J31" s="46">
        <x:v>81</x:v>
      </x:c>
      <x:c r="K31" s="47">
        <x:f>(F31-(0)+0-(J31*Ventas!AE30*1.0556))</x:f>
      </x:c>
      <x:c r="L31" s="6"/>
      <x:c r="M31" s="51">
        <x:f>(G31+0)</x:f>
      </x:c>
      <x:c r="N31" s="40"/>
      <x:c r="O31" s="54">
        <x:f>(H31+0)</x:f>
      </x:c>
      <x:c r="P31" s="43"/>
      <x:c r="Q31" s="55">
        <x:f>(K31+M31+O31)</x:f>
      </x:c>
      <x:c r="R31" s="56">
        <x:f>(((L31*7)+(N31*1)+(P31*0))/8)</x:f>
      </x:c>
      <x:c r="S31" s="47">
        <x:f>(180*(Ventas!AE30*0.9644) - IF(K31&gt;0,K31,0))</x:f>
      </x:c>
      <x:c r="T31" s="47">
        <x:f>IF(S31&gt;0,S31,0)</x:f>
      </x:c>
      <x:c r="U31" s="40"/>
      <x:c r="V31" s="40"/>
      <x:c r="W31" s="43"/>
      <x:c r="X31" s="43"/>
      <x:c r="Y31" s="47">
        <x:f>IF(K31&gt;0,K31+IF(T31&gt;0,T31,0),T31)</x:f>
      </x:c>
      <x:c r="Z31" s="40"/>
      <x:c r="AA31" s="43"/>
      <x:c r="AB31" s="50">
        <x:v>7.4</x:v>
      </x:c>
      <x:c r="AC31" s="8">
        <x:v>2998</x:v>
      </x:c>
      <x:c r="AD31" s="40"/>
      <x:c r="AE31" s="40"/>
      <x:c r="AF31" s="43"/>
      <x:c r="AG31" s="43"/>
      <x:c r="AH31" s="6"/>
      <x:c r="AI31" s="6"/>
      <x:c r="AJ31" s="40"/>
      <x:c r="AK31" s="40"/>
      <x:c r="AL31" s="43"/>
      <x:c r="AM31" s="43"/>
      <x:c r="AN31" s="55">
        <x:f>(IF(AH31&gt;0,AH31,0)+IF(AJ31&gt;0,AJ31,0)+IF(AL31&gt;0,AL31,0))</x:f>
      </x:c>
      <x:c r="AO31" s="56">
        <x:f>(((AI31*7)+(AK31*1)+(AM31*1))/8)</x:f>
      </x:c>
      <x:c r="AP31" s="4" t="s">
        <x:v>35</x:v>
      </x:c>
    </x:row>
    <x:row r="32">
      <x:c r="A32" s="4" t="s">
        <x:v>121</x:v>
      </x:c>
      <x:c r="B32" s="4" t="s">
        <x:v>120</x:v>
      </x:c>
      <x:c r="C32" s="38" t="s">
        <x:v>119</x:v>
      </x:c>
      <x:c r="D32" s="41"/>
      <x:c r="E32" s="44"/>
      <x:c r="F32" s="6"/>
      <x:c r="G32" s="40"/>
      <x:c r="H32" s="43"/>
      <x:c r="I32" s="45">
        <x:v>46313</x:v>
      </x:c>
      <x:c r="J32" s="46">
        <x:v>81</x:v>
      </x:c>
      <x:c r="K32" s="47">
        <x:f>(F32-(0)+0-(J32*Ventas!AE31*1.0556))</x:f>
      </x:c>
      <x:c r="L32" s="6"/>
      <x:c r="M32" s="51">
        <x:f>(G32+0)</x:f>
      </x:c>
      <x:c r="N32" s="40"/>
      <x:c r="O32" s="54">
        <x:f>(H32+0)</x:f>
      </x:c>
      <x:c r="P32" s="43"/>
      <x:c r="Q32" s="55">
        <x:f>(K32+M32+O32)</x:f>
      </x:c>
      <x:c r="R32" s="56">
        <x:f>(((L32*7)+(N32*1)+(P32*0))/8)</x:f>
      </x:c>
      <x:c r="S32" s="47">
        <x:f>(180*(Ventas!AE31*0.9644) - IF(K32&gt;0,K32,0))</x:f>
      </x:c>
      <x:c r="T32" s="47">
        <x:f>IF(S32&gt;0,S32,0)</x:f>
      </x:c>
      <x:c r="U32" s="40"/>
      <x:c r="V32" s="40"/>
      <x:c r="W32" s="43"/>
      <x:c r="X32" s="43"/>
      <x:c r="Y32" s="47">
        <x:f>IF(K32&gt;0,K32+IF(T32&gt;0,T32,0),T32)</x:f>
      </x:c>
      <x:c r="Z32" s="40"/>
      <x:c r="AA32" s="43"/>
      <x:c r="AB32" s="50">
        <x:v>7.4</x:v>
      </x:c>
      <x:c r="AC32" s="8">
        <x:v>2998</x:v>
      </x:c>
      <x:c r="AD32" s="40"/>
      <x:c r="AE32" s="40"/>
      <x:c r="AF32" s="43"/>
      <x:c r="AG32" s="43"/>
      <x:c r="AH32" s="6"/>
      <x:c r="AI32" s="6"/>
      <x:c r="AJ32" s="40"/>
      <x:c r="AK32" s="40"/>
      <x:c r="AL32" s="43"/>
      <x:c r="AM32" s="43"/>
      <x:c r="AN32" s="55">
        <x:f>(IF(AH32&gt;0,AH32,0)+IF(AJ32&gt;0,AJ32,0)+IF(AL32&gt;0,AL32,0))</x:f>
      </x:c>
      <x:c r="AO32" s="56">
        <x:f>(((AI32*7)+(AK32*1)+(AM32*1))/8)</x:f>
      </x:c>
      <x:c r="AP32" s="4" t="s">
        <x:v>35</x:v>
      </x:c>
    </x:row>
    <x:row r="33">
      <x:c r="A33" s="4" t="s">
        <x:v>124</x:v>
      </x:c>
      <x:c r="B33" s="4" t="s">
        <x:v>123</x:v>
      </x:c>
      <x:c r="C33" s="38" t="s">
        <x:v>122</x:v>
      </x:c>
      <x:c r="D33" s="41"/>
      <x:c r="E33" s="44"/>
      <x:c r="F33" s="6"/>
      <x:c r="G33" s="40"/>
      <x:c r="H33" s="43"/>
      <x:c r="I33" s="45">
        <x:v>46313</x:v>
      </x:c>
      <x:c r="J33" s="46">
        <x:v>81</x:v>
      </x:c>
      <x:c r="K33" s="47">
        <x:f>(F33-(0)+0-(J33*Ventas!AE32*1.0556))</x:f>
      </x:c>
      <x:c r="L33" s="6"/>
      <x:c r="M33" s="51">
        <x:f>(G33+0)</x:f>
      </x:c>
      <x:c r="N33" s="40"/>
      <x:c r="O33" s="54">
        <x:f>(H33+0)</x:f>
      </x:c>
      <x:c r="P33" s="43"/>
      <x:c r="Q33" s="55">
        <x:f>(K33+M33+O33)</x:f>
      </x:c>
      <x:c r="R33" s="56">
        <x:f>(((L33*7)+(N33*1)+(P33*0))/8)</x:f>
      </x:c>
      <x:c r="S33" s="47">
        <x:f>(180*(Ventas!AE32*0.9644) - IF(K33&gt;0,K33,0))</x:f>
      </x:c>
      <x:c r="T33" s="47">
        <x:f>IF(S33&gt;0,S33,0)</x:f>
      </x:c>
      <x:c r="U33" s="40"/>
      <x:c r="V33" s="40"/>
      <x:c r="W33" s="43"/>
      <x:c r="X33" s="43"/>
      <x:c r="Y33" s="47">
        <x:f>IF(K33&gt;0,K33+IF(T33&gt;0,T33,0),T33)</x:f>
      </x:c>
      <x:c r="Z33" s="40"/>
      <x:c r="AA33" s="43"/>
      <x:c r="AB33" s="50">
        <x:v>6.1</x:v>
      </x:c>
      <x:c r="AC33" s="8">
        <x:v>3013</x:v>
      </x:c>
      <x:c r="AD33" s="40"/>
      <x:c r="AE33" s="40"/>
      <x:c r="AF33" s="43"/>
      <x:c r="AG33" s="43"/>
      <x:c r="AH33" s="6"/>
      <x:c r="AI33" s="6"/>
      <x:c r="AJ33" s="40"/>
      <x:c r="AK33" s="40"/>
      <x:c r="AL33" s="43"/>
      <x:c r="AM33" s="43"/>
      <x:c r="AN33" s="55">
        <x:f>(IF(AH33&gt;0,AH33,0)+IF(AJ33&gt;0,AJ33,0)+IF(AL33&gt;0,AL33,0))</x:f>
      </x:c>
      <x:c r="AO33" s="56">
        <x:f>(((AI33*7)+(AK33*1)+(AM33*1))/8)</x:f>
      </x:c>
      <x:c r="AP33" s="4" t="s">
        <x:v>35</x:v>
      </x:c>
    </x:row>
    <x:row r="34">
      <x:c r="A34" s="4" t="s">
        <x:v>127</x:v>
      </x:c>
      <x:c r="B34" s="4" t="s">
        <x:v>126</x:v>
      </x:c>
      <x:c r="C34" s="38" t="s">
        <x:v>125</x:v>
      </x:c>
      <x:c r="D34" s="41"/>
      <x:c r="E34" s="44"/>
      <x:c r="F34" s="8">
        <x:v>24</x:v>
      </x:c>
      <x:c r="G34" s="40"/>
      <x:c r="H34" s="43"/>
      <x:c r="I34" s="45">
        <x:v>46313</x:v>
      </x:c>
      <x:c r="J34" s="46">
        <x:v>81</x:v>
      </x:c>
      <x:c r="K34" s="47">
        <x:f>(F34-(0)+0-(J34*Ventas!AE33*1.0556))</x:f>
      </x:c>
      <x:c r="L34" s="49">
        <x:f>(K34/(Ventas!AE33*1.0556)/80)</x:f>
      </x:c>
      <x:c r="M34" s="51">
        <x:f>(G34+0)</x:f>
      </x:c>
      <x:c r="N34" s="40"/>
      <x:c r="O34" s="54">
        <x:f>(H34+0)</x:f>
      </x:c>
      <x:c r="P34" s="43"/>
      <x:c r="Q34" s="55">
        <x:f>(K34+M34+O34)</x:f>
      </x:c>
      <x:c r="R34" s="56">
        <x:f>(((L34*7)+(N34*1)+(P34*0))/8)</x:f>
      </x:c>
      <x:c r="S34" s="47">
        <x:f>(180*(Ventas!AE33*0.9644) - IF(K34&gt;0,K34,0))</x:f>
      </x:c>
      <x:c r="T34" s="47">
        <x:f>IF(S34&gt;0,S34,0)</x:f>
      </x:c>
      <x:c r="U34" s="40"/>
      <x:c r="V34" s="40"/>
      <x:c r="W34" s="43"/>
      <x:c r="X34" s="43"/>
      <x:c r="Y34" s="47">
        <x:f>IF(K34&gt;0,K34+IF(T34&gt;0,T34,0),T34)</x:f>
      </x:c>
      <x:c r="Z34" s="40"/>
      <x:c r="AA34" s="43"/>
      <x:c r="AB34" s="50">
        <x:v>3.6</x:v>
      </x:c>
      <x:c r="AC34" s="8">
        <x:v>3016</x:v>
      </x:c>
      <x:c r="AD34" s="40"/>
      <x:c r="AE34" s="40"/>
      <x:c r="AF34" s="43"/>
      <x:c r="AG34" s="43"/>
      <x:c r="AH34" s="47">
        <x:f>(Y34-(90*Ventas!AE33*0.9644))</x:f>
      </x:c>
      <x:c r="AI34" s="49">
        <x:f>(AH34/(Ventas!AE33*0.9644)/80)</x:f>
      </x:c>
      <x:c r="AJ34" s="40"/>
      <x:c r="AK34" s="40"/>
      <x:c r="AL34" s="43"/>
      <x:c r="AM34" s="43"/>
      <x:c r="AN34" s="55">
        <x:f>(IF(AH34&gt;0,AH34,0)+IF(AJ34&gt;0,AJ34,0)+IF(AL34&gt;0,AL34,0))</x:f>
      </x:c>
      <x:c r="AO34" s="56">
        <x:f>(((AI34*7)+(AK34*1)+(AM34*1))/8)</x:f>
      </x:c>
      <x:c r="AP34" s="4" t="s">
        <x:v>35</x:v>
      </x:c>
    </x:row>
    <x:row r="35">
      <x:c r="A35" s="4" t="s">
        <x:v>130</x:v>
      </x:c>
      <x:c r="B35" s="4" t="s">
        <x:v>129</x:v>
      </x:c>
      <x:c r="C35" s="38" t="s">
        <x:v>128</x:v>
      </x:c>
      <x:c r="D35" s="41"/>
      <x:c r="E35" s="44"/>
      <x:c r="F35" s="8">
        <x:v>30</x:v>
      </x:c>
      <x:c r="G35" s="40"/>
      <x:c r="H35" s="43"/>
      <x:c r="I35" s="45">
        <x:v>46313</x:v>
      </x:c>
      <x:c r="J35" s="46">
        <x:v>81</x:v>
      </x:c>
      <x:c r="K35" s="47">
        <x:f>(F35-(0)+0-(J35*Ventas!AE34*1.0556))</x:f>
      </x:c>
      <x:c r="L35" s="49">
        <x:f>(K35/(Ventas!AE34*1.0556)/80)</x:f>
      </x:c>
      <x:c r="M35" s="51">
        <x:f>(G35+0)</x:f>
      </x:c>
      <x:c r="N35" s="40"/>
      <x:c r="O35" s="54">
        <x:f>(H35+0)</x:f>
      </x:c>
      <x:c r="P35" s="43"/>
      <x:c r="Q35" s="55">
        <x:f>(K35+M35+O35)</x:f>
      </x:c>
      <x:c r="R35" s="56">
        <x:f>(((L35*7)+(N35*1)+(P35*0))/8)</x:f>
      </x:c>
      <x:c r="S35" s="47">
        <x:f>(180*(Ventas!AE34*0.9644) - IF(K35&gt;0,K35,0))</x:f>
      </x:c>
      <x:c r="T35" s="47">
        <x:f>IF(S35&gt;0,S35,0)</x:f>
      </x:c>
      <x:c r="U35" s="40"/>
      <x:c r="V35" s="40"/>
      <x:c r="W35" s="43"/>
      <x:c r="X35" s="43"/>
      <x:c r="Y35" s="47">
        <x:f>IF(K35&gt;0,K35+IF(T35&gt;0,T35,0),T35)</x:f>
      </x:c>
      <x:c r="Z35" s="40"/>
      <x:c r="AA35" s="43"/>
      <x:c r="AB35" s="50">
        <x:v>3.6</x:v>
      </x:c>
      <x:c r="AC35" s="8">
        <x:v>3016</x:v>
      </x:c>
      <x:c r="AD35" s="40"/>
      <x:c r="AE35" s="40"/>
      <x:c r="AF35" s="43"/>
      <x:c r="AG35" s="43"/>
      <x:c r="AH35" s="47">
        <x:f>(Y35-(90*Ventas!AE34*0.9644))</x:f>
      </x:c>
      <x:c r="AI35" s="49">
        <x:f>(AH35/(Ventas!AE34*0.9644)/80)</x:f>
      </x:c>
      <x:c r="AJ35" s="40"/>
      <x:c r="AK35" s="40"/>
      <x:c r="AL35" s="43"/>
      <x:c r="AM35" s="43"/>
      <x:c r="AN35" s="55">
        <x:f>(IF(AH35&gt;0,AH35,0)+IF(AJ35&gt;0,AJ35,0)+IF(AL35&gt;0,AL35,0))</x:f>
      </x:c>
      <x:c r="AO35" s="56">
        <x:f>(((AI35*7)+(AK35*1)+(AM35*1))/8)</x:f>
      </x:c>
      <x:c r="AP35" s="4" t="s">
        <x:v>35</x:v>
      </x:c>
    </x:row>
    <x:row r="36">
      <x:c r="A36" s="4" t="s">
        <x:v>133</x:v>
      </x:c>
      <x:c r="B36" s="4" t="s">
        <x:v>132</x:v>
      </x:c>
      <x:c r="C36" s="38" t="s">
        <x:v>131</x:v>
      </x:c>
      <x:c r="D36" s="41"/>
      <x:c r="E36" s="44"/>
      <x:c r="F36" s="8">
        <x:v>26</x:v>
      </x:c>
      <x:c r="G36" s="40"/>
      <x:c r="H36" s="43"/>
      <x:c r="I36" s="45">
        <x:v>46313</x:v>
      </x:c>
      <x:c r="J36" s="46">
        <x:v>81</x:v>
      </x:c>
      <x:c r="K36" s="47">
        <x:f>(F36-(0)+0-(J36*Ventas!AE35*1.0556))</x:f>
      </x:c>
      <x:c r="L36" s="49">
        <x:f>(K36/(Ventas!AE35*1.0556)/80)</x:f>
      </x:c>
      <x:c r="M36" s="51">
        <x:f>(G36+0)</x:f>
      </x:c>
      <x:c r="N36" s="40"/>
      <x:c r="O36" s="54">
        <x:f>(H36+0)</x:f>
      </x:c>
      <x:c r="P36" s="43"/>
      <x:c r="Q36" s="55">
        <x:f>(K36+M36+O36)</x:f>
      </x:c>
      <x:c r="R36" s="56">
        <x:f>(((L36*7)+(N36*1)+(P36*0))/8)</x:f>
      </x:c>
      <x:c r="S36" s="47">
        <x:f>(180*(Ventas!AE35*0.9644) - IF(K36&gt;0,K36,0))</x:f>
      </x:c>
      <x:c r="T36" s="47">
        <x:f>IF(S36&gt;0,S36,0)</x:f>
      </x:c>
      <x:c r="U36" s="40"/>
      <x:c r="V36" s="40"/>
      <x:c r="W36" s="43"/>
      <x:c r="X36" s="43"/>
      <x:c r="Y36" s="47">
        <x:f>IF(K36&gt;0,K36+IF(T36&gt;0,T36,0),T36)</x:f>
      </x:c>
      <x:c r="Z36" s="40"/>
      <x:c r="AA36" s="43"/>
      <x:c r="AB36" s="50">
        <x:v>3.6</x:v>
      </x:c>
      <x:c r="AC36" s="8">
        <x:v>3016</x:v>
      </x:c>
      <x:c r="AD36" s="40"/>
      <x:c r="AE36" s="40"/>
      <x:c r="AF36" s="43"/>
      <x:c r="AG36" s="43"/>
      <x:c r="AH36" s="47">
        <x:f>(Y36-(90*Ventas!AE35*0.9644))</x:f>
      </x:c>
      <x:c r="AI36" s="49">
        <x:f>(AH36/(Ventas!AE35*0.9644)/80)</x:f>
      </x:c>
      <x:c r="AJ36" s="40"/>
      <x:c r="AK36" s="40"/>
      <x:c r="AL36" s="43"/>
      <x:c r="AM36" s="43"/>
      <x:c r="AN36" s="55">
        <x:f>(IF(AH36&gt;0,AH36,0)+IF(AJ36&gt;0,AJ36,0)+IF(AL36&gt;0,AL36,0))</x:f>
      </x:c>
      <x:c r="AO36" s="56">
        <x:f>(((AI36*7)+(AK36*1)+(AM36*1))/8)</x:f>
      </x:c>
      <x:c r="AP36" s="4" t="s">
        <x:v>35</x:v>
      </x:c>
    </x:row>
    <x:row r="37">
      <x:c r="A37" s="4" t="s">
        <x:v>136</x:v>
      </x:c>
      <x:c r="B37" s="4" t="s">
        <x:v>135</x:v>
      </x:c>
      <x:c r="C37" s="38" t="s">
        <x:v>134</x:v>
      </x:c>
      <x:c r="D37" s="41"/>
      <x:c r="E37" s="44"/>
      <x:c r="F37" s="8">
        <x:v>19</x:v>
      </x:c>
      <x:c r="G37" s="40"/>
      <x:c r="H37" s="43"/>
      <x:c r="I37" s="45">
        <x:v>46313</x:v>
      </x:c>
      <x:c r="J37" s="46">
        <x:v>81</x:v>
      </x:c>
      <x:c r="K37" s="47">
        <x:f>(F37-(0)+0-(J37*Ventas!AE36*1.0556))</x:f>
      </x:c>
      <x:c r="L37" s="49">
        <x:f>(K37/(Ventas!AE36*1.0556)/80)</x:f>
      </x:c>
      <x:c r="M37" s="51">
        <x:f>(G37+0)</x:f>
      </x:c>
      <x:c r="N37" s="40"/>
      <x:c r="O37" s="54">
        <x:f>(H37+0)</x:f>
      </x:c>
      <x:c r="P37" s="43"/>
      <x:c r="Q37" s="55">
        <x:f>(K37+M37+O37)</x:f>
      </x:c>
      <x:c r="R37" s="56">
        <x:f>(((L37*7)+(N37*1)+(P37*0))/8)</x:f>
      </x:c>
      <x:c r="S37" s="47">
        <x:f>(180*(Ventas!AE36*0.9644) - IF(K37&gt;0,K37,0))</x:f>
      </x:c>
      <x:c r="T37" s="47">
        <x:f>IF(S37&gt;0,S37,0)</x:f>
      </x:c>
      <x:c r="U37" s="40"/>
      <x:c r="V37" s="40"/>
      <x:c r="W37" s="43"/>
      <x:c r="X37" s="43"/>
      <x:c r="Y37" s="47">
        <x:f>IF(K37&gt;0,K37+IF(T37&gt;0,T37,0),T37)</x:f>
      </x:c>
      <x:c r="Z37" s="40"/>
      <x:c r="AA37" s="43"/>
      <x:c r="AB37" s="50">
        <x:v>3.6</x:v>
      </x:c>
      <x:c r="AC37" s="8">
        <x:v>3016</x:v>
      </x:c>
      <x:c r="AD37" s="40"/>
      <x:c r="AE37" s="40"/>
      <x:c r="AF37" s="43"/>
      <x:c r="AG37" s="43"/>
      <x:c r="AH37" s="47">
        <x:f>(Y37-(90*Ventas!AE36*0.9644))</x:f>
      </x:c>
      <x:c r="AI37" s="49">
        <x:f>(AH37/(Ventas!AE36*0.9644)/80)</x:f>
      </x:c>
      <x:c r="AJ37" s="40"/>
      <x:c r="AK37" s="40"/>
      <x:c r="AL37" s="43"/>
      <x:c r="AM37" s="43"/>
      <x:c r="AN37" s="55">
        <x:f>(IF(AH37&gt;0,AH37,0)+IF(AJ37&gt;0,AJ37,0)+IF(AL37&gt;0,AL37,0))</x:f>
      </x:c>
      <x:c r="AO37" s="56">
        <x:f>(((AI37*7)+(AK37*1)+(AM37*1))/8)</x:f>
      </x:c>
      <x:c r="AP37" s="4" t="s">
        <x:v>35</x:v>
      </x:c>
    </x:row>
    <x:row r="38">
      <x:c r="A38" s="4" t="s">
        <x:v>142</x:v>
      </x:c>
      <x:c r="B38" s="4" t="s">
        <x:v>141</x:v>
      </x:c>
      <x:c r="C38" s="38" t="s">
        <x:v>140</x:v>
      </x:c>
      <x:c r="D38" s="41"/>
      <x:c r="E38" s="44"/>
      <x:c r="F38" s="8">
        <x:v>43</x:v>
      </x:c>
      <x:c r="G38" s="40"/>
      <x:c r="H38" s="43"/>
      <x:c r="I38" s="45">
        <x:v>46313</x:v>
      </x:c>
      <x:c r="J38" s="46">
        <x:v>81</x:v>
      </x:c>
      <x:c r="K38" s="47">
        <x:f>(F38-(0)+0-(J38*Ventas!AE38*1.0556))</x:f>
      </x:c>
      <x:c r="L38" s="49">
        <x:f>(K38/(Ventas!AE38*1.0556)/80)</x:f>
      </x:c>
      <x:c r="M38" s="51">
        <x:f>(G38+0)</x:f>
      </x:c>
      <x:c r="N38" s="40"/>
      <x:c r="O38" s="54">
        <x:f>(H38+0)</x:f>
      </x:c>
      <x:c r="P38" s="43"/>
      <x:c r="Q38" s="55">
        <x:f>(K38+M38+O38)</x:f>
      </x:c>
      <x:c r="R38" s="56">
        <x:f>(((L38*7)+(N38*1)+(P38*0))/8)</x:f>
      </x:c>
      <x:c r="S38" s="47">
        <x:f>(180*(Ventas!AE38*0.9644) - IF(K38&gt;0,K38,0))</x:f>
      </x:c>
      <x:c r="T38" s="47">
        <x:f>IF(S38&gt;0,S38,0)</x:f>
      </x:c>
      <x:c r="U38" s="40"/>
      <x:c r="V38" s="40"/>
      <x:c r="W38" s="43"/>
      <x:c r="X38" s="43"/>
      <x:c r="Y38" s="47">
        <x:f>IF(K38&gt;0,K38+IF(T38&gt;0,T38,0),T38)</x:f>
      </x:c>
      <x:c r="Z38" s="40"/>
      <x:c r="AA38" s="43"/>
      <x:c r="AB38" s="50">
        <x:v>2</x:v>
      </x:c>
      <x:c r="AC38" s="8">
        <x:v>3016</x:v>
      </x:c>
      <x:c r="AD38" s="40"/>
      <x:c r="AE38" s="40"/>
      <x:c r="AF38" s="43"/>
      <x:c r="AG38" s="43"/>
      <x:c r="AH38" s="47">
        <x:f>(Y38-(90*Ventas!AE38*0.9644))</x:f>
      </x:c>
      <x:c r="AI38" s="49">
        <x:f>(AH38/(Ventas!AE38*0.9644)/80)</x:f>
      </x:c>
      <x:c r="AJ38" s="40"/>
      <x:c r="AK38" s="40"/>
      <x:c r="AL38" s="43"/>
      <x:c r="AM38" s="43"/>
      <x:c r="AN38" s="55">
        <x:f>(IF(AH38&gt;0,AH38,0)+IF(AJ38&gt;0,AJ38,0)+IF(AL38&gt;0,AL38,0))</x:f>
      </x:c>
      <x:c r="AO38" s="56">
        <x:f>(((AI38*7)+(AK38*1)+(AM38*1))/8)</x:f>
      </x:c>
      <x:c r="AP38" s="4" t="s">
        <x:v>35</x:v>
      </x:c>
    </x:row>
    <x:row r="39">
      <x:c r="A39" s="4" t="s">
        <x:v>145</x:v>
      </x:c>
      <x:c r="B39" s="4" t="s">
        <x:v>144</x:v>
      </x:c>
      <x:c r="C39" s="38" t="s">
        <x:v>143</x:v>
      </x:c>
      <x:c r="D39" s="41" t="s">
        <x:v>1521</x:v>
      </x:c>
      <x:c r="E39" s="44"/>
      <x:c r="F39" s="8">
        <x:v>131</x:v>
      </x:c>
      <x:c r="G39" s="40"/>
      <x:c r="H39" s="43"/>
      <x:c r="I39" s="45">
        <x:v>46313</x:v>
      </x:c>
      <x:c r="J39" s="46">
        <x:v>81</x:v>
      </x:c>
      <x:c r="K39" s="47">
        <x:f>(F39-(0)+0-(J39*Ventas!AE39*1.0556))</x:f>
      </x:c>
      <x:c r="L39" s="49">
        <x:f>(K39/(Ventas!AE39*1.0556)/80)</x:f>
      </x:c>
      <x:c r="M39" s="51">
        <x:f>(G39-(0)+0-(J39*Ventas!AE507*1.0556))</x:f>
      </x:c>
      <x:c r="N39" s="40"/>
      <x:c r="O39" s="54">
        <x:f>(H39+0)</x:f>
      </x:c>
      <x:c r="P39" s="43"/>
      <x:c r="Q39" s="55">
        <x:f>(K39+M39+O39)</x:f>
      </x:c>
      <x:c r="R39" s="56">
        <x:f>(((L39*7)+(N39*1)+(P39*0))/8)</x:f>
      </x:c>
      <x:c r="S39" s="47">
        <x:f>(180*(Ventas!AE39*0.9644) - IF(K39&gt;0,K39,0))</x:f>
      </x:c>
      <x:c r="T39" s="47">
        <x:f>IF(S39&gt;0,S39,0)</x:f>
      </x:c>
      <x:c r="U39" s="51">
        <x:f>(180*(Ventas!AE507*0.9644) - IF(M39&gt;0,M39,0))</x:f>
      </x:c>
      <x:c r="V39" s="51">
        <x:f>IF(U39&gt;0,U39,0)</x:f>
      </x:c>
      <x:c r="W39" s="43"/>
      <x:c r="X39" s="43"/>
      <x:c r="Y39" s="47">
        <x:f>IF(K39&gt;0,K39+IF(T39&gt;0,T39,0),T39)</x:f>
      </x:c>
      <x:c r="Z39" s="51">
        <x:f>IF(M39&gt;0,M39+IF(V39&gt;0,V39,0),V39)</x:f>
      </x:c>
      <x:c r="AA39" s="43"/>
      <x:c r="AB39" s="50">
        <x:v>3.55</x:v>
      </x:c>
      <x:c r="AC39" s="8">
        <x:v>3016</x:v>
      </x:c>
      <x:c r="AD39" s="53">
        <x:v>4.03</x:v>
      </x:c>
      <x:c r="AE39" s="40"/>
      <x:c r="AF39" s="43"/>
      <x:c r="AG39" s="43"/>
      <x:c r="AH39" s="47">
        <x:f>(Y39-(90*Ventas!AE39*0.9644))</x:f>
      </x:c>
      <x:c r="AI39" s="49">
        <x:f>(AH39/(Ventas!AE39*0.9644)/80)</x:f>
      </x:c>
      <x:c r="AJ39" s="40"/>
      <x:c r="AK39" s="40"/>
      <x:c r="AL39" s="43"/>
      <x:c r="AM39" s="43"/>
      <x:c r="AN39" s="55">
        <x:f>(IF(AH39&gt;0,AH39,0)+IF(AJ39&gt;0,AJ39,0)+IF(AL39&gt;0,AL39,0))</x:f>
      </x:c>
      <x:c r="AO39" s="56">
        <x:f>(((AI39*7)+(AK39*1)+(AM39*1))/8)</x:f>
      </x:c>
      <x:c r="AP39" s="4" t="s">
        <x:v>35</x:v>
      </x:c>
    </x:row>
    <x:row r="40">
      <x:c r="A40" s="4" t="s">
        <x:v>148</x:v>
      </x:c>
      <x:c r="B40" s="4" t="s">
        <x:v>147</x:v>
      </x:c>
      <x:c r="C40" s="38" t="s">
        <x:v>146</x:v>
      </x:c>
      <x:c r="D40" s="41" t="s">
        <x:v>1523</x:v>
      </x:c>
      <x:c r="E40" s="44"/>
      <x:c r="F40" s="8">
        <x:v>26</x:v>
      </x:c>
      <x:c r="G40" s="40"/>
      <x:c r="H40" s="43"/>
      <x:c r="I40" s="45">
        <x:v>46313</x:v>
      </x:c>
      <x:c r="J40" s="46">
        <x:v>81</x:v>
      </x:c>
      <x:c r="K40" s="47">
        <x:f>(F40-(0)+0-(J40*Ventas!AE40*1.0556))</x:f>
      </x:c>
      <x:c r="L40" s="49">
        <x:f>(K40/(Ventas!AE40*1.0556)/80)</x:f>
      </x:c>
      <x:c r="M40" s="51">
        <x:f>(G40-(0)+0-(J40*Ventas!AE508*1.0556))</x:f>
      </x:c>
      <x:c r="N40" s="40"/>
      <x:c r="O40" s="54">
        <x:f>(H40+0)</x:f>
      </x:c>
      <x:c r="P40" s="43"/>
      <x:c r="Q40" s="55">
        <x:f>(K40+M40+O40)</x:f>
      </x:c>
      <x:c r="R40" s="56">
        <x:f>(((L40*7)+(N40*1)+(P40*0))/8)</x:f>
      </x:c>
      <x:c r="S40" s="47">
        <x:f>(180*(Ventas!AE40*0.9644) - IF(K40&gt;0,K40,0))</x:f>
      </x:c>
      <x:c r="T40" s="47">
        <x:f>IF(S40&gt;0,S40,0)</x:f>
      </x:c>
      <x:c r="U40" s="51">
        <x:f>(180*(Ventas!AE508*0.9644) - IF(M40&gt;0,M40,0))</x:f>
      </x:c>
      <x:c r="V40" s="51">
        <x:f>IF(U40&gt;0,U40,0)</x:f>
      </x:c>
      <x:c r="W40" s="43"/>
      <x:c r="X40" s="43"/>
      <x:c r="Y40" s="47">
        <x:f>IF(K40&gt;0,K40+IF(T40&gt;0,T40,0),T40)</x:f>
      </x:c>
      <x:c r="Z40" s="51">
        <x:f>IF(M40&gt;0,M40+IF(V40&gt;0,V40,0),V40)</x:f>
      </x:c>
      <x:c r="AA40" s="43"/>
      <x:c r="AB40" s="50">
        <x:v>6</x:v>
      </x:c>
      <x:c r="AC40" s="8">
        <x:v>3016</x:v>
      </x:c>
      <x:c r="AD40" s="40"/>
      <x:c r="AE40" s="40"/>
      <x:c r="AF40" s="43"/>
      <x:c r="AG40" s="43"/>
      <x:c r="AH40" s="47">
        <x:f>(Y40-(90*Ventas!AE40*0.9644))</x:f>
      </x:c>
      <x:c r="AI40" s="49">
        <x:f>(AH40/(Ventas!AE40*0.9644)/80)</x:f>
      </x:c>
      <x:c r="AJ40" s="40"/>
      <x:c r="AK40" s="40"/>
      <x:c r="AL40" s="43"/>
      <x:c r="AM40" s="43"/>
      <x:c r="AN40" s="55">
        <x:f>(IF(AH40&gt;0,AH40,0)+IF(AJ40&gt;0,AJ40,0)+IF(AL40&gt;0,AL40,0))</x:f>
      </x:c>
      <x:c r="AO40" s="56">
        <x:f>(((AI40*7)+(AK40*1)+(AM40*1))/8)</x:f>
      </x:c>
      <x:c r="AP40" s="4" t="s">
        <x:v>35</x:v>
      </x:c>
    </x:row>
    <x:row r="41">
      <x:c r="A41" s="4" t="s">
        <x:v>151</x:v>
      </x:c>
      <x:c r="B41" s="4" t="s">
        <x:v>150</x:v>
      </x:c>
      <x:c r="C41" s="38" t="s">
        <x:v>149</x:v>
      </x:c>
      <x:c r="D41" s="41"/>
      <x:c r="E41" s="44"/>
      <x:c r="F41" s="8">
        <x:v>21</x:v>
      </x:c>
      <x:c r="G41" s="40"/>
      <x:c r="H41" s="43"/>
      <x:c r="I41" s="45">
        <x:v>46313</x:v>
      </x:c>
      <x:c r="J41" s="46">
        <x:v>81</x:v>
      </x:c>
      <x:c r="K41" s="47">
        <x:f>(F41-(0)+0-(J41*Ventas!AE41*1.0556))</x:f>
      </x:c>
      <x:c r="L41" s="49">
        <x:f>(K41/(Ventas!AE41*1.0556)/80)</x:f>
      </x:c>
      <x:c r="M41" s="51">
        <x:f>(G41+0)</x:f>
      </x:c>
      <x:c r="N41" s="40"/>
      <x:c r="O41" s="54">
        <x:f>(H41+0)</x:f>
      </x:c>
      <x:c r="P41" s="43"/>
      <x:c r="Q41" s="55">
        <x:f>(K41+M41+O41)</x:f>
      </x:c>
      <x:c r="R41" s="56">
        <x:f>(((L41*7)+(N41*1)+(P41*0))/8)</x:f>
      </x:c>
      <x:c r="S41" s="47">
        <x:f>(180*(Ventas!AE41*0.9644) - IF(K41&gt;0,K41,0))</x:f>
      </x:c>
      <x:c r="T41" s="47">
        <x:f>IF(S41&gt;0,S41,0)</x:f>
      </x:c>
      <x:c r="U41" s="40"/>
      <x:c r="V41" s="40"/>
      <x:c r="W41" s="43"/>
      <x:c r="X41" s="43"/>
      <x:c r="Y41" s="47">
        <x:f>IF(K41&gt;0,K41+IF(T41&gt;0,T41,0),T41)</x:f>
      </x:c>
      <x:c r="Z41" s="40"/>
      <x:c r="AA41" s="43"/>
      <x:c r="AB41" s="50">
        <x:v>3.5</x:v>
      </x:c>
      <x:c r="AC41" s="8">
        <x:v>3016</x:v>
      </x:c>
      <x:c r="AD41" s="40"/>
      <x:c r="AE41" s="40"/>
      <x:c r="AF41" s="43"/>
      <x:c r="AG41" s="43"/>
      <x:c r="AH41" s="47">
        <x:f>(Y41-(90*Ventas!AE41*0.9644))</x:f>
      </x:c>
      <x:c r="AI41" s="49">
        <x:f>(AH41/(Ventas!AE41*0.9644)/80)</x:f>
      </x:c>
      <x:c r="AJ41" s="40"/>
      <x:c r="AK41" s="40"/>
      <x:c r="AL41" s="43"/>
      <x:c r="AM41" s="43"/>
      <x:c r="AN41" s="55">
        <x:f>(IF(AH41&gt;0,AH41,0)+IF(AJ41&gt;0,AJ41,0)+IF(AL41&gt;0,AL41,0))</x:f>
      </x:c>
      <x:c r="AO41" s="56">
        <x:f>(((AI41*7)+(AK41*1)+(AM41*1))/8)</x:f>
      </x:c>
      <x:c r="AP41" s="4" t="s">
        <x:v>35</x:v>
      </x:c>
    </x:row>
    <x:row r="42">
      <x:c r="A42" s="4" t="s">
        <x:v>154</x:v>
      </x:c>
      <x:c r="B42" s="4" t="s">
        <x:v>153</x:v>
      </x:c>
      <x:c r="C42" s="38" t="s">
        <x:v>152</x:v>
      </x:c>
      <x:c r="D42" s="41"/>
      <x:c r="E42" s="44"/>
      <x:c r="F42" s="8">
        <x:v>88</x:v>
      </x:c>
      <x:c r="G42" s="40"/>
      <x:c r="H42" s="43"/>
      <x:c r="I42" s="45">
        <x:v>46313</x:v>
      </x:c>
      <x:c r="J42" s="46">
        <x:v>81</x:v>
      </x:c>
      <x:c r="K42" s="47">
        <x:f>(F42-(0)+0-(J42*Ventas!AE42*1.0556))</x:f>
      </x:c>
      <x:c r="L42" s="49">
        <x:f>(K42/(Ventas!AE42*1.0556)/80)</x:f>
      </x:c>
      <x:c r="M42" s="51">
        <x:f>(G42+0)</x:f>
      </x:c>
      <x:c r="N42" s="40"/>
      <x:c r="O42" s="54">
        <x:f>(H42+0)</x:f>
      </x:c>
      <x:c r="P42" s="43"/>
      <x:c r="Q42" s="55">
        <x:f>(K42+M42+O42)</x:f>
      </x:c>
      <x:c r="R42" s="56">
        <x:f>(((L42*7)+(N42*1)+(P42*0))/8)</x:f>
      </x:c>
      <x:c r="S42" s="47">
        <x:f>(180*(Ventas!AE42*0.9644) - IF(K42&gt;0,K42,0))</x:f>
      </x:c>
      <x:c r="T42" s="47">
        <x:f>IF(S42&gt;0,S42,0)</x:f>
      </x:c>
      <x:c r="U42" s="40"/>
      <x:c r="V42" s="40"/>
      <x:c r="W42" s="43"/>
      <x:c r="X42" s="43"/>
      <x:c r="Y42" s="47">
        <x:f>IF(K42&gt;0,K42+IF(T42&gt;0,T42,0),T42)</x:f>
      </x:c>
      <x:c r="Z42" s="40"/>
      <x:c r="AA42" s="43"/>
      <x:c r="AB42" s="50">
        <x:v>2.75</x:v>
      </x:c>
      <x:c r="AC42" s="8">
        <x:v>3016</x:v>
      </x:c>
      <x:c r="AD42" s="40"/>
      <x:c r="AE42" s="40"/>
      <x:c r="AF42" s="43"/>
      <x:c r="AG42" s="43"/>
      <x:c r="AH42" s="47">
        <x:f>(Y42-(90*Ventas!AE42*0.9644))</x:f>
      </x:c>
      <x:c r="AI42" s="49">
        <x:f>(AH42/(Ventas!AE42*0.9644)/80)</x:f>
      </x:c>
      <x:c r="AJ42" s="40"/>
      <x:c r="AK42" s="40"/>
      <x:c r="AL42" s="43"/>
      <x:c r="AM42" s="43"/>
      <x:c r="AN42" s="55">
        <x:f>(IF(AH42&gt;0,AH42,0)+IF(AJ42&gt;0,AJ42,0)+IF(AL42&gt;0,AL42,0))</x:f>
      </x:c>
      <x:c r="AO42" s="56">
        <x:f>(((AI42*7)+(AK42*1)+(AM42*1))/8)</x:f>
      </x:c>
      <x:c r="AP42" s="4" t="s">
        <x:v>35</x:v>
      </x:c>
    </x:row>
    <x:row r="43">
      <x:c r="A43" s="4" t="s">
        <x:v>157</x:v>
      </x:c>
      <x:c r="B43" s="4" t="s">
        <x:v>156</x:v>
      </x:c>
      <x:c r="C43" s="38" t="s">
        <x:v>155</x:v>
      </x:c>
      <x:c r="D43" s="41"/>
      <x:c r="E43" s="44"/>
      <x:c r="F43" s="8">
        <x:v>71</x:v>
      </x:c>
      <x:c r="G43" s="40"/>
      <x:c r="H43" s="43"/>
      <x:c r="I43" s="45">
        <x:v>46313</x:v>
      </x:c>
      <x:c r="J43" s="46">
        <x:v>81</x:v>
      </x:c>
      <x:c r="K43" s="47">
        <x:f>(F43-(0)+0-(J43*Ventas!AE43*1.0556))</x:f>
      </x:c>
      <x:c r="L43" s="49">
        <x:f>(K43/(Ventas!AE43*1.0556)/80)</x:f>
      </x:c>
      <x:c r="M43" s="51">
        <x:f>(G43+0)</x:f>
      </x:c>
      <x:c r="N43" s="40"/>
      <x:c r="O43" s="54">
        <x:f>(H43+0)</x:f>
      </x:c>
      <x:c r="P43" s="43"/>
      <x:c r="Q43" s="55">
        <x:f>(K43+M43+O43)</x:f>
      </x:c>
      <x:c r="R43" s="56">
        <x:f>(((L43*7)+(N43*1)+(P43*0))/8)</x:f>
      </x:c>
      <x:c r="S43" s="47">
        <x:f>(180*(Ventas!AE43*0.9644) - IF(K43&gt;0,K43,0))</x:f>
      </x:c>
      <x:c r="T43" s="47">
        <x:f>IF(S43&gt;0,S43,0)</x:f>
      </x:c>
      <x:c r="U43" s="40"/>
      <x:c r="V43" s="40"/>
      <x:c r="W43" s="43"/>
      <x:c r="X43" s="43"/>
      <x:c r="Y43" s="47">
        <x:f>IF(K43&gt;0,K43+IF(T43&gt;0,T43,0),T43)</x:f>
      </x:c>
      <x:c r="Z43" s="40"/>
      <x:c r="AA43" s="43"/>
      <x:c r="AB43" s="50">
        <x:v>3.3</x:v>
      </x:c>
      <x:c r="AC43" s="8">
        <x:v>3016</x:v>
      </x:c>
      <x:c r="AD43" s="40"/>
      <x:c r="AE43" s="40"/>
      <x:c r="AF43" s="43"/>
      <x:c r="AG43" s="43"/>
      <x:c r="AH43" s="47">
        <x:f>(Y43-(90*Ventas!AE43*0.9644))</x:f>
      </x:c>
      <x:c r="AI43" s="49">
        <x:f>(AH43/(Ventas!AE43*0.9644)/80)</x:f>
      </x:c>
      <x:c r="AJ43" s="40"/>
      <x:c r="AK43" s="40"/>
      <x:c r="AL43" s="43"/>
      <x:c r="AM43" s="43"/>
      <x:c r="AN43" s="55">
        <x:f>(IF(AH43&gt;0,AH43,0)+IF(AJ43&gt;0,AJ43,0)+IF(AL43&gt;0,AL43,0))</x:f>
      </x:c>
      <x:c r="AO43" s="56">
        <x:f>(((AI43*7)+(AK43*1)+(AM43*1))/8)</x:f>
      </x:c>
      <x:c r="AP43" s="4" t="s">
        <x:v>35</x:v>
      </x:c>
    </x:row>
    <x:row r="44">
      <x:c r="A44" s="4" t="s">
        <x:v>160</x:v>
      </x:c>
      <x:c r="B44" s="4" t="s">
        <x:v>159</x:v>
      </x:c>
      <x:c r="C44" s="38" t="s">
        <x:v>158</x:v>
      </x:c>
      <x:c r="D44" s="41"/>
      <x:c r="E44" s="44"/>
      <x:c r="F44" s="8">
        <x:v>13</x:v>
      </x:c>
      <x:c r="G44" s="40"/>
      <x:c r="H44" s="43"/>
      <x:c r="I44" s="45">
        <x:v>46313</x:v>
      </x:c>
      <x:c r="J44" s="46">
        <x:v>81</x:v>
      </x:c>
      <x:c r="K44" s="47">
        <x:f>(F44-(0)+0-(J44*Ventas!AE44*1.0556))</x:f>
      </x:c>
      <x:c r="L44" s="49">
        <x:f>(K44/(Ventas!AE44*1.0556)/80)</x:f>
      </x:c>
      <x:c r="M44" s="51">
        <x:f>(G44+0)</x:f>
      </x:c>
      <x:c r="N44" s="40"/>
      <x:c r="O44" s="54">
        <x:f>(H44+0)</x:f>
      </x:c>
      <x:c r="P44" s="43"/>
      <x:c r="Q44" s="55">
        <x:f>(K44+M44+O44)</x:f>
      </x:c>
      <x:c r="R44" s="56">
        <x:f>(((L44*7)+(N44*1)+(P44*0))/8)</x:f>
      </x:c>
      <x:c r="S44" s="47">
        <x:f>(180*(Ventas!AE44*0.9644) - IF(K44&gt;0,K44,0))</x:f>
      </x:c>
      <x:c r="T44" s="47">
        <x:f>IF(S44&gt;0,S44,0)</x:f>
      </x:c>
      <x:c r="U44" s="40"/>
      <x:c r="V44" s="40"/>
      <x:c r="W44" s="43"/>
      <x:c r="X44" s="43"/>
      <x:c r="Y44" s="47">
        <x:f>IF(K44&gt;0,K44+IF(T44&gt;0,T44,0),T44)</x:f>
      </x:c>
      <x:c r="Z44" s="40"/>
      <x:c r="AA44" s="43"/>
      <x:c r="AB44" s="50">
        <x:v>2.7</x:v>
      </x:c>
      <x:c r="AC44" s="8">
        <x:v>3016</x:v>
      </x:c>
      <x:c r="AD44" s="40"/>
      <x:c r="AE44" s="40"/>
      <x:c r="AF44" s="43"/>
      <x:c r="AG44" s="43"/>
      <x:c r="AH44" s="47">
        <x:f>(Y44-(90*Ventas!AE44*0.9644))</x:f>
      </x:c>
      <x:c r="AI44" s="49">
        <x:f>(AH44/(Ventas!AE44*0.9644)/80)</x:f>
      </x:c>
      <x:c r="AJ44" s="40"/>
      <x:c r="AK44" s="40"/>
      <x:c r="AL44" s="43"/>
      <x:c r="AM44" s="43"/>
      <x:c r="AN44" s="55">
        <x:f>(IF(AH44&gt;0,AH44,0)+IF(AJ44&gt;0,AJ44,0)+IF(AL44&gt;0,AL44,0))</x:f>
      </x:c>
      <x:c r="AO44" s="56">
        <x:f>(((AI44*7)+(AK44*1)+(AM44*1))/8)</x:f>
      </x:c>
      <x:c r="AP44" s="4" t="s">
        <x:v>35</x:v>
      </x:c>
    </x:row>
    <x:row r="45">
      <x:c r="A45" s="4" t="s">
        <x:v>163</x:v>
      </x:c>
      <x:c r="B45" s="4" t="s">
        <x:v>162</x:v>
      </x:c>
      <x:c r="C45" s="38" t="s">
        <x:v>161</x:v>
      </x:c>
      <x:c r="D45" s="41"/>
      <x:c r="E45" s="44"/>
      <x:c r="F45" s="6"/>
      <x:c r="G45" s="40"/>
      <x:c r="H45" s="43"/>
      <x:c r="I45" s="45">
        <x:v>46313</x:v>
      </x:c>
      <x:c r="J45" s="46">
        <x:v>81</x:v>
      </x:c>
      <x:c r="K45" s="47">
        <x:f>(F45-(0)+0-(J45*Ventas!AE45*1.0556))</x:f>
      </x:c>
      <x:c r="L45" s="6"/>
      <x:c r="M45" s="51">
        <x:f>(G45+0)</x:f>
      </x:c>
      <x:c r="N45" s="40"/>
      <x:c r="O45" s="54">
        <x:f>(H45+0)</x:f>
      </x:c>
      <x:c r="P45" s="43"/>
      <x:c r="Q45" s="55">
        <x:f>(K45+M45+O45)</x:f>
      </x:c>
      <x:c r="R45" s="56">
        <x:f>(((L45*7)+(N45*1)+(P45*0))/8)</x:f>
      </x:c>
      <x:c r="S45" s="47">
        <x:f>(180*(Ventas!AE45*0.9644) - IF(K45&gt;0,K45,0))</x:f>
      </x:c>
      <x:c r="T45" s="47">
        <x:f>IF(S45&gt;0,S45,0)</x:f>
      </x:c>
      <x:c r="U45" s="40"/>
      <x:c r="V45" s="40"/>
      <x:c r="W45" s="43"/>
      <x:c r="X45" s="43"/>
      <x:c r="Y45" s="47">
        <x:f>IF(K45&gt;0,K45+IF(T45&gt;0,T45,0),T45)</x:f>
      </x:c>
      <x:c r="Z45" s="40"/>
      <x:c r="AA45" s="43"/>
      <x:c r="AB45" s="50">
        <x:v>9</x:v>
      </x:c>
      <x:c r="AC45" s="8">
        <x:v>3002</x:v>
      </x:c>
      <x:c r="AD45" s="40"/>
      <x:c r="AE45" s="40"/>
      <x:c r="AF45" s="43"/>
      <x:c r="AG45" s="43"/>
      <x:c r="AH45" s="6"/>
      <x:c r="AI45" s="6"/>
      <x:c r="AJ45" s="40"/>
      <x:c r="AK45" s="40"/>
      <x:c r="AL45" s="43"/>
      <x:c r="AM45" s="43"/>
      <x:c r="AN45" s="55">
        <x:f>(IF(AH45&gt;0,AH45,0)+IF(AJ45&gt;0,AJ45,0)+IF(AL45&gt;0,AL45,0))</x:f>
      </x:c>
      <x:c r="AO45" s="56">
        <x:f>(((AI45*7)+(AK45*1)+(AM45*1))/8)</x:f>
      </x:c>
      <x:c r="AP45" s="4" t="s">
        <x:v>35</x:v>
      </x:c>
    </x:row>
    <x:row r="46">
      <x:c r="A46" s="4" t="s">
        <x:v>166</x:v>
      </x:c>
      <x:c r="B46" s="4" t="s">
        <x:v>165</x:v>
      </x:c>
      <x:c r="C46" s="38" t="s">
        <x:v>164</x:v>
      </x:c>
      <x:c r="D46" s="41"/>
      <x:c r="E46" s="44"/>
      <x:c r="F46" s="8">
        <x:v>10</x:v>
      </x:c>
      <x:c r="G46" s="40"/>
      <x:c r="H46" s="43"/>
      <x:c r="I46" s="45">
        <x:v>46313</x:v>
      </x:c>
      <x:c r="J46" s="46">
        <x:v>81</x:v>
      </x:c>
      <x:c r="K46" s="47">
        <x:f>(F46-(0)+0-(J46*Ventas!AE46*1.0556))</x:f>
      </x:c>
      <x:c r="L46" s="49">
        <x:f>(K46/(Ventas!AE46*1.0556)/80)</x:f>
      </x:c>
      <x:c r="M46" s="51">
        <x:f>(G46+0)</x:f>
      </x:c>
      <x:c r="N46" s="40"/>
      <x:c r="O46" s="54">
        <x:f>(H46+0)</x:f>
      </x:c>
      <x:c r="P46" s="43"/>
      <x:c r="Q46" s="55">
        <x:f>(K46+M46+O46)</x:f>
      </x:c>
      <x:c r="R46" s="56">
        <x:f>(((L46*7)+(N46*1)+(P46*0))/8)</x:f>
      </x:c>
      <x:c r="S46" s="47">
        <x:f>(180*(Ventas!AE46*0.9644) - IF(K46&gt;0,K46,0))</x:f>
      </x:c>
      <x:c r="T46" s="47">
        <x:f>IF(S46&gt;0,S46,0)</x:f>
      </x:c>
      <x:c r="U46" s="40"/>
      <x:c r="V46" s="40"/>
      <x:c r="W46" s="43"/>
      <x:c r="X46" s="43"/>
      <x:c r="Y46" s="47">
        <x:f>IF(K46&gt;0,K46+IF(T46&gt;0,T46,0),T46)</x:f>
      </x:c>
      <x:c r="Z46" s="40"/>
      <x:c r="AA46" s="43"/>
      <x:c r="AB46" s="50">
        <x:v>4</x:v>
      </x:c>
      <x:c r="AC46" s="8">
        <x:v>3016</x:v>
      </x:c>
      <x:c r="AD46" s="40"/>
      <x:c r="AE46" s="40"/>
      <x:c r="AF46" s="43"/>
      <x:c r="AG46" s="43"/>
      <x:c r="AH46" s="47">
        <x:f>(Y46-(90*Ventas!AE46*0.9644))</x:f>
      </x:c>
      <x:c r="AI46" s="49">
        <x:f>(AH46/(Ventas!AE46*0.9644)/80)</x:f>
      </x:c>
      <x:c r="AJ46" s="40"/>
      <x:c r="AK46" s="40"/>
      <x:c r="AL46" s="43"/>
      <x:c r="AM46" s="43"/>
      <x:c r="AN46" s="55">
        <x:f>(IF(AH46&gt;0,AH46,0)+IF(AJ46&gt;0,AJ46,0)+IF(AL46&gt;0,AL46,0))</x:f>
      </x:c>
      <x:c r="AO46" s="56">
        <x:f>(((AI46*7)+(AK46*1)+(AM46*1))/8)</x:f>
      </x:c>
      <x:c r="AP46" s="4" t="s">
        <x:v>35</x:v>
      </x:c>
    </x:row>
    <x:row r="47">
      <x:c r="A47" s="4" t="s">
        <x:v>169</x:v>
      </x:c>
      <x:c r="B47" s="4" t="s">
        <x:v>168</x:v>
      </x:c>
      <x:c r="C47" s="38" t="s">
        <x:v>167</x:v>
      </x:c>
      <x:c r="D47" s="41"/>
      <x:c r="E47" s="44"/>
      <x:c r="F47" s="8">
        <x:v>3</x:v>
      </x:c>
      <x:c r="G47" s="40"/>
      <x:c r="H47" s="43"/>
      <x:c r="I47" s="45">
        <x:v>46313</x:v>
      </x:c>
      <x:c r="J47" s="46">
        <x:v>81</x:v>
      </x:c>
      <x:c r="K47" s="47">
        <x:f>(F47-(0)+0-(J47*Ventas!AE47*1.0556))</x:f>
      </x:c>
      <x:c r="L47" s="49">
        <x:f>(K47/(Ventas!AE47*1.0556)/80)</x:f>
      </x:c>
      <x:c r="M47" s="51">
        <x:f>(G47+0)</x:f>
      </x:c>
      <x:c r="N47" s="40"/>
      <x:c r="O47" s="54">
        <x:f>(H47+0)</x:f>
      </x:c>
      <x:c r="P47" s="43"/>
      <x:c r="Q47" s="55">
        <x:f>(K47+M47+O47)</x:f>
      </x:c>
      <x:c r="R47" s="56">
        <x:f>(((L47*7)+(N47*1)+(P47*0))/8)</x:f>
      </x:c>
      <x:c r="S47" s="47">
        <x:f>(180*(Ventas!AE47*0.9644) - IF(K47&gt;0,K47,0))</x:f>
      </x:c>
      <x:c r="T47" s="47">
        <x:f>IF(S47&gt;0,S47,0)</x:f>
      </x:c>
      <x:c r="U47" s="40"/>
      <x:c r="V47" s="40"/>
      <x:c r="W47" s="43"/>
      <x:c r="X47" s="43"/>
      <x:c r="Y47" s="47">
        <x:f>IF(K47&gt;0,K47+IF(T47&gt;0,T47,0),T47)</x:f>
      </x:c>
      <x:c r="Z47" s="40"/>
      <x:c r="AA47" s="43"/>
      <x:c r="AB47" s="50">
        <x:v>4.8</x:v>
      </x:c>
      <x:c r="AC47" s="8">
        <x:v>3016</x:v>
      </x:c>
      <x:c r="AD47" s="40"/>
      <x:c r="AE47" s="40"/>
      <x:c r="AF47" s="43"/>
      <x:c r="AG47" s="43"/>
      <x:c r="AH47" s="47">
        <x:f>(Y47-(90*Ventas!AE47*0.9644))</x:f>
      </x:c>
      <x:c r="AI47" s="49">
        <x:f>(AH47/(Ventas!AE47*0.9644)/80)</x:f>
      </x:c>
      <x:c r="AJ47" s="40"/>
      <x:c r="AK47" s="40"/>
      <x:c r="AL47" s="43"/>
      <x:c r="AM47" s="43"/>
      <x:c r="AN47" s="55">
        <x:f>(IF(AH47&gt;0,AH47,0)+IF(AJ47&gt;0,AJ47,0)+IF(AL47&gt;0,AL47,0))</x:f>
      </x:c>
      <x:c r="AO47" s="56">
        <x:f>(((AI47*7)+(AK47*1)+(AM47*1))/8)</x:f>
      </x:c>
      <x:c r="AP47" s="4" t="s">
        <x:v>35</x:v>
      </x:c>
    </x:row>
    <x:row r="48">
      <x:c r="A48" s="4" t="s">
        <x:v>172</x:v>
      </x:c>
      <x:c r="B48" s="4" t="s">
        <x:v>171</x:v>
      </x:c>
      <x:c r="C48" s="38" t="s">
        <x:v>170</x:v>
      </x:c>
      <x:c r="D48" s="41"/>
      <x:c r="E48" s="44"/>
      <x:c r="F48" s="8">
        <x:v>13</x:v>
      </x:c>
      <x:c r="G48" s="40"/>
      <x:c r="H48" s="43"/>
      <x:c r="I48" s="45">
        <x:v>46313</x:v>
      </x:c>
      <x:c r="J48" s="46">
        <x:v>81</x:v>
      </x:c>
      <x:c r="K48" s="47">
        <x:f>(F48-(0)+0-(J48*Ventas!AE48*1.0556))</x:f>
      </x:c>
      <x:c r="L48" s="49">
        <x:f>(K48/(Ventas!AE48*1.0556)/80)</x:f>
      </x:c>
      <x:c r="M48" s="51">
        <x:f>(G48+0)</x:f>
      </x:c>
      <x:c r="N48" s="40"/>
      <x:c r="O48" s="54">
        <x:f>(H48+0)</x:f>
      </x:c>
      <x:c r="P48" s="43"/>
      <x:c r="Q48" s="55">
        <x:f>(K48+M48+O48)</x:f>
      </x:c>
      <x:c r="R48" s="56">
        <x:f>(((L48*7)+(N48*1)+(P48*0))/8)</x:f>
      </x:c>
      <x:c r="S48" s="47">
        <x:f>(180*(Ventas!AE48*0.9644) - IF(K48&gt;0,K48,0))</x:f>
      </x:c>
      <x:c r="T48" s="47">
        <x:f>IF(S48&gt;0,S48,0)</x:f>
      </x:c>
      <x:c r="U48" s="40"/>
      <x:c r="V48" s="40"/>
      <x:c r="W48" s="43"/>
      <x:c r="X48" s="43"/>
      <x:c r="Y48" s="47">
        <x:f>IF(K48&gt;0,K48+IF(T48&gt;0,T48,0),T48)</x:f>
      </x:c>
      <x:c r="Z48" s="40"/>
      <x:c r="AA48" s="43"/>
      <x:c r="AB48" s="50">
        <x:v>7.9</x:v>
      </x:c>
      <x:c r="AC48" s="8">
        <x:v>3016</x:v>
      </x:c>
      <x:c r="AD48" s="40"/>
      <x:c r="AE48" s="40"/>
      <x:c r="AF48" s="43"/>
      <x:c r="AG48" s="43"/>
      <x:c r="AH48" s="47">
        <x:f>(Y48-(90*Ventas!AE48*0.9644))</x:f>
      </x:c>
      <x:c r="AI48" s="49">
        <x:f>(AH48/(Ventas!AE48*0.9644)/80)</x:f>
      </x:c>
      <x:c r="AJ48" s="40"/>
      <x:c r="AK48" s="40"/>
      <x:c r="AL48" s="43"/>
      <x:c r="AM48" s="43"/>
      <x:c r="AN48" s="55">
        <x:f>(IF(AH48&gt;0,AH48,0)+IF(AJ48&gt;0,AJ48,0)+IF(AL48&gt;0,AL48,0))</x:f>
      </x:c>
      <x:c r="AO48" s="56">
        <x:f>(((AI48*7)+(AK48*1)+(AM48*1))/8)</x:f>
      </x:c>
      <x:c r="AP48" s="4" t="s">
        <x:v>35</x:v>
      </x:c>
    </x:row>
    <x:row r="49">
      <x:c r="A49" s="4" t="s">
        <x:v>175</x:v>
      </x:c>
      <x:c r="B49" s="4" t="s">
        <x:v>174</x:v>
      </x:c>
      <x:c r="C49" s="38" t="s">
        <x:v>173</x:v>
      </x:c>
      <x:c r="D49" s="41"/>
      <x:c r="E49" s="44"/>
      <x:c r="F49" s="8">
        <x:v>22</x:v>
      </x:c>
      <x:c r="G49" s="40"/>
      <x:c r="H49" s="43"/>
      <x:c r="I49" s="45">
        <x:v>46313</x:v>
      </x:c>
      <x:c r="J49" s="46">
        <x:v>81</x:v>
      </x:c>
      <x:c r="K49" s="47">
        <x:f>(F49-(0)+0-(J49*Ventas!AE49*1.0556))</x:f>
      </x:c>
      <x:c r="L49" s="49">
        <x:f>(K49/(Ventas!AE49*1.0556)/80)</x:f>
      </x:c>
      <x:c r="M49" s="51">
        <x:f>(G49+0)</x:f>
      </x:c>
      <x:c r="N49" s="40"/>
      <x:c r="O49" s="54">
        <x:f>(H49+0)</x:f>
      </x:c>
      <x:c r="P49" s="43"/>
      <x:c r="Q49" s="55">
        <x:f>(K49+M49+O49)</x:f>
      </x:c>
      <x:c r="R49" s="56">
        <x:f>(((L49*7)+(N49*1)+(P49*0))/8)</x:f>
      </x:c>
      <x:c r="S49" s="47">
        <x:f>(180*(Ventas!AE49*0.9644) - IF(K49&gt;0,K49,0))</x:f>
      </x:c>
      <x:c r="T49" s="47">
        <x:f>IF(S49&gt;0,S49,0)</x:f>
      </x:c>
      <x:c r="U49" s="40"/>
      <x:c r="V49" s="40"/>
      <x:c r="W49" s="43"/>
      <x:c r="X49" s="43"/>
      <x:c r="Y49" s="47">
        <x:f>IF(K49&gt;0,K49+IF(T49&gt;0,T49,0),T49)</x:f>
      </x:c>
      <x:c r="Z49" s="40"/>
      <x:c r="AA49" s="43"/>
      <x:c r="AB49" s="50">
        <x:v>10.8</x:v>
      </x:c>
      <x:c r="AC49" s="8">
        <x:v>3016</x:v>
      </x:c>
      <x:c r="AD49" s="40"/>
      <x:c r="AE49" s="40"/>
      <x:c r="AF49" s="43"/>
      <x:c r="AG49" s="43"/>
      <x:c r="AH49" s="47">
        <x:f>(Y49-(90*Ventas!AE49*0.9644))</x:f>
      </x:c>
      <x:c r="AI49" s="49">
        <x:f>(AH49/(Ventas!AE49*0.9644)/80)</x:f>
      </x:c>
      <x:c r="AJ49" s="40"/>
      <x:c r="AK49" s="40"/>
      <x:c r="AL49" s="43"/>
      <x:c r="AM49" s="43"/>
      <x:c r="AN49" s="55">
        <x:f>(IF(AH49&gt;0,AH49,0)+IF(AJ49&gt;0,AJ49,0)+IF(AL49&gt;0,AL49,0))</x:f>
      </x:c>
      <x:c r="AO49" s="56">
        <x:f>(((AI49*7)+(AK49*1)+(AM49*1))/8)</x:f>
      </x:c>
      <x:c r="AP49" s="4" t="s">
        <x:v>35</x:v>
      </x:c>
    </x:row>
    <x:row r="50">
      <x:c r="A50" s="4" t="s">
        <x:v>178</x:v>
      </x:c>
      <x:c r="B50" s="4" t="s">
        <x:v>177</x:v>
      </x:c>
      <x:c r="C50" s="38" t="s">
        <x:v>176</x:v>
      </x:c>
      <x:c r="D50" s="41"/>
      <x:c r="E50" s="44"/>
      <x:c r="F50" s="8">
        <x:v>13</x:v>
      </x:c>
      <x:c r="G50" s="40"/>
      <x:c r="H50" s="43"/>
      <x:c r="I50" s="45">
        <x:v>46313</x:v>
      </x:c>
      <x:c r="J50" s="46">
        <x:v>81</x:v>
      </x:c>
      <x:c r="K50" s="47">
        <x:f>(F50-(0)+0-(J50*Ventas!AE50*1.0556))</x:f>
      </x:c>
      <x:c r="L50" s="49">
        <x:f>(K50/(Ventas!AE50*1.0556)/80)</x:f>
      </x:c>
      <x:c r="M50" s="51">
        <x:f>(G50+0)</x:f>
      </x:c>
      <x:c r="N50" s="40"/>
      <x:c r="O50" s="54">
        <x:f>(H50+0)</x:f>
      </x:c>
      <x:c r="P50" s="43"/>
      <x:c r="Q50" s="55">
        <x:f>(K50+M50+O50)</x:f>
      </x:c>
      <x:c r="R50" s="56">
        <x:f>(((L50*7)+(N50*1)+(P50*0))/8)</x:f>
      </x:c>
      <x:c r="S50" s="47">
        <x:f>(180*(Ventas!AE50*0.9644) - IF(K50&gt;0,K50,0))</x:f>
      </x:c>
      <x:c r="T50" s="47">
        <x:f>IF(S50&gt;0,S50,0)</x:f>
      </x:c>
      <x:c r="U50" s="40"/>
      <x:c r="V50" s="40"/>
      <x:c r="W50" s="43"/>
      <x:c r="X50" s="43"/>
      <x:c r="Y50" s="47">
        <x:f>IF(K50&gt;0,K50+IF(T50&gt;0,T50,0),T50)</x:f>
      </x:c>
      <x:c r="Z50" s="40"/>
      <x:c r="AA50" s="43"/>
      <x:c r="AB50" s="50">
        <x:v>2.6</x:v>
      </x:c>
      <x:c r="AC50" s="8">
        <x:v>3016</x:v>
      </x:c>
      <x:c r="AD50" s="40"/>
      <x:c r="AE50" s="40"/>
      <x:c r="AF50" s="43"/>
      <x:c r="AG50" s="43"/>
      <x:c r="AH50" s="47">
        <x:f>(Y50-(90*Ventas!AE50*0.9644))</x:f>
      </x:c>
      <x:c r="AI50" s="49">
        <x:f>(AH50/(Ventas!AE50*0.9644)/80)</x:f>
      </x:c>
      <x:c r="AJ50" s="40"/>
      <x:c r="AK50" s="40"/>
      <x:c r="AL50" s="43"/>
      <x:c r="AM50" s="43"/>
      <x:c r="AN50" s="55">
        <x:f>(IF(AH50&gt;0,AH50,0)+IF(AJ50&gt;0,AJ50,0)+IF(AL50&gt;0,AL50,0))</x:f>
      </x:c>
      <x:c r="AO50" s="56">
        <x:f>(((AI50*7)+(AK50*1)+(AM50*1))/8)</x:f>
      </x:c>
      <x:c r="AP50" s="4" t="s">
        <x:v>35</x:v>
      </x:c>
    </x:row>
    <x:row r="51">
      <x:c r="A51" s="4" t="s">
        <x:v>181</x:v>
      </x:c>
      <x:c r="B51" s="4" t="s">
        <x:v>180</x:v>
      </x:c>
      <x:c r="C51" s="38" t="s">
        <x:v>179</x:v>
      </x:c>
      <x:c r="D51" s="41"/>
      <x:c r="E51" s="44"/>
      <x:c r="F51" s="6"/>
      <x:c r="G51" s="40"/>
      <x:c r="H51" s="43"/>
      <x:c r="I51" s="45">
        <x:v>46313</x:v>
      </x:c>
      <x:c r="J51" s="46">
        <x:v>81</x:v>
      </x:c>
      <x:c r="K51" s="47">
        <x:f>(F51-(0)+0-(J51*Ventas!AE51*1.0556))</x:f>
      </x:c>
      <x:c r="L51" s="6"/>
      <x:c r="M51" s="51">
        <x:f>(G51+0)</x:f>
      </x:c>
      <x:c r="N51" s="40"/>
      <x:c r="O51" s="54">
        <x:f>(H51+0)</x:f>
      </x:c>
      <x:c r="P51" s="43"/>
      <x:c r="Q51" s="55">
        <x:f>(K51+M51+O51)</x:f>
      </x:c>
      <x:c r="R51" s="56">
        <x:f>(((L51*7)+(N51*1)+(P51*0))/8)</x:f>
      </x:c>
      <x:c r="S51" s="47">
        <x:f>(180*(Ventas!AE51*0.9644) - IF(K51&gt;0,K51,0))</x:f>
      </x:c>
      <x:c r="T51" s="47">
        <x:f>IF(S51&gt;0,S51,0)</x:f>
      </x:c>
      <x:c r="U51" s="40"/>
      <x:c r="V51" s="40"/>
      <x:c r="W51" s="43"/>
      <x:c r="X51" s="43"/>
      <x:c r="Y51" s="47">
        <x:f>IF(K51&gt;0,K51+IF(T51&gt;0,T51,0),T51)</x:f>
      </x:c>
      <x:c r="Z51" s="40"/>
      <x:c r="AA51" s="43"/>
      <x:c r="AB51" s="50">
        <x:v>5.5</x:v>
      </x:c>
      <x:c r="AC51" s="8">
        <x:v>3013</x:v>
      </x:c>
      <x:c r="AD51" s="40"/>
      <x:c r="AE51" s="40"/>
      <x:c r="AF51" s="43"/>
      <x:c r="AG51" s="43"/>
      <x:c r="AH51" s="6"/>
      <x:c r="AI51" s="6"/>
      <x:c r="AJ51" s="40"/>
      <x:c r="AK51" s="40"/>
      <x:c r="AL51" s="43"/>
      <x:c r="AM51" s="43"/>
      <x:c r="AN51" s="55">
        <x:f>(IF(AH51&gt;0,AH51,0)+IF(AJ51&gt;0,AJ51,0)+IF(AL51&gt;0,AL51,0))</x:f>
      </x:c>
      <x:c r="AO51" s="56">
        <x:f>(((AI51*7)+(AK51*1)+(AM51*1))/8)</x:f>
      </x:c>
      <x:c r="AP51" s="4" t="s">
        <x:v>35</x:v>
      </x:c>
    </x:row>
    <x:row r="52">
      <x:c r="A52" s="4"/>
      <x:c r="B52" s="4" t="s">
        <x:v>183</x:v>
      </x:c>
      <x:c r="C52" s="38" t="s">
        <x:v>182</x:v>
      </x:c>
      <x:c r="D52" s="41"/>
      <x:c r="E52" s="44"/>
      <x:c r="F52" s="6"/>
      <x:c r="G52" s="40"/>
      <x:c r="H52" s="43"/>
      <x:c r="I52" s="45">
        <x:v>46313</x:v>
      </x:c>
      <x:c r="J52" s="46">
        <x:v>81</x:v>
      </x:c>
      <x:c r="K52" s="47">
        <x:f>(F52-(0)+0-(J52*Ventas!AE52*1.0556))</x:f>
      </x:c>
      <x:c r="L52" s="6"/>
      <x:c r="M52" s="51">
        <x:f>(G52+0)</x:f>
      </x:c>
      <x:c r="N52" s="40"/>
      <x:c r="O52" s="54">
        <x:f>(H52+0)</x:f>
      </x:c>
      <x:c r="P52" s="43"/>
      <x:c r="Q52" s="55">
        <x:f>(K52+M52+O52)</x:f>
      </x:c>
      <x:c r="R52" s="56">
        <x:f>(((L52*7)+(N52*1)+(P52*0))/8)</x:f>
      </x:c>
      <x:c r="S52" s="47">
        <x:f>(180*(Ventas!AE52*0.9644) - IF(K52&gt;0,K52,0))</x:f>
      </x:c>
      <x:c r="T52" s="47">
        <x:f>IF(S52&gt;0,S52,0)</x:f>
      </x:c>
      <x:c r="U52" s="40"/>
      <x:c r="V52" s="40"/>
      <x:c r="W52" s="43"/>
      <x:c r="X52" s="43"/>
      <x:c r="Y52" s="47">
        <x:f>IF(K52&gt;0,K52+IF(T52&gt;0,T52,0),T52)</x:f>
      </x:c>
      <x:c r="Z52" s="40"/>
      <x:c r="AA52" s="43"/>
      <x:c r="AB52" s="50">
        <x:v>17</x:v>
      </x:c>
      <x:c r="AC52" s="8">
        <x:v>3011</x:v>
      </x:c>
      <x:c r="AD52" s="40"/>
      <x:c r="AE52" s="40"/>
      <x:c r="AF52" s="43"/>
      <x:c r="AG52" s="43"/>
      <x:c r="AH52" s="6"/>
      <x:c r="AI52" s="6"/>
      <x:c r="AJ52" s="40"/>
      <x:c r="AK52" s="40"/>
      <x:c r="AL52" s="43"/>
      <x:c r="AM52" s="43"/>
      <x:c r="AN52" s="55">
        <x:f>(IF(AH52&gt;0,AH52,0)+IF(AJ52&gt;0,AJ52,0)+IF(AL52&gt;0,AL52,0))</x:f>
      </x:c>
      <x:c r="AO52" s="56">
        <x:f>(((AI52*7)+(AK52*1)+(AM52*1))/8)</x:f>
      </x:c>
      <x:c r="AP52" s="4" t="s">
        <x:v>51</x:v>
      </x:c>
    </x:row>
    <x:row r="53">
      <x:c r="A53" s="4"/>
      <x:c r="B53" s="4" t="s">
        <x:v>185</x:v>
      </x:c>
      <x:c r="C53" s="38" t="s">
        <x:v>184</x:v>
      </x:c>
      <x:c r="D53" s="41"/>
      <x:c r="E53" s="44"/>
      <x:c r="F53" s="6"/>
      <x:c r="G53" s="40"/>
      <x:c r="H53" s="43"/>
      <x:c r="I53" s="45">
        <x:v>46313</x:v>
      </x:c>
      <x:c r="J53" s="46">
        <x:v>81</x:v>
      </x:c>
      <x:c r="K53" s="47">
        <x:f>(F53-(0)+0-(J53*Ventas!AE53*1.0556))</x:f>
      </x:c>
      <x:c r="L53" s="6"/>
      <x:c r="M53" s="51">
        <x:f>(G53+0)</x:f>
      </x:c>
      <x:c r="N53" s="40"/>
      <x:c r="O53" s="54">
        <x:f>(H53+0)</x:f>
      </x:c>
      <x:c r="P53" s="43"/>
      <x:c r="Q53" s="55">
        <x:f>(K53+M53+O53)</x:f>
      </x:c>
      <x:c r="R53" s="56">
        <x:f>(((L53*7)+(N53*1)+(P53*0))/8)</x:f>
      </x:c>
      <x:c r="S53" s="47">
        <x:f>(180*(Ventas!AE53*0.9644) - IF(K53&gt;0,K53,0))</x:f>
      </x:c>
      <x:c r="T53" s="47">
        <x:f>IF(S53&gt;0,S53,0)</x:f>
      </x:c>
      <x:c r="U53" s="40"/>
      <x:c r="V53" s="40"/>
      <x:c r="W53" s="43"/>
      <x:c r="X53" s="43"/>
      <x:c r="Y53" s="47">
        <x:f>IF(K53&gt;0,K53+IF(T53&gt;0,T53,0),T53)</x:f>
      </x:c>
      <x:c r="Z53" s="40"/>
      <x:c r="AA53" s="43"/>
      <x:c r="AB53" s="50">
        <x:v>15.9</x:v>
      </x:c>
      <x:c r="AC53" s="8">
        <x:v>3011</x:v>
      </x:c>
      <x:c r="AD53" s="40"/>
      <x:c r="AE53" s="40"/>
      <x:c r="AF53" s="43"/>
      <x:c r="AG53" s="43"/>
      <x:c r="AH53" s="6"/>
      <x:c r="AI53" s="6"/>
      <x:c r="AJ53" s="40"/>
      <x:c r="AK53" s="40"/>
      <x:c r="AL53" s="43"/>
      <x:c r="AM53" s="43"/>
      <x:c r="AN53" s="55">
        <x:f>(IF(AH53&gt;0,AH53,0)+IF(AJ53&gt;0,AJ53,0)+IF(AL53&gt;0,AL53,0))</x:f>
      </x:c>
      <x:c r="AO53" s="56">
        <x:f>(((AI53*7)+(AK53*1)+(AM53*1))/8)</x:f>
      </x:c>
      <x:c r="AP53" s="4" t="s">
        <x:v>51</x:v>
      </x:c>
    </x:row>
    <x:row r="54">
      <x:c r="A54" s="4"/>
      <x:c r="B54" s="4" t="s">
        <x:v>187</x:v>
      </x:c>
      <x:c r="C54" s="38" t="s">
        <x:v>186</x:v>
      </x:c>
      <x:c r="D54" s="41"/>
      <x:c r="E54" s="44"/>
      <x:c r="F54" s="6"/>
      <x:c r="G54" s="40"/>
      <x:c r="H54" s="43"/>
      <x:c r="I54" s="45">
        <x:v>46313</x:v>
      </x:c>
      <x:c r="J54" s="46">
        <x:v>81</x:v>
      </x:c>
      <x:c r="K54" s="47">
        <x:f>(F54-(0)+0-(J54*Ventas!AE54*1.0556))</x:f>
      </x:c>
      <x:c r="L54" s="6"/>
      <x:c r="M54" s="51">
        <x:f>(G54+0)</x:f>
      </x:c>
      <x:c r="N54" s="40"/>
      <x:c r="O54" s="54">
        <x:f>(H54+0)</x:f>
      </x:c>
      <x:c r="P54" s="43"/>
      <x:c r="Q54" s="55">
        <x:f>(K54+M54+O54)</x:f>
      </x:c>
      <x:c r="R54" s="56">
        <x:f>(((L54*7)+(N54*1)+(P54*0))/8)</x:f>
      </x:c>
      <x:c r="S54" s="47">
        <x:f>(180*(Ventas!AE54*0.9644) - IF(K54&gt;0,K54,0))</x:f>
      </x:c>
      <x:c r="T54" s="47">
        <x:f>IF(S54&gt;0,S54,0)</x:f>
      </x:c>
      <x:c r="U54" s="40"/>
      <x:c r="V54" s="40"/>
      <x:c r="W54" s="43"/>
      <x:c r="X54" s="43"/>
      <x:c r="Y54" s="47">
        <x:f>IF(K54&gt;0,K54+IF(T54&gt;0,T54,0),T54)</x:f>
      </x:c>
      <x:c r="Z54" s="40"/>
      <x:c r="AA54" s="43"/>
      <x:c r="AB54" s="50">
        <x:v>15.9</x:v>
      </x:c>
      <x:c r="AC54" s="8">
        <x:v>3011</x:v>
      </x:c>
      <x:c r="AD54" s="40"/>
      <x:c r="AE54" s="40"/>
      <x:c r="AF54" s="43"/>
      <x:c r="AG54" s="43"/>
      <x:c r="AH54" s="6"/>
      <x:c r="AI54" s="6"/>
      <x:c r="AJ54" s="40"/>
      <x:c r="AK54" s="40"/>
      <x:c r="AL54" s="43"/>
      <x:c r="AM54" s="43"/>
      <x:c r="AN54" s="55">
        <x:f>(IF(AH54&gt;0,AH54,0)+IF(AJ54&gt;0,AJ54,0)+IF(AL54&gt;0,AL54,0))</x:f>
      </x:c>
      <x:c r="AO54" s="56">
        <x:f>(((AI54*7)+(AK54*1)+(AM54*1))/8)</x:f>
      </x:c>
      <x:c r="AP54" s="4" t="s">
        <x:v>51</x:v>
      </x:c>
    </x:row>
    <x:row r="55">
      <x:c r="A55" s="4"/>
      <x:c r="B55" s="4" t="s">
        <x:v>189</x:v>
      </x:c>
      <x:c r="C55" s="38" t="s">
        <x:v>188</x:v>
      </x:c>
      <x:c r="D55" s="41"/>
      <x:c r="E55" s="44"/>
      <x:c r="F55" s="6"/>
      <x:c r="G55" s="40"/>
      <x:c r="H55" s="43"/>
      <x:c r="I55" s="45">
        <x:v>46313</x:v>
      </x:c>
      <x:c r="J55" s="46">
        <x:v>81</x:v>
      </x:c>
      <x:c r="K55" s="47">
        <x:f>(F55-(0)+0-(J55*Ventas!AE55*1.0556))</x:f>
      </x:c>
      <x:c r="L55" s="6"/>
      <x:c r="M55" s="51">
        <x:f>(G55+0)</x:f>
      </x:c>
      <x:c r="N55" s="40"/>
      <x:c r="O55" s="54">
        <x:f>(H55+0)</x:f>
      </x:c>
      <x:c r="P55" s="43"/>
      <x:c r="Q55" s="55">
        <x:f>(K55+M55+O55)</x:f>
      </x:c>
      <x:c r="R55" s="56">
        <x:f>(((L55*7)+(N55*1)+(P55*0))/8)</x:f>
      </x:c>
      <x:c r="S55" s="47">
        <x:f>(180*(Ventas!AE55*0.9644) - IF(K55&gt;0,K55,0))</x:f>
      </x:c>
      <x:c r="T55" s="47">
        <x:f>IF(S55&gt;0,S55,0)</x:f>
      </x:c>
      <x:c r="U55" s="40"/>
      <x:c r="V55" s="40"/>
      <x:c r="W55" s="43"/>
      <x:c r="X55" s="43"/>
      <x:c r="Y55" s="47">
        <x:f>IF(K55&gt;0,K55+IF(T55&gt;0,T55,0),T55)</x:f>
      </x:c>
      <x:c r="Z55" s="40"/>
      <x:c r="AA55" s="43"/>
      <x:c r="AB55" s="50">
        <x:v>15.9</x:v>
      </x:c>
      <x:c r="AC55" s="8">
        <x:v>3011</x:v>
      </x:c>
      <x:c r="AD55" s="40"/>
      <x:c r="AE55" s="40"/>
      <x:c r="AF55" s="43"/>
      <x:c r="AG55" s="43"/>
      <x:c r="AH55" s="6"/>
      <x:c r="AI55" s="6"/>
      <x:c r="AJ55" s="40"/>
      <x:c r="AK55" s="40"/>
      <x:c r="AL55" s="43"/>
      <x:c r="AM55" s="43"/>
      <x:c r="AN55" s="55">
        <x:f>(IF(AH55&gt;0,AH55,0)+IF(AJ55&gt;0,AJ55,0)+IF(AL55&gt;0,AL55,0))</x:f>
      </x:c>
      <x:c r="AO55" s="56">
        <x:f>(((AI55*7)+(AK55*1)+(AM55*1))/8)</x:f>
      </x:c>
      <x:c r="AP55" s="4" t="s">
        <x:v>51</x:v>
      </x:c>
    </x:row>
    <x:row r="56">
      <x:c r="A56" s="4" t="s">
        <x:v>192</x:v>
      </x:c>
      <x:c r="B56" s="4" t="s">
        <x:v>191</x:v>
      </x:c>
      <x:c r="C56" s="38" t="s">
        <x:v>190</x:v>
      </x:c>
      <x:c r="D56" s="41"/>
      <x:c r="E56" s="44"/>
      <x:c r="F56" s="8">
        <x:v>18</x:v>
      </x:c>
      <x:c r="G56" s="40"/>
      <x:c r="H56" s="43"/>
      <x:c r="I56" s="45">
        <x:v>46313</x:v>
      </x:c>
      <x:c r="J56" s="46">
        <x:v>81</x:v>
      </x:c>
      <x:c r="K56" s="47">
        <x:f>(F56-(0)+0-(J56*Ventas!AE56*1.0556))</x:f>
      </x:c>
      <x:c r="L56" s="49">
        <x:f>(K56/(Ventas!AE56*1.0556)/80)</x:f>
      </x:c>
      <x:c r="M56" s="51">
        <x:f>(G56+0)</x:f>
      </x:c>
      <x:c r="N56" s="40"/>
      <x:c r="O56" s="54">
        <x:f>(H56+0)</x:f>
      </x:c>
      <x:c r="P56" s="43"/>
      <x:c r="Q56" s="55">
        <x:f>(K56+M56+O56)</x:f>
      </x:c>
      <x:c r="R56" s="56">
        <x:f>(((L56*7)+(N56*1)+(P56*0))/8)</x:f>
      </x:c>
      <x:c r="S56" s="47">
        <x:f>(180*(Ventas!AE56*0.9644) - IF(K56&gt;0,K56,0))</x:f>
      </x:c>
      <x:c r="T56" s="47">
        <x:f>IF(S56&gt;0,S56,0)</x:f>
      </x:c>
      <x:c r="U56" s="40"/>
      <x:c r="V56" s="40"/>
      <x:c r="W56" s="43"/>
      <x:c r="X56" s="43"/>
      <x:c r="Y56" s="47">
        <x:f>IF(K56&gt;0,K56+IF(T56&gt;0,T56,0),T56)</x:f>
      </x:c>
      <x:c r="Z56" s="40"/>
      <x:c r="AA56" s="43"/>
      <x:c r="AB56" s="50">
        <x:v>2</x:v>
      </x:c>
      <x:c r="AC56" s="8">
        <x:v>3016</x:v>
      </x:c>
      <x:c r="AD56" s="40"/>
      <x:c r="AE56" s="40"/>
      <x:c r="AF56" s="43"/>
      <x:c r="AG56" s="43"/>
      <x:c r="AH56" s="47">
        <x:f>(Y56-(90*Ventas!AE56*0.9644))</x:f>
      </x:c>
      <x:c r="AI56" s="49">
        <x:f>(AH56/(Ventas!AE56*0.9644)/80)</x:f>
      </x:c>
      <x:c r="AJ56" s="40"/>
      <x:c r="AK56" s="40"/>
      <x:c r="AL56" s="43"/>
      <x:c r="AM56" s="43"/>
      <x:c r="AN56" s="55">
        <x:f>(IF(AH56&gt;0,AH56,0)+IF(AJ56&gt;0,AJ56,0)+IF(AL56&gt;0,AL56,0))</x:f>
      </x:c>
      <x:c r="AO56" s="56">
        <x:f>(((AI56*7)+(AK56*1)+(AM56*1))/8)</x:f>
      </x:c>
      <x:c r="AP56" s="4" t="s">
        <x:v>35</x:v>
      </x:c>
    </x:row>
    <x:row r="57">
      <x:c r="A57" s="4" t="s">
        <x:v>195</x:v>
      </x:c>
      <x:c r="B57" s="4" t="s">
        <x:v>194</x:v>
      </x:c>
      <x:c r="C57" s="38" t="s">
        <x:v>193</x:v>
      </x:c>
      <x:c r="D57" s="41"/>
      <x:c r="E57" s="44"/>
      <x:c r="F57" s="8">
        <x:v>11</x:v>
      </x:c>
      <x:c r="G57" s="40"/>
      <x:c r="H57" s="43"/>
      <x:c r="I57" s="45">
        <x:v>46313</x:v>
      </x:c>
      <x:c r="J57" s="46">
        <x:v>81</x:v>
      </x:c>
      <x:c r="K57" s="47">
        <x:f>(F57-(0)+0-(J57*Ventas!AE57*1.0556))</x:f>
      </x:c>
      <x:c r="L57" s="49">
        <x:f>(K57/(Ventas!AE57*1.0556)/80)</x:f>
      </x:c>
      <x:c r="M57" s="51">
        <x:f>(G57+0)</x:f>
      </x:c>
      <x:c r="N57" s="40"/>
      <x:c r="O57" s="54">
        <x:f>(H57+0)</x:f>
      </x:c>
      <x:c r="P57" s="43"/>
      <x:c r="Q57" s="55">
        <x:f>(K57+M57+O57)</x:f>
      </x:c>
      <x:c r="R57" s="56">
        <x:f>(((L57*7)+(N57*1)+(P57*0))/8)</x:f>
      </x:c>
      <x:c r="S57" s="47">
        <x:f>(180*(Ventas!AE57*0.9644) - IF(K57&gt;0,K57,0))</x:f>
      </x:c>
      <x:c r="T57" s="47">
        <x:f>IF(S57&gt;0,S57,0)</x:f>
      </x:c>
      <x:c r="U57" s="40"/>
      <x:c r="V57" s="40"/>
      <x:c r="W57" s="43"/>
      <x:c r="X57" s="43"/>
      <x:c r="Y57" s="47">
        <x:f>IF(K57&gt;0,K57+IF(T57&gt;0,T57,0),T57)</x:f>
      </x:c>
      <x:c r="Z57" s="40"/>
      <x:c r="AA57" s="43"/>
      <x:c r="AB57" s="50">
        <x:v>2.2</x:v>
      </x:c>
      <x:c r="AC57" s="8">
        <x:v>3016</x:v>
      </x:c>
      <x:c r="AD57" s="40"/>
      <x:c r="AE57" s="40"/>
      <x:c r="AF57" s="43"/>
      <x:c r="AG57" s="43"/>
      <x:c r="AH57" s="47">
        <x:f>(Y57-(90*Ventas!AE57*0.9644))</x:f>
      </x:c>
      <x:c r="AI57" s="49">
        <x:f>(AH57/(Ventas!AE57*0.9644)/80)</x:f>
      </x:c>
      <x:c r="AJ57" s="40"/>
      <x:c r="AK57" s="40"/>
      <x:c r="AL57" s="43"/>
      <x:c r="AM57" s="43"/>
      <x:c r="AN57" s="55">
        <x:f>(IF(AH57&gt;0,AH57,0)+IF(AJ57&gt;0,AJ57,0)+IF(AL57&gt;0,AL57,0))</x:f>
      </x:c>
      <x:c r="AO57" s="56">
        <x:f>(((AI57*7)+(AK57*1)+(AM57*1))/8)</x:f>
      </x:c>
      <x:c r="AP57" s="4" t="s">
        <x:v>35</x:v>
      </x:c>
    </x:row>
    <x:row r="58">
      <x:c r="A58" s="4" t="s">
        <x:v>198</x:v>
      </x:c>
      <x:c r="B58" s="4" t="s">
        <x:v>197</x:v>
      </x:c>
      <x:c r="C58" s="38" t="s">
        <x:v>196</x:v>
      </x:c>
      <x:c r="D58" s="41"/>
      <x:c r="E58" s="44"/>
      <x:c r="F58" s="8">
        <x:v>4</x:v>
      </x:c>
      <x:c r="G58" s="40"/>
      <x:c r="H58" s="43"/>
      <x:c r="I58" s="45">
        <x:v>46313</x:v>
      </x:c>
      <x:c r="J58" s="46">
        <x:v>81</x:v>
      </x:c>
      <x:c r="K58" s="47">
        <x:f>(F58-(0)+0-(J58*Ventas!AE58*1.0556))</x:f>
      </x:c>
      <x:c r="L58" s="49">
        <x:f>(K58/(Ventas!AE58*1.0556)/80)</x:f>
      </x:c>
      <x:c r="M58" s="51">
        <x:f>(G58+0)</x:f>
      </x:c>
      <x:c r="N58" s="40"/>
      <x:c r="O58" s="54">
        <x:f>(H58+0)</x:f>
      </x:c>
      <x:c r="P58" s="43"/>
      <x:c r="Q58" s="55">
        <x:f>(K58+M58+O58)</x:f>
      </x:c>
      <x:c r="R58" s="56">
        <x:f>(((L58*7)+(N58*1)+(P58*0))/8)</x:f>
      </x:c>
      <x:c r="S58" s="47">
        <x:f>(180*(Ventas!AE58*0.9644) - IF(K58&gt;0,K58,0))</x:f>
      </x:c>
      <x:c r="T58" s="47">
        <x:f>IF(S58&gt;0,S58,0)</x:f>
      </x:c>
      <x:c r="U58" s="40"/>
      <x:c r="V58" s="40"/>
      <x:c r="W58" s="43"/>
      <x:c r="X58" s="43"/>
      <x:c r="Y58" s="47">
        <x:f>IF(K58&gt;0,K58+IF(T58&gt;0,T58,0),T58)</x:f>
      </x:c>
      <x:c r="Z58" s="40"/>
      <x:c r="AA58" s="43"/>
      <x:c r="AB58" s="50">
        <x:v>2.2</x:v>
      </x:c>
      <x:c r="AC58" s="8">
        <x:v>3016</x:v>
      </x:c>
      <x:c r="AD58" s="40"/>
      <x:c r="AE58" s="40"/>
      <x:c r="AF58" s="43"/>
      <x:c r="AG58" s="43"/>
      <x:c r="AH58" s="47">
        <x:f>(Y58-(90*Ventas!AE58*0.9644))</x:f>
      </x:c>
      <x:c r="AI58" s="49">
        <x:f>(AH58/(Ventas!AE58*0.9644)/80)</x:f>
      </x:c>
      <x:c r="AJ58" s="40"/>
      <x:c r="AK58" s="40"/>
      <x:c r="AL58" s="43"/>
      <x:c r="AM58" s="43"/>
      <x:c r="AN58" s="55">
        <x:f>(IF(AH58&gt;0,AH58,0)+IF(AJ58&gt;0,AJ58,0)+IF(AL58&gt;0,AL58,0))</x:f>
      </x:c>
      <x:c r="AO58" s="56">
        <x:f>(((AI58*7)+(AK58*1)+(AM58*1))/8)</x:f>
      </x:c>
      <x:c r="AP58" s="4" t="s">
        <x:v>35</x:v>
      </x:c>
    </x:row>
    <x:row r="59">
      <x:c r="A59" s="4" t="s">
        <x:v>201</x:v>
      </x:c>
      <x:c r="B59" s="4" t="s">
        <x:v>200</x:v>
      </x:c>
      <x:c r="C59" s="38" t="s">
        <x:v>199</x:v>
      </x:c>
      <x:c r="D59" s="41"/>
      <x:c r="E59" s="44"/>
      <x:c r="F59" s="8">
        <x:v>17</x:v>
      </x:c>
      <x:c r="G59" s="40"/>
      <x:c r="H59" s="43"/>
      <x:c r="I59" s="45">
        <x:v>46313</x:v>
      </x:c>
      <x:c r="J59" s="46">
        <x:v>81</x:v>
      </x:c>
      <x:c r="K59" s="47">
        <x:f>(F59-(0)+0-(J59*Ventas!AE59*1.0556))</x:f>
      </x:c>
      <x:c r="L59" s="49">
        <x:f>(K59/(Ventas!AE59*1.0556)/80)</x:f>
      </x:c>
      <x:c r="M59" s="51">
        <x:f>(G59+0)</x:f>
      </x:c>
      <x:c r="N59" s="40"/>
      <x:c r="O59" s="54">
        <x:f>(H59+0)</x:f>
      </x:c>
      <x:c r="P59" s="43"/>
      <x:c r="Q59" s="55">
        <x:f>(K59+M59+O59)</x:f>
      </x:c>
      <x:c r="R59" s="56">
        <x:f>(((L59*7)+(N59*1)+(P59*0))/8)</x:f>
      </x:c>
      <x:c r="S59" s="47">
        <x:f>(180*(Ventas!AE59*0.9644) - IF(K59&gt;0,K59,0))</x:f>
      </x:c>
      <x:c r="T59" s="47">
        <x:f>IF(S59&gt;0,S59,0)</x:f>
      </x:c>
      <x:c r="U59" s="40"/>
      <x:c r="V59" s="40"/>
      <x:c r="W59" s="43"/>
      <x:c r="X59" s="43"/>
      <x:c r="Y59" s="47">
        <x:f>IF(K59&gt;0,K59+IF(T59&gt;0,T59,0),T59)</x:f>
      </x:c>
      <x:c r="Z59" s="40"/>
      <x:c r="AA59" s="43"/>
      <x:c r="AB59" s="50">
        <x:v>2.2</x:v>
      </x:c>
      <x:c r="AC59" s="8">
        <x:v>3016</x:v>
      </x:c>
      <x:c r="AD59" s="40"/>
      <x:c r="AE59" s="40"/>
      <x:c r="AF59" s="43"/>
      <x:c r="AG59" s="43"/>
      <x:c r="AH59" s="47">
        <x:f>(Y59-(90*Ventas!AE59*0.9644))</x:f>
      </x:c>
      <x:c r="AI59" s="49">
        <x:f>(AH59/(Ventas!AE59*0.9644)/80)</x:f>
      </x:c>
      <x:c r="AJ59" s="40"/>
      <x:c r="AK59" s="40"/>
      <x:c r="AL59" s="43"/>
      <x:c r="AM59" s="43"/>
      <x:c r="AN59" s="55">
        <x:f>(IF(AH59&gt;0,AH59,0)+IF(AJ59&gt;0,AJ59,0)+IF(AL59&gt;0,AL59,0))</x:f>
      </x:c>
      <x:c r="AO59" s="56">
        <x:f>(((AI59*7)+(AK59*1)+(AM59*1))/8)</x:f>
      </x:c>
      <x:c r="AP59" s="4" t="s">
        <x:v>35</x:v>
      </x:c>
    </x:row>
    <x:row r="60">
      <x:c r="A60" s="4" t="s">
        <x:v>204</x:v>
      </x:c>
      <x:c r="B60" s="4" t="s">
        <x:v>203</x:v>
      </x:c>
      <x:c r="C60" s="38" t="s">
        <x:v>202</x:v>
      </x:c>
      <x:c r="D60" s="41"/>
      <x:c r="E60" s="44"/>
      <x:c r="F60" s="8">
        <x:v>6</x:v>
      </x:c>
      <x:c r="G60" s="40"/>
      <x:c r="H60" s="43"/>
      <x:c r="I60" s="45">
        <x:v>46313</x:v>
      </x:c>
      <x:c r="J60" s="46">
        <x:v>81</x:v>
      </x:c>
      <x:c r="K60" s="47">
        <x:f>(F60-(0)+0-(J60*Ventas!AE60*1.0556))</x:f>
      </x:c>
      <x:c r="L60" s="6"/>
      <x:c r="M60" s="51">
        <x:f>(G60+0)</x:f>
      </x:c>
      <x:c r="N60" s="40"/>
      <x:c r="O60" s="54">
        <x:f>(H60+0)</x:f>
      </x:c>
      <x:c r="P60" s="43"/>
      <x:c r="Q60" s="55">
        <x:f>(K60+M60+O60)</x:f>
      </x:c>
      <x:c r="R60" s="56">
        <x:f>(((L60*7)+(N60*1)+(P60*0))/8)</x:f>
      </x:c>
      <x:c r="S60" s="47">
        <x:f>(180*(Ventas!AE60*0.9644) - IF(K60&gt;0,K60,0))</x:f>
      </x:c>
      <x:c r="T60" s="47">
        <x:f>IF(S60&gt;0,S60,0)</x:f>
      </x:c>
      <x:c r="U60" s="40"/>
      <x:c r="V60" s="40"/>
      <x:c r="W60" s="43"/>
      <x:c r="X60" s="43"/>
      <x:c r="Y60" s="47">
        <x:f>IF(K60&gt;0,K60+IF(T60&gt;0,T60,0),T60)</x:f>
      </x:c>
      <x:c r="Z60" s="40"/>
      <x:c r="AA60" s="43"/>
      <x:c r="AB60" s="50">
        <x:v>12.9</x:v>
      </x:c>
      <x:c r="AC60" s="8">
        <x:v>3002</x:v>
      </x:c>
      <x:c r="AD60" s="40"/>
      <x:c r="AE60" s="40"/>
      <x:c r="AF60" s="43"/>
      <x:c r="AG60" s="43"/>
      <x:c r="AH60" s="6"/>
      <x:c r="AI60" s="6"/>
      <x:c r="AJ60" s="40"/>
      <x:c r="AK60" s="40"/>
      <x:c r="AL60" s="43"/>
      <x:c r="AM60" s="43"/>
      <x:c r="AN60" s="55">
        <x:f>(IF(AH60&gt;0,AH60,0)+IF(AJ60&gt;0,AJ60,0)+IF(AL60&gt;0,AL60,0))</x:f>
      </x:c>
      <x:c r="AO60" s="56">
        <x:f>(((AI60*7)+(AK60*1)+(AM60*1))/8)</x:f>
      </x:c>
      <x:c r="AP60" s="4" t="s">
        <x:v>35</x:v>
      </x:c>
    </x:row>
    <x:row r="61">
      <x:c r="A61" s="4" t="s">
        <x:v>207</x:v>
      </x:c>
      <x:c r="B61" s="4" t="s">
        <x:v>206</x:v>
      </x:c>
      <x:c r="C61" s="38" t="s">
        <x:v>205</x:v>
      </x:c>
      <x:c r="D61" s="41"/>
      <x:c r="E61" s="44"/>
      <x:c r="F61" s="6"/>
      <x:c r="G61" s="40"/>
      <x:c r="H61" s="43"/>
      <x:c r="I61" s="45">
        <x:v>46313</x:v>
      </x:c>
      <x:c r="J61" s="46">
        <x:v>81</x:v>
      </x:c>
      <x:c r="K61" s="47">
        <x:f>(F61-(0)+0-(J61*Ventas!AE61*1.0556))</x:f>
      </x:c>
      <x:c r="L61" s="6"/>
      <x:c r="M61" s="51">
        <x:f>(G61+0)</x:f>
      </x:c>
      <x:c r="N61" s="40"/>
      <x:c r="O61" s="54">
        <x:f>(H61+0)</x:f>
      </x:c>
      <x:c r="P61" s="43"/>
      <x:c r="Q61" s="55">
        <x:f>(K61+M61+O61)</x:f>
      </x:c>
      <x:c r="R61" s="56">
        <x:f>(((L61*7)+(N61*1)+(P61*0))/8)</x:f>
      </x:c>
      <x:c r="S61" s="47">
        <x:f>(180*(Ventas!AE61*0.9644) - IF(K61&gt;0,K61,0))</x:f>
      </x:c>
      <x:c r="T61" s="47">
        <x:f>IF(S61&gt;0,S61,0)</x:f>
      </x:c>
      <x:c r="U61" s="40"/>
      <x:c r="V61" s="40"/>
      <x:c r="W61" s="43"/>
      <x:c r="X61" s="43"/>
      <x:c r="Y61" s="47">
        <x:f>IF(K61&gt;0,K61+IF(T61&gt;0,T61,0),T61)</x:f>
      </x:c>
      <x:c r="Z61" s="40"/>
      <x:c r="AA61" s="43"/>
      <x:c r="AB61" s="50">
        <x:v>9.8</x:v>
      </x:c>
      <x:c r="AC61" s="8">
        <x:v>2998</x:v>
      </x:c>
      <x:c r="AD61" s="40"/>
      <x:c r="AE61" s="40"/>
      <x:c r="AF61" s="43"/>
      <x:c r="AG61" s="43"/>
      <x:c r="AH61" s="6"/>
      <x:c r="AI61" s="6"/>
      <x:c r="AJ61" s="40"/>
      <x:c r="AK61" s="40"/>
      <x:c r="AL61" s="43"/>
      <x:c r="AM61" s="43"/>
      <x:c r="AN61" s="55">
        <x:f>(IF(AH61&gt;0,AH61,0)+IF(AJ61&gt;0,AJ61,0)+IF(AL61&gt;0,AL61,0))</x:f>
      </x:c>
      <x:c r="AO61" s="56">
        <x:f>(((AI61*7)+(AK61*1)+(AM61*1))/8)</x:f>
      </x:c>
      <x:c r="AP61" s="4" t="s">
        <x:v>35</x:v>
      </x:c>
    </x:row>
    <x:row r="62">
      <x:c r="A62" s="4" t="s">
        <x:v>210</x:v>
      </x:c>
      <x:c r="B62" s="4" t="s">
        <x:v>209</x:v>
      </x:c>
      <x:c r="C62" s="38" t="s">
        <x:v>208</x:v>
      </x:c>
      <x:c r="D62" s="41"/>
      <x:c r="E62" s="44"/>
      <x:c r="F62" s="8">
        <x:v>8</x:v>
      </x:c>
      <x:c r="G62" s="40"/>
      <x:c r="H62" s="43"/>
      <x:c r="I62" s="45">
        <x:v>46313</x:v>
      </x:c>
      <x:c r="J62" s="46">
        <x:v>81</x:v>
      </x:c>
      <x:c r="K62" s="47">
        <x:f>(F62-(0)+0-(J62*Ventas!AE62*1.0556))</x:f>
      </x:c>
      <x:c r="L62" s="6"/>
      <x:c r="M62" s="51">
        <x:f>(G62+0)</x:f>
      </x:c>
      <x:c r="N62" s="40"/>
      <x:c r="O62" s="54">
        <x:f>(H62+0)</x:f>
      </x:c>
      <x:c r="P62" s="43"/>
      <x:c r="Q62" s="55">
        <x:f>(K62+M62+O62)</x:f>
      </x:c>
      <x:c r="R62" s="56">
        <x:f>(((L62*7)+(N62*1)+(P62*0))/8)</x:f>
      </x:c>
      <x:c r="S62" s="47">
        <x:f>(180*(Ventas!AE62*0.9644) - IF(K62&gt;0,K62,0))</x:f>
      </x:c>
      <x:c r="T62" s="47">
        <x:f>IF(S62&gt;0,S62,0)</x:f>
      </x:c>
      <x:c r="U62" s="40"/>
      <x:c r="V62" s="40"/>
      <x:c r="W62" s="43"/>
      <x:c r="X62" s="43"/>
      <x:c r="Y62" s="47">
        <x:f>IF(K62&gt;0,K62+IF(T62&gt;0,T62,0),T62)</x:f>
      </x:c>
      <x:c r="Z62" s="40"/>
      <x:c r="AA62" s="43"/>
      <x:c r="AB62" s="50">
        <x:v>5.72</x:v>
      </x:c>
      <x:c r="AC62" s="8">
        <x:v>3016</x:v>
      </x:c>
      <x:c r="AD62" s="40"/>
      <x:c r="AE62" s="40"/>
      <x:c r="AF62" s="43"/>
      <x:c r="AG62" s="43"/>
      <x:c r="AH62" s="6"/>
      <x:c r="AI62" s="6"/>
      <x:c r="AJ62" s="40"/>
      <x:c r="AK62" s="40"/>
      <x:c r="AL62" s="43"/>
      <x:c r="AM62" s="43"/>
      <x:c r="AN62" s="55">
        <x:f>(IF(AH62&gt;0,AH62,0)+IF(AJ62&gt;0,AJ62,0)+IF(AL62&gt;0,AL62,0))</x:f>
      </x:c>
      <x:c r="AO62" s="56">
        <x:f>(((AI62*7)+(AK62*1)+(AM62*1))/8)</x:f>
      </x:c>
      <x:c r="AP62" s="4" t="s">
        <x:v>35</x:v>
      </x:c>
    </x:row>
    <x:row r="63">
      <x:c r="A63" s="4" t="s">
        <x:v>213</x:v>
      </x:c>
      <x:c r="B63" s="4" t="s">
        <x:v>212</x:v>
      </x:c>
      <x:c r="C63" s="38" t="s">
        <x:v>211</x:v>
      </x:c>
      <x:c r="D63" s="41"/>
      <x:c r="E63" s="44"/>
      <x:c r="F63" s="6"/>
      <x:c r="G63" s="40"/>
      <x:c r="H63" s="43"/>
      <x:c r="I63" s="45">
        <x:v>46313</x:v>
      </x:c>
      <x:c r="J63" s="46">
        <x:v>81</x:v>
      </x:c>
      <x:c r="K63" s="47">
        <x:f>(F63-(0)+0-(J63*Ventas!AE63*1.0556))</x:f>
      </x:c>
      <x:c r="L63" s="6"/>
      <x:c r="M63" s="51">
        <x:f>(G63+0)</x:f>
      </x:c>
      <x:c r="N63" s="40"/>
      <x:c r="O63" s="54">
        <x:f>(H63+0)</x:f>
      </x:c>
      <x:c r="P63" s="43"/>
      <x:c r="Q63" s="55">
        <x:f>(K63+M63+O63)</x:f>
      </x:c>
      <x:c r="R63" s="56">
        <x:f>(((L63*7)+(N63*1)+(P63*0))/8)</x:f>
      </x:c>
      <x:c r="S63" s="47">
        <x:f>(180*(Ventas!AE63*0.9644) - IF(K63&gt;0,K63,0))</x:f>
      </x:c>
      <x:c r="T63" s="47">
        <x:f>IF(S63&gt;0,S63,0)</x:f>
      </x:c>
      <x:c r="U63" s="40"/>
      <x:c r="V63" s="40"/>
      <x:c r="W63" s="43"/>
      <x:c r="X63" s="43"/>
      <x:c r="Y63" s="47">
        <x:f>IF(K63&gt;0,K63+IF(T63&gt;0,T63,0),T63)</x:f>
      </x:c>
      <x:c r="Z63" s="40"/>
      <x:c r="AA63" s="43"/>
      <x:c r="AB63" s="6"/>
      <x:c r="AC63" s="6"/>
      <x:c r="AD63" s="40"/>
      <x:c r="AE63" s="40"/>
      <x:c r="AF63" s="43"/>
      <x:c r="AG63" s="43"/>
      <x:c r="AH63" s="6"/>
      <x:c r="AI63" s="6"/>
      <x:c r="AJ63" s="40"/>
      <x:c r="AK63" s="40"/>
      <x:c r="AL63" s="43"/>
      <x:c r="AM63" s="43"/>
      <x:c r="AN63" s="55">
        <x:f>(IF(AH63&gt;0,AH63,0)+IF(AJ63&gt;0,AJ63,0)+IF(AL63&gt;0,AL63,0))</x:f>
      </x:c>
      <x:c r="AO63" s="56">
        <x:f>(((AI63*7)+(AK63*1)+(AM63*1))/8)</x:f>
      </x:c>
      <x:c r="AP63" s="4" t="s">
        <x:v>51</x:v>
      </x:c>
    </x:row>
    <x:row r="64">
      <x:c r="A64" s="4" t="s">
        <x:v>216</x:v>
      </x:c>
      <x:c r="B64" s="4" t="s">
        <x:v>215</x:v>
      </x:c>
      <x:c r="C64" s="38" t="s">
        <x:v>214</x:v>
      </x:c>
      <x:c r="D64" s="41"/>
      <x:c r="E64" s="44"/>
      <x:c r="F64" s="6"/>
      <x:c r="G64" s="40"/>
      <x:c r="H64" s="43"/>
      <x:c r="I64" s="45">
        <x:v>46313</x:v>
      </x:c>
      <x:c r="J64" s="46">
        <x:v>81</x:v>
      </x:c>
      <x:c r="K64" s="47">
        <x:f>(F64-(0)+0-(J64*Ventas!AE64*1.0556))</x:f>
      </x:c>
      <x:c r="L64" s="6"/>
      <x:c r="M64" s="51">
        <x:f>(G64+0)</x:f>
      </x:c>
      <x:c r="N64" s="40"/>
      <x:c r="O64" s="54">
        <x:f>(H64+0)</x:f>
      </x:c>
      <x:c r="P64" s="43"/>
      <x:c r="Q64" s="55">
        <x:f>(K64+M64+O64)</x:f>
      </x:c>
      <x:c r="R64" s="56">
        <x:f>(((L64*7)+(N64*1)+(P64*0))/8)</x:f>
      </x:c>
      <x:c r="S64" s="47">
        <x:f>(180*(Ventas!AE64*0.9644) - IF(K64&gt;0,K64,0))</x:f>
      </x:c>
      <x:c r="T64" s="47">
        <x:f>IF(S64&gt;0,S64,0)</x:f>
      </x:c>
      <x:c r="U64" s="40"/>
      <x:c r="V64" s="40"/>
      <x:c r="W64" s="43"/>
      <x:c r="X64" s="43"/>
      <x:c r="Y64" s="47">
        <x:f>IF(K64&gt;0,K64+IF(T64&gt;0,T64,0),T64)</x:f>
      </x:c>
      <x:c r="Z64" s="40"/>
      <x:c r="AA64" s="43"/>
      <x:c r="AB64" s="50">
        <x:v>5.5</x:v>
      </x:c>
      <x:c r="AC64" s="8">
        <x:v>3002</x:v>
      </x:c>
      <x:c r="AD64" s="40"/>
      <x:c r="AE64" s="40"/>
      <x:c r="AF64" s="43"/>
      <x:c r="AG64" s="43"/>
      <x:c r="AH64" s="6"/>
      <x:c r="AI64" s="6"/>
      <x:c r="AJ64" s="40"/>
      <x:c r="AK64" s="40"/>
      <x:c r="AL64" s="43"/>
      <x:c r="AM64" s="43"/>
      <x:c r="AN64" s="55">
        <x:f>(IF(AH64&gt;0,AH64,0)+IF(AJ64&gt;0,AJ64,0)+IF(AL64&gt;0,AL64,0))</x:f>
      </x:c>
      <x:c r="AO64" s="56">
        <x:f>(((AI64*7)+(AK64*1)+(AM64*1))/8)</x:f>
      </x:c>
      <x:c r="AP64" s="4" t="s">
        <x:v>35</x:v>
      </x:c>
    </x:row>
    <x:row r="65">
      <x:c r="A65" s="4" t="s">
        <x:v>219</x:v>
      </x:c>
      <x:c r="B65" s="4" t="s">
        <x:v>218</x:v>
      </x:c>
      <x:c r="C65" s="38" t="s">
        <x:v>217</x:v>
      </x:c>
      <x:c r="D65" s="41"/>
      <x:c r="E65" s="44"/>
      <x:c r="F65" s="8">
        <x:v>1</x:v>
      </x:c>
      <x:c r="G65" s="40"/>
      <x:c r="H65" s="43"/>
      <x:c r="I65" s="45">
        <x:v>46313</x:v>
      </x:c>
      <x:c r="J65" s="46">
        <x:v>81</x:v>
      </x:c>
      <x:c r="K65" s="47">
        <x:f>(F65-(0)+0-(J65*Ventas!AE65*1.0556))</x:f>
      </x:c>
      <x:c r="L65" s="6"/>
      <x:c r="M65" s="51">
        <x:f>(G65+0)</x:f>
      </x:c>
      <x:c r="N65" s="40"/>
      <x:c r="O65" s="54">
        <x:f>(H65+0)</x:f>
      </x:c>
      <x:c r="P65" s="43"/>
      <x:c r="Q65" s="55">
        <x:f>(K65+M65+O65)</x:f>
      </x:c>
      <x:c r="R65" s="56">
        <x:f>(((L65*7)+(N65*1)+(P65*0))/8)</x:f>
      </x:c>
      <x:c r="S65" s="47">
        <x:f>(180*(Ventas!AE65*0.9644) - IF(K65&gt;0,K65,0))</x:f>
      </x:c>
      <x:c r="T65" s="47">
        <x:f>IF(S65&gt;0,S65,0)</x:f>
      </x:c>
      <x:c r="U65" s="40"/>
      <x:c r="V65" s="40"/>
      <x:c r="W65" s="43"/>
      <x:c r="X65" s="43"/>
      <x:c r="Y65" s="47">
        <x:f>IF(K65&gt;0,K65+IF(T65&gt;0,T65,0),T65)</x:f>
      </x:c>
      <x:c r="Z65" s="40"/>
      <x:c r="AA65" s="43"/>
      <x:c r="AB65" s="50">
        <x:v>4.8</x:v>
      </x:c>
      <x:c r="AC65" s="8">
        <x:v>3002</x:v>
      </x:c>
      <x:c r="AD65" s="40"/>
      <x:c r="AE65" s="40"/>
      <x:c r="AF65" s="43"/>
      <x:c r="AG65" s="43"/>
      <x:c r="AH65" s="6"/>
      <x:c r="AI65" s="6"/>
      <x:c r="AJ65" s="40"/>
      <x:c r="AK65" s="40"/>
      <x:c r="AL65" s="43"/>
      <x:c r="AM65" s="43"/>
      <x:c r="AN65" s="55">
        <x:f>(IF(AH65&gt;0,AH65,0)+IF(AJ65&gt;0,AJ65,0)+IF(AL65&gt;0,AL65,0))</x:f>
      </x:c>
      <x:c r="AO65" s="56">
        <x:f>(((AI65*7)+(AK65*1)+(AM65*1))/8)</x:f>
      </x:c>
      <x:c r="AP65" s="4" t="s">
        <x:v>35</x:v>
      </x:c>
    </x:row>
    <x:row r="66">
      <x:c r="A66" s="4" t="s">
        <x:v>222</x:v>
      </x:c>
      <x:c r="B66" s="4" t="s">
        <x:v>221</x:v>
      </x:c>
      <x:c r="C66" s="38" t="s">
        <x:v>220</x:v>
      </x:c>
      <x:c r="D66" s="41"/>
      <x:c r="E66" s="44"/>
      <x:c r="F66" s="8">
        <x:v>2</x:v>
      </x:c>
      <x:c r="G66" s="40"/>
      <x:c r="H66" s="43"/>
      <x:c r="I66" s="45">
        <x:v>46313</x:v>
      </x:c>
      <x:c r="J66" s="46">
        <x:v>81</x:v>
      </x:c>
      <x:c r="K66" s="47">
        <x:f>(F66-(0)+0-(J66*Ventas!AE66*1.0556))</x:f>
      </x:c>
      <x:c r="L66" s="6"/>
      <x:c r="M66" s="51">
        <x:f>(G66+0)</x:f>
      </x:c>
      <x:c r="N66" s="40"/>
      <x:c r="O66" s="54">
        <x:f>(H66+0)</x:f>
      </x:c>
      <x:c r="P66" s="43"/>
      <x:c r="Q66" s="55">
        <x:f>(K66+M66+O66)</x:f>
      </x:c>
      <x:c r="R66" s="56">
        <x:f>(((L66*7)+(N66*1)+(P66*0))/8)</x:f>
      </x:c>
      <x:c r="S66" s="47">
        <x:f>(180*(Ventas!AE66*0.9644) - IF(K66&gt;0,K66,0))</x:f>
      </x:c>
      <x:c r="T66" s="47">
        <x:f>IF(S66&gt;0,S66,0)</x:f>
      </x:c>
      <x:c r="U66" s="40"/>
      <x:c r="V66" s="40"/>
      <x:c r="W66" s="43"/>
      <x:c r="X66" s="43"/>
      <x:c r="Y66" s="47">
        <x:f>IF(K66&gt;0,K66+IF(T66&gt;0,T66,0),T66)</x:f>
      </x:c>
      <x:c r="Z66" s="40"/>
      <x:c r="AA66" s="43"/>
      <x:c r="AB66" s="50">
        <x:v>4.8</x:v>
      </x:c>
      <x:c r="AC66" s="8">
        <x:v>3002</x:v>
      </x:c>
      <x:c r="AD66" s="40"/>
      <x:c r="AE66" s="40"/>
      <x:c r="AF66" s="43"/>
      <x:c r="AG66" s="43"/>
      <x:c r="AH66" s="6"/>
      <x:c r="AI66" s="6"/>
      <x:c r="AJ66" s="40"/>
      <x:c r="AK66" s="40"/>
      <x:c r="AL66" s="43"/>
      <x:c r="AM66" s="43"/>
      <x:c r="AN66" s="55">
        <x:f>(IF(AH66&gt;0,AH66,0)+IF(AJ66&gt;0,AJ66,0)+IF(AL66&gt;0,AL66,0))</x:f>
      </x:c>
      <x:c r="AO66" s="56">
        <x:f>(((AI66*7)+(AK66*1)+(AM66*1))/8)</x:f>
      </x:c>
      <x:c r="AP66" s="4" t="s">
        <x:v>51</x:v>
      </x:c>
    </x:row>
    <x:row r="67">
      <x:c r="A67" s="4" t="s">
        <x:v>225</x:v>
      </x:c>
      <x:c r="B67" s="4" t="s">
        <x:v>224</x:v>
      </x:c>
      <x:c r="C67" s="38" t="s">
        <x:v>223</x:v>
      </x:c>
      <x:c r="D67" s="41"/>
      <x:c r="E67" s="44"/>
      <x:c r="F67" s="6"/>
      <x:c r="G67" s="40"/>
      <x:c r="H67" s="43"/>
      <x:c r="I67" s="45">
        <x:v>46313</x:v>
      </x:c>
      <x:c r="J67" s="46">
        <x:v>81</x:v>
      </x:c>
      <x:c r="K67" s="47">
        <x:f>(F67-(0)+0-(J67*Ventas!AE67*1.0556))</x:f>
      </x:c>
      <x:c r="L67" s="6"/>
      <x:c r="M67" s="51">
        <x:f>(G67+0)</x:f>
      </x:c>
      <x:c r="N67" s="40"/>
      <x:c r="O67" s="54">
        <x:f>(H67+0)</x:f>
      </x:c>
      <x:c r="P67" s="43"/>
      <x:c r="Q67" s="55">
        <x:f>(K67+M67+O67)</x:f>
      </x:c>
      <x:c r="R67" s="56">
        <x:f>(((L67*7)+(N67*1)+(P67*0))/8)</x:f>
      </x:c>
      <x:c r="S67" s="47">
        <x:f>(180*(Ventas!AE67*0.9644) - IF(K67&gt;0,K67,0))</x:f>
      </x:c>
      <x:c r="T67" s="47">
        <x:f>IF(S67&gt;0,S67,0)</x:f>
      </x:c>
      <x:c r="U67" s="40"/>
      <x:c r="V67" s="40"/>
      <x:c r="W67" s="43"/>
      <x:c r="X67" s="43"/>
      <x:c r="Y67" s="47">
        <x:f>IF(K67&gt;0,K67+IF(T67&gt;0,T67,0),T67)</x:f>
      </x:c>
      <x:c r="Z67" s="40"/>
      <x:c r="AA67" s="43"/>
      <x:c r="AB67" s="50">
        <x:v>4.8</x:v>
      </x:c>
      <x:c r="AC67" s="8">
        <x:v>3002</x:v>
      </x:c>
      <x:c r="AD67" s="40"/>
      <x:c r="AE67" s="40"/>
      <x:c r="AF67" s="43"/>
      <x:c r="AG67" s="43"/>
      <x:c r="AH67" s="6"/>
      <x:c r="AI67" s="6"/>
      <x:c r="AJ67" s="40"/>
      <x:c r="AK67" s="40"/>
      <x:c r="AL67" s="43"/>
      <x:c r="AM67" s="43"/>
      <x:c r="AN67" s="55">
        <x:f>(IF(AH67&gt;0,AH67,0)+IF(AJ67&gt;0,AJ67,0)+IF(AL67&gt;0,AL67,0))</x:f>
      </x:c>
      <x:c r="AO67" s="56">
        <x:f>(((AI67*7)+(AK67*1)+(AM67*1))/8)</x:f>
      </x:c>
      <x:c r="AP67" s="4" t="s">
        <x:v>35</x:v>
      </x:c>
    </x:row>
    <x:row r="68">
      <x:c r="A68" s="4" t="s">
        <x:v>228</x:v>
      </x:c>
      <x:c r="B68" s="4" t="s">
        <x:v>227</x:v>
      </x:c>
      <x:c r="C68" s="38" t="s">
        <x:v>226</x:v>
      </x:c>
      <x:c r="D68" s="41"/>
      <x:c r="E68" s="44"/>
      <x:c r="F68" s="8">
        <x:v>7</x:v>
      </x:c>
      <x:c r="G68" s="40"/>
      <x:c r="H68" s="43"/>
      <x:c r="I68" s="45">
        <x:v>46313</x:v>
      </x:c>
      <x:c r="J68" s="46">
        <x:v>81</x:v>
      </x:c>
      <x:c r="K68" s="47">
        <x:f>(F68-(0)+0-(J68*Ventas!AE68*1.0556))</x:f>
      </x:c>
      <x:c r="L68" s="6"/>
      <x:c r="M68" s="51">
        <x:f>(G68+0)</x:f>
      </x:c>
      <x:c r="N68" s="40"/>
      <x:c r="O68" s="54">
        <x:f>(H68+0)</x:f>
      </x:c>
      <x:c r="P68" s="43"/>
      <x:c r="Q68" s="55">
        <x:f>(K68+M68+O68)</x:f>
      </x:c>
      <x:c r="R68" s="56">
        <x:f>(((L68*7)+(N68*1)+(P68*0))/8)</x:f>
      </x:c>
      <x:c r="S68" s="47">
        <x:f>(180*(Ventas!AE68*0.9644) - IF(K68&gt;0,K68,0))</x:f>
      </x:c>
      <x:c r="T68" s="47">
        <x:f>IF(S68&gt;0,S68,0)</x:f>
      </x:c>
      <x:c r="U68" s="40"/>
      <x:c r="V68" s="40"/>
      <x:c r="W68" s="43"/>
      <x:c r="X68" s="43"/>
      <x:c r="Y68" s="47">
        <x:f>IF(K68&gt;0,K68+IF(T68&gt;0,T68,0),T68)</x:f>
      </x:c>
      <x:c r="Z68" s="40"/>
      <x:c r="AA68" s="43"/>
      <x:c r="AB68" s="50">
        <x:v>3.08</x:v>
      </x:c>
      <x:c r="AC68" s="8">
        <x:v>3013</x:v>
      </x:c>
      <x:c r="AD68" s="40"/>
      <x:c r="AE68" s="40"/>
      <x:c r="AF68" s="43"/>
      <x:c r="AG68" s="43"/>
      <x:c r="AH68" s="6"/>
      <x:c r="AI68" s="6"/>
      <x:c r="AJ68" s="40"/>
      <x:c r="AK68" s="40"/>
      <x:c r="AL68" s="43"/>
      <x:c r="AM68" s="43"/>
      <x:c r="AN68" s="55">
        <x:f>(IF(AH68&gt;0,AH68,0)+IF(AJ68&gt;0,AJ68,0)+IF(AL68&gt;0,AL68,0))</x:f>
      </x:c>
      <x:c r="AO68" s="56">
        <x:f>(((AI68*7)+(AK68*1)+(AM68*1))/8)</x:f>
      </x:c>
      <x:c r="AP68" s="4" t="s">
        <x:v>51</x:v>
      </x:c>
    </x:row>
    <x:row r="69">
      <x:c r="A69" s="4" t="s">
        <x:v>231</x:v>
      </x:c>
      <x:c r="B69" s="4" t="s">
        <x:v>230</x:v>
      </x:c>
      <x:c r="C69" s="38" t="s">
        <x:v>229</x:v>
      </x:c>
      <x:c r="D69" s="41"/>
      <x:c r="E69" s="44"/>
      <x:c r="F69" s="8">
        <x:v>1</x:v>
      </x:c>
      <x:c r="G69" s="40"/>
      <x:c r="H69" s="43"/>
      <x:c r="I69" s="45">
        <x:v>46313</x:v>
      </x:c>
      <x:c r="J69" s="46">
        <x:v>81</x:v>
      </x:c>
      <x:c r="K69" s="47">
        <x:f>(F69-(0)+0-(J69*Ventas!AE69*1.0556))</x:f>
      </x:c>
      <x:c r="L69" s="6"/>
      <x:c r="M69" s="51">
        <x:f>(G69+0)</x:f>
      </x:c>
      <x:c r="N69" s="40"/>
      <x:c r="O69" s="54">
        <x:f>(H69+0)</x:f>
      </x:c>
      <x:c r="P69" s="43"/>
      <x:c r="Q69" s="55">
        <x:f>(K69+M69+O69)</x:f>
      </x:c>
      <x:c r="R69" s="56">
        <x:f>(((L69*7)+(N69*1)+(P69*0))/8)</x:f>
      </x:c>
      <x:c r="S69" s="47">
        <x:f>(180*(Ventas!AE69*0.9644) - IF(K69&gt;0,K69,0))</x:f>
      </x:c>
      <x:c r="T69" s="47">
        <x:f>IF(S69&gt;0,S69,0)</x:f>
      </x:c>
      <x:c r="U69" s="40"/>
      <x:c r="V69" s="40"/>
      <x:c r="W69" s="43"/>
      <x:c r="X69" s="43"/>
      <x:c r="Y69" s="47">
        <x:f>IF(K69&gt;0,K69+IF(T69&gt;0,T69,0),T69)</x:f>
      </x:c>
      <x:c r="Z69" s="40"/>
      <x:c r="AA69" s="43"/>
      <x:c r="AB69" s="50">
        <x:v>5.5</x:v>
      </x:c>
      <x:c r="AC69" s="8">
        <x:v>3002</x:v>
      </x:c>
      <x:c r="AD69" s="40"/>
      <x:c r="AE69" s="40"/>
      <x:c r="AF69" s="43"/>
      <x:c r="AG69" s="43"/>
      <x:c r="AH69" s="6"/>
      <x:c r="AI69" s="6"/>
      <x:c r="AJ69" s="40"/>
      <x:c r="AK69" s="40"/>
      <x:c r="AL69" s="43"/>
      <x:c r="AM69" s="43"/>
      <x:c r="AN69" s="55">
        <x:f>(IF(AH69&gt;0,AH69,0)+IF(AJ69&gt;0,AJ69,0)+IF(AL69&gt;0,AL69,0))</x:f>
      </x:c>
      <x:c r="AO69" s="56">
        <x:f>(((AI69*7)+(AK69*1)+(AM69*1))/8)</x:f>
      </x:c>
      <x:c r="AP69" s="4" t="s">
        <x:v>35</x:v>
      </x:c>
    </x:row>
    <x:row r="70">
      <x:c r="A70" s="4" t="s">
        <x:v>234</x:v>
      </x:c>
      <x:c r="B70" s="4" t="s">
        <x:v>233</x:v>
      </x:c>
      <x:c r="C70" s="38" t="s">
        <x:v>232</x:v>
      </x:c>
      <x:c r="D70" s="41"/>
      <x:c r="E70" s="44"/>
      <x:c r="F70" s="6"/>
      <x:c r="G70" s="40"/>
      <x:c r="H70" s="43"/>
      <x:c r="I70" s="45">
        <x:v>46313</x:v>
      </x:c>
      <x:c r="J70" s="46">
        <x:v>81</x:v>
      </x:c>
      <x:c r="K70" s="47">
        <x:f>(F70-(0)+0-(J70*Ventas!AE70*1.0556))</x:f>
      </x:c>
      <x:c r="L70" s="6"/>
      <x:c r="M70" s="51">
        <x:f>(G70+0)</x:f>
      </x:c>
      <x:c r="N70" s="40"/>
      <x:c r="O70" s="54">
        <x:f>(H70+0)</x:f>
      </x:c>
      <x:c r="P70" s="43"/>
      <x:c r="Q70" s="55">
        <x:f>(K70+M70+O70)</x:f>
      </x:c>
      <x:c r="R70" s="56">
        <x:f>(((L70*7)+(N70*1)+(P70*0))/8)</x:f>
      </x:c>
      <x:c r="S70" s="47">
        <x:f>(180*(Ventas!AE70*0.9644) - IF(K70&gt;0,K70,0))</x:f>
      </x:c>
      <x:c r="T70" s="47">
        <x:f>IF(S70&gt;0,S70,0)</x:f>
      </x:c>
      <x:c r="U70" s="40"/>
      <x:c r="V70" s="40"/>
      <x:c r="W70" s="43"/>
      <x:c r="X70" s="43"/>
      <x:c r="Y70" s="47">
        <x:f>IF(K70&gt;0,K70+IF(T70&gt;0,T70,0),T70)</x:f>
      </x:c>
      <x:c r="Z70" s="40"/>
      <x:c r="AA70" s="43"/>
      <x:c r="AB70" s="50">
        <x:v>5.5</x:v>
      </x:c>
      <x:c r="AC70" s="8">
        <x:v>3002</x:v>
      </x:c>
      <x:c r="AD70" s="40"/>
      <x:c r="AE70" s="40"/>
      <x:c r="AF70" s="43"/>
      <x:c r="AG70" s="43"/>
      <x:c r="AH70" s="6"/>
      <x:c r="AI70" s="6"/>
      <x:c r="AJ70" s="40"/>
      <x:c r="AK70" s="40"/>
      <x:c r="AL70" s="43"/>
      <x:c r="AM70" s="43"/>
      <x:c r="AN70" s="55">
        <x:f>(IF(AH70&gt;0,AH70,0)+IF(AJ70&gt;0,AJ70,0)+IF(AL70&gt;0,AL70,0))</x:f>
      </x:c>
      <x:c r="AO70" s="56">
        <x:f>(((AI70*7)+(AK70*1)+(AM70*1))/8)</x:f>
      </x:c>
      <x:c r="AP70" s="4" t="s">
        <x:v>35</x:v>
      </x:c>
    </x:row>
    <x:row r="71">
      <x:c r="A71" s="4" t="s">
        <x:v>237</x:v>
      </x:c>
      <x:c r="B71" s="4" t="s">
        <x:v>236</x:v>
      </x:c>
      <x:c r="C71" s="38" t="s">
        <x:v>235</x:v>
      </x:c>
      <x:c r="D71" s="41"/>
      <x:c r="E71" s="44"/>
      <x:c r="F71" s="8">
        <x:v>3</x:v>
      </x:c>
      <x:c r="G71" s="40"/>
      <x:c r="H71" s="43"/>
      <x:c r="I71" s="45">
        <x:v>46313</x:v>
      </x:c>
      <x:c r="J71" s="46">
        <x:v>81</x:v>
      </x:c>
      <x:c r="K71" s="47">
        <x:f>(F71-(0)+0-(J71*Ventas!AE71*1.0556))</x:f>
      </x:c>
      <x:c r="L71" s="6"/>
      <x:c r="M71" s="51">
        <x:f>(G71+0)</x:f>
      </x:c>
      <x:c r="N71" s="40"/>
      <x:c r="O71" s="54">
        <x:f>(H71+0)</x:f>
      </x:c>
      <x:c r="P71" s="43"/>
      <x:c r="Q71" s="55">
        <x:f>(K71+M71+O71)</x:f>
      </x:c>
      <x:c r="R71" s="56">
        <x:f>(((L71*7)+(N71*1)+(P71*0))/8)</x:f>
      </x:c>
      <x:c r="S71" s="47">
        <x:f>(180*(Ventas!AE71*0.9644) - IF(K71&gt;0,K71,0))</x:f>
      </x:c>
      <x:c r="T71" s="47">
        <x:f>IF(S71&gt;0,S71,0)</x:f>
      </x:c>
      <x:c r="U71" s="40"/>
      <x:c r="V71" s="40"/>
      <x:c r="W71" s="43"/>
      <x:c r="X71" s="43"/>
      <x:c r="Y71" s="47">
        <x:f>IF(K71&gt;0,K71+IF(T71&gt;0,T71,0),T71)</x:f>
      </x:c>
      <x:c r="Z71" s="40"/>
      <x:c r="AA71" s="43"/>
      <x:c r="AB71" s="50">
        <x:v>5.5</x:v>
      </x:c>
      <x:c r="AC71" s="8">
        <x:v>3002</x:v>
      </x:c>
      <x:c r="AD71" s="40"/>
      <x:c r="AE71" s="40"/>
      <x:c r="AF71" s="43"/>
      <x:c r="AG71" s="43"/>
      <x:c r="AH71" s="6"/>
      <x:c r="AI71" s="6"/>
      <x:c r="AJ71" s="40"/>
      <x:c r="AK71" s="40"/>
      <x:c r="AL71" s="43"/>
      <x:c r="AM71" s="43"/>
      <x:c r="AN71" s="55">
        <x:f>(IF(AH71&gt;0,AH71,0)+IF(AJ71&gt;0,AJ71,0)+IF(AL71&gt;0,AL71,0))</x:f>
      </x:c>
      <x:c r="AO71" s="56">
        <x:f>(((AI71*7)+(AK71*1)+(AM71*1))/8)</x:f>
      </x:c>
      <x:c r="AP71" s="4" t="s">
        <x:v>35</x:v>
      </x:c>
    </x:row>
    <x:row r="72">
      <x:c r="A72" s="4" t="s">
        <x:v>240</x:v>
      </x:c>
      <x:c r="B72" s="4" t="s">
        <x:v>239</x:v>
      </x:c>
      <x:c r="C72" s="38" t="s">
        <x:v>238</x:v>
      </x:c>
      <x:c r="D72" s="41"/>
      <x:c r="E72" s="44"/>
      <x:c r="F72" s="8">
        <x:v>8</x:v>
      </x:c>
      <x:c r="G72" s="40"/>
      <x:c r="H72" s="43"/>
      <x:c r="I72" s="45">
        <x:v>46313</x:v>
      </x:c>
      <x:c r="J72" s="46">
        <x:v>81</x:v>
      </x:c>
      <x:c r="K72" s="47">
        <x:f>(F72-(0)+0-(J72*Ventas!AE72*1.0556))</x:f>
      </x:c>
      <x:c r="L72" s="6"/>
      <x:c r="M72" s="51">
        <x:f>(G72+0)</x:f>
      </x:c>
      <x:c r="N72" s="40"/>
      <x:c r="O72" s="54">
        <x:f>(H72+0)</x:f>
      </x:c>
      <x:c r="P72" s="43"/>
      <x:c r="Q72" s="55">
        <x:f>(K72+M72+O72)</x:f>
      </x:c>
      <x:c r="R72" s="56">
        <x:f>(((L72*7)+(N72*1)+(P72*0))/8)</x:f>
      </x:c>
      <x:c r="S72" s="47">
        <x:f>(180*(Ventas!AE72*0.9644) - IF(K72&gt;0,K72,0))</x:f>
      </x:c>
      <x:c r="T72" s="47">
        <x:f>IF(S72&gt;0,S72,0)</x:f>
      </x:c>
      <x:c r="U72" s="40"/>
      <x:c r="V72" s="40"/>
      <x:c r="W72" s="43"/>
      <x:c r="X72" s="43"/>
      <x:c r="Y72" s="47">
        <x:f>IF(K72&gt;0,K72+IF(T72&gt;0,T72,0),T72)</x:f>
      </x:c>
      <x:c r="Z72" s="40"/>
      <x:c r="AA72" s="43"/>
      <x:c r="AB72" s="50">
        <x:v>7</x:v>
      </x:c>
      <x:c r="AC72" s="8">
        <x:v>3002</x:v>
      </x:c>
      <x:c r="AD72" s="40"/>
      <x:c r="AE72" s="40"/>
      <x:c r="AF72" s="43"/>
      <x:c r="AG72" s="43"/>
      <x:c r="AH72" s="6"/>
      <x:c r="AI72" s="6"/>
      <x:c r="AJ72" s="40"/>
      <x:c r="AK72" s="40"/>
      <x:c r="AL72" s="43"/>
      <x:c r="AM72" s="43"/>
      <x:c r="AN72" s="55">
        <x:f>(IF(AH72&gt;0,AH72,0)+IF(AJ72&gt;0,AJ72,0)+IF(AL72&gt;0,AL72,0))</x:f>
      </x:c>
      <x:c r="AO72" s="56">
        <x:f>(((AI72*7)+(AK72*1)+(AM72*1))/8)</x:f>
      </x:c>
      <x:c r="AP72" s="4" t="s">
        <x:v>35</x:v>
      </x:c>
    </x:row>
    <x:row r="73">
      <x:c r="A73" s="4" t="s">
        <x:v>243</x:v>
      </x:c>
      <x:c r="B73" s="4" t="s">
        <x:v>242</x:v>
      </x:c>
      <x:c r="C73" s="38" t="s">
        <x:v>241</x:v>
      </x:c>
      <x:c r="D73" s="41"/>
      <x:c r="E73" s="44"/>
      <x:c r="F73" s="8">
        <x:v>3</x:v>
      </x:c>
      <x:c r="G73" s="40"/>
      <x:c r="H73" s="43"/>
      <x:c r="I73" s="45">
        <x:v>46313</x:v>
      </x:c>
      <x:c r="J73" s="46">
        <x:v>81</x:v>
      </x:c>
      <x:c r="K73" s="47">
        <x:f>(F73-(0)+0-(J73*Ventas!AE73*1.0556))</x:f>
      </x:c>
      <x:c r="L73" s="6"/>
      <x:c r="M73" s="51">
        <x:f>(G73+0)</x:f>
      </x:c>
      <x:c r="N73" s="40"/>
      <x:c r="O73" s="54">
        <x:f>(H73+0)</x:f>
      </x:c>
      <x:c r="P73" s="43"/>
      <x:c r="Q73" s="55">
        <x:f>(K73+M73+O73)</x:f>
      </x:c>
      <x:c r="R73" s="56">
        <x:f>(((L73*7)+(N73*1)+(P73*0))/8)</x:f>
      </x:c>
      <x:c r="S73" s="47">
        <x:f>(180*(Ventas!AE73*0.9644) - IF(K73&gt;0,K73,0))</x:f>
      </x:c>
      <x:c r="T73" s="47">
        <x:f>IF(S73&gt;0,S73,0)</x:f>
      </x:c>
      <x:c r="U73" s="40"/>
      <x:c r="V73" s="40"/>
      <x:c r="W73" s="43"/>
      <x:c r="X73" s="43"/>
      <x:c r="Y73" s="47">
        <x:f>IF(K73&gt;0,K73+IF(T73&gt;0,T73,0),T73)</x:f>
      </x:c>
      <x:c r="Z73" s="40"/>
      <x:c r="AA73" s="43"/>
      <x:c r="AB73" s="50">
        <x:v>7</x:v>
      </x:c>
      <x:c r="AC73" s="8">
        <x:v>3002</x:v>
      </x:c>
      <x:c r="AD73" s="40"/>
      <x:c r="AE73" s="40"/>
      <x:c r="AF73" s="43"/>
      <x:c r="AG73" s="43"/>
      <x:c r="AH73" s="6"/>
      <x:c r="AI73" s="6"/>
      <x:c r="AJ73" s="40"/>
      <x:c r="AK73" s="40"/>
      <x:c r="AL73" s="43"/>
      <x:c r="AM73" s="43"/>
      <x:c r="AN73" s="55">
        <x:f>(IF(AH73&gt;0,AH73,0)+IF(AJ73&gt;0,AJ73,0)+IF(AL73&gt;0,AL73,0))</x:f>
      </x:c>
      <x:c r="AO73" s="56">
        <x:f>(((AI73*7)+(AK73*1)+(AM73*1))/8)</x:f>
      </x:c>
      <x:c r="AP73" s="4" t="s">
        <x:v>35</x:v>
      </x:c>
    </x:row>
    <x:row r="74">
      <x:c r="A74" s="4" t="s">
        <x:v>246</x:v>
      </x:c>
      <x:c r="B74" s="4" t="s">
        <x:v>245</x:v>
      </x:c>
      <x:c r="C74" s="38" t="s">
        <x:v>244</x:v>
      </x:c>
      <x:c r="D74" s="41"/>
      <x:c r="E74" s="44"/>
      <x:c r="F74" s="6"/>
      <x:c r="G74" s="40"/>
      <x:c r="H74" s="43"/>
      <x:c r="I74" s="45">
        <x:v>46313</x:v>
      </x:c>
      <x:c r="J74" s="46">
        <x:v>81</x:v>
      </x:c>
      <x:c r="K74" s="47">
        <x:f>(F74-(0)+0-(J74*Ventas!AE74*1.0556))</x:f>
      </x:c>
      <x:c r="L74" s="6"/>
      <x:c r="M74" s="51">
        <x:f>(G74+0)</x:f>
      </x:c>
      <x:c r="N74" s="40"/>
      <x:c r="O74" s="54">
        <x:f>(H74+0)</x:f>
      </x:c>
      <x:c r="P74" s="43"/>
      <x:c r="Q74" s="55">
        <x:f>(K74+M74+O74)</x:f>
      </x:c>
      <x:c r="R74" s="56">
        <x:f>(((L74*7)+(N74*1)+(P74*0))/8)</x:f>
      </x:c>
      <x:c r="S74" s="47">
        <x:f>(180*(Ventas!AE74*0.9644) - IF(K74&gt;0,K74,0))</x:f>
      </x:c>
      <x:c r="T74" s="47">
        <x:f>IF(S74&gt;0,S74,0)</x:f>
      </x:c>
      <x:c r="U74" s="40"/>
      <x:c r="V74" s="40"/>
      <x:c r="W74" s="43"/>
      <x:c r="X74" s="43"/>
      <x:c r="Y74" s="47">
        <x:f>IF(K74&gt;0,K74+IF(T74&gt;0,T74,0),T74)</x:f>
      </x:c>
      <x:c r="Z74" s="40"/>
      <x:c r="AA74" s="43"/>
      <x:c r="AB74" s="50">
        <x:v>7</x:v>
      </x:c>
      <x:c r="AC74" s="8">
        <x:v>3002</x:v>
      </x:c>
      <x:c r="AD74" s="40"/>
      <x:c r="AE74" s="40"/>
      <x:c r="AF74" s="43"/>
      <x:c r="AG74" s="43"/>
      <x:c r="AH74" s="6"/>
      <x:c r="AI74" s="6"/>
      <x:c r="AJ74" s="40"/>
      <x:c r="AK74" s="40"/>
      <x:c r="AL74" s="43"/>
      <x:c r="AM74" s="43"/>
      <x:c r="AN74" s="55">
        <x:f>(IF(AH74&gt;0,AH74,0)+IF(AJ74&gt;0,AJ74,0)+IF(AL74&gt;0,AL74,0))</x:f>
      </x:c>
      <x:c r="AO74" s="56">
        <x:f>(((AI74*7)+(AK74*1)+(AM74*1))/8)</x:f>
      </x:c>
      <x:c r="AP74" s="4" t="s">
        <x:v>35</x:v>
      </x:c>
    </x:row>
    <x:row r="75">
      <x:c r="A75" s="4" t="s">
        <x:v>249</x:v>
      </x:c>
      <x:c r="B75" s="4" t="s">
        <x:v>248</x:v>
      </x:c>
      <x:c r="C75" s="38" t="s">
        <x:v>247</x:v>
      </x:c>
      <x:c r="D75" s="41"/>
      <x:c r="E75" s="44"/>
      <x:c r="F75" s="6"/>
      <x:c r="G75" s="40"/>
      <x:c r="H75" s="43"/>
      <x:c r="I75" s="45">
        <x:v>46313</x:v>
      </x:c>
      <x:c r="J75" s="46">
        <x:v>81</x:v>
      </x:c>
      <x:c r="K75" s="47">
        <x:f>(F75-(0)+0-(J75*Ventas!AE75*1.0556))</x:f>
      </x:c>
      <x:c r="L75" s="6"/>
      <x:c r="M75" s="51">
        <x:f>(G75+0)</x:f>
      </x:c>
      <x:c r="N75" s="40"/>
      <x:c r="O75" s="54">
        <x:f>(H75+0)</x:f>
      </x:c>
      <x:c r="P75" s="43"/>
      <x:c r="Q75" s="55">
        <x:f>(K75+M75+O75)</x:f>
      </x:c>
      <x:c r="R75" s="56">
        <x:f>(((L75*7)+(N75*1)+(P75*0))/8)</x:f>
      </x:c>
      <x:c r="S75" s="47">
        <x:f>(180*(Ventas!AE75*0.9644) - IF(K75&gt;0,K75,0))</x:f>
      </x:c>
      <x:c r="T75" s="47">
        <x:f>IF(S75&gt;0,S75,0)</x:f>
      </x:c>
      <x:c r="U75" s="40"/>
      <x:c r="V75" s="40"/>
      <x:c r="W75" s="43"/>
      <x:c r="X75" s="43"/>
      <x:c r="Y75" s="47">
        <x:f>IF(K75&gt;0,K75+IF(T75&gt;0,T75,0),T75)</x:f>
      </x:c>
      <x:c r="Z75" s="40"/>
      <x:c r="AA75" s="43"/>
      <x:c r="AB75" s="50">
        <x:v>7</x:v>
      </x:c>
      <x:c r="AC75" s="8">
        <x:v>3002</x:v>
      </x:c>
      <x:c r="AD75" s="40"/>
      <x:c r="AE75" s="40"/>
      <x:c r="AF75" s="43"/>
      <x:c r="AG75" s="43"/>
      <x:c r="AH75" s="6"/>
      <x:c r="AI75" s="6"/>
      <x:c r="AJ75" s="40"/>
      <x:c r="AK75" s="40"/>
      <x:c r="AL75" s="43"/>
      <x:c r="AM75" s="43"/>
      <x:c r="AN75" s="55">
        <x:f>(IF(AH75&gt;0,AH75,0)+IF(AJ75&gt;0,AJ75,0)+IF(AL75&gt;0,AL75,0))</x:f>
      </x:c>
      <x:c r="AO75" s="56">
        <x:f>(((AI75*7)+(AK75*1)+(AM75*1))/8)</x:f>
      </x:c>
      <x:c r="AP75" s="4" t="s">
        <x:v>35</x:v>
      </x:c>
    </x:row>
    <x:row r="76">
      <x:c r="A76" s="4" t="s">
        <x:v>252</x:v>
      </x:c>
      <x:c r="B76" s="4" t="s">
        <x:v>251</x:v>
      </x:c>
      <x:c r="C76" s="38" t="s">
        <x:v>250</x:v>
      </x:c>
      <x:c r="D76" s="41" t="s">
        <x:v>1525</x:v>
      </x:c>
      <x:c r="E76" s="44"/>
      <x:c r="F76" s="8">
        <x:v>61</x:v>
      </x:c>
      <x:c r="G76" s="40"/>
      <x:c r="H76" s="43"/>
      <x:c r="I76" s="45">
        <x:v>46313</x:v>
      </x:c>
      <x:c r="J76" s="46">
        <x:v>81</x:v>
      </x:c>
      <x:c r="K76" s="47">
        <x:f>(F76-(0)+0-(J76*Ventas!AE76*1.0556))</x:f>
      </x:c>
      <x:c r="L76" s="49">
        <x:f>(K76/(Ventas!AE76*1.0556)/80)</x:f>
      </x:c>
      <x:c r="M76" s="51">
        <x:f>(G76-(0)+0-(J76*Ventas!AE509*1.0556))</x:f>
      </x:c>
      <x:c r="N76" s="40"/>
      <x:c r="O76" s="54">
        <x:f>(H76+0)</x:f>
      </x:c>
      <x:c r="P76" s="43"/>
      <x:c r="Q76" s="55">
        <x:f>(K76+M76+O76)</x:f>
      </x:c>
      <x:c r="R76" s="56">
        <x:f>(((L76*7)+(N76*1)+(P76*0))/8)</x:f>
      </x:c>
      <x:c r="S76" s="47">
        <x:f>(180*(Ventas!AE76*0.9644) - IF(K76&gt;0,K76,0))</x:f>
      </x:c>
      <x:c r="T76" s="47">
        <x:f>IF(S76&gt;0,S76,0)</x:f>
      </x:c>
      <x:c r="U76" s="51">
        <x:f>(180*(Ventas!AE509*0.9644) - IF(M76&gt;0,M76,0))</x:f>
      </x:c>
      <x:c r="V76" s="51">
        <x:f>IF(U76&gt;0,U76,0)</x:f>
      </x:c>
      <x:c r="W76" s="43"/>
      <x:c r="X76" s="43"/>
      <x:c r="Y76" s="47">
        <x:f>IF(K76&gt;0,K76+IF(T76&gt;0,T76,0),T76)</x:f>
      </x:c>
      <x:c r="Z76" s="51">
        <x:f>IF(M76&gt;0,M76+IF(V76&gt;0,V76,0),V76)</x:f>
      </x:c>
      <x:c r="AA76" s="43"/>
      <x:c r="AB76" s="50">
        <x:v>4.4</x:v>
      </x:c>
      <x:c r="AC76" s="8">
        <x:v>3016</x:v>
      </x:c>
      <x:c r="AD76" s="53">
        <x:v>5.43</x:v>
      </x:c>
      <x:c r="AE76" s="40"/>
      <x:c r="AF76" s="43"/>
      <x:c r="AG76" s="43"/>
      <x:c r="AH76" s="47">
        <x:f>(Y76-(90*Ventas!AE76*0.9644))</x:f>
      </x:c>
      <x:c r="AI76" s="49">
        <x:f>(AH76/(Ventas!AE76*0.9644)/80)</x:f>
      </x:c>
      <x:c r="AJ76" s="40"/>
      <x:c r="AK76" s="40"/>
      <x:c r="AL76" s="43"/>
      <x:c r="AM76" s="43"/>
      <x:c r="AN76" s="55">
        <x:f>(IF(AH76&gt;0,AH76,0)+IF(AJ76&gt;0,AJ76,0)+IF(AL76&gt;0,AL76,0))</x:f>
      </x:c>
      <x:c r="AO76" s="56">
        <x:f>(((AI76*7)+(AK76*1)+(AM76*1))/8)</x:f>
      </x:c>
      <x:c r="AP76" s="4" t="s">
        <x:v>35</x:v>
      </x:c>
    </x:row>
    <x:row r="77">
      <x:c r="A77" s="4" t="s">
        <x:v>255</x:v>
      </x:c>
      <x:c r="B77" s="4" t="s">
        <x:v>254</x:v>
      </x:c>
      <x:c r="C77" s="38" t="s">
        <x:v>253</x:v>
      </x:c>
      <x:c r="D77" s="41"/>
      <x:c r="E77" s="44"/>
      <x:c r="F77" s="8">
        <x:v>7</x:v>
      </x:c>
      <x:c r="G77" s="40"/>
      <x:c r="H77" s="43"/>
      <x:c r="I77" s="45">
        <x:v>46313</x:v>
      </x:c>
      <x:c r="J77" s="46">
        <x:v>81</x:v>
      </x:c>
      <x:c r="K77" s="47">
        <x:f>(F77-(0)+0-(J77*Ventas!AE77*1.0556))</x:f>
      </x:c>
      <x:c r="L77" s="49">
        <x:f>(K77/(Ventas!AE77*1.0556)/80)</x:f>
      </x:c>
      <x:c r="M77" s="51">
        <x:f>(G77+0)</x:f>
      </x:c>
      <x:c r="N77" s="40"/>
      <x:c r="O77" s="54">
        <x:f>(H77+0)</x:f>
      </x:c>
      <x:c r="P77" s="43"/>
      <x:c r="Q77" s="55">
        <x:f>(K77+M77+O77)</x:f>
      </x:c>
      <x:c r="R77" s="56">
        <x:f>(((L77*7)+(N77*1)+(P77*0))/8)</x:f>
      </x:c>
      <x:c r="S77" s="47">
        <x:f>(180*(Ventas!AE77*0.9644) - IF(K77&gt;0,K77,0))</x:f>
      </x:c>
      <x:c r="T77" s="47">
        <x:f>IF(S77&gt;0,S77,0)</x:f>
      </x:c>
      <x:c r="U77" s="40"/>
      <x:c r="V77" s="40"/>
      <x:c r="W77" s="43"/>
      <x:c r="X77" s="43"/>
      <x:c r="Y77" s="47">
        <x:f>IF(K77&gt;0,K77+IF(T77&gt;0,T77,0),T77)</x:f>
      </x:c>
      <x:c r="Z77" s="40"/>
      <x:c r="AA77" s="43"/>
      <x:c r="AB77" s="50">
        <x:v>6.039</x:v>
      </x:c>
      <x:c r="AC77" s="8">
        <x:v>3022</x:v>
      </x:c>
      <x:c r="AD77" s="40"/>
      <x:c r="AE77" s="40"/>
      <x:c r="AF77" s="43"/>
      <x:c r="AG77" s="43"/>
      <x:c r="AH77" s="47">
        <x:f>(Y77-(90*Ventas!AE77*0.9644))</x:f>
      </x:c>
      <x:c r="AI77" s="49">
        <x:f>(AH77/(Ventas!AE77*0.9644)/80)</x:f>
      </x:c>
      <x:c r="AJ77" s="40"/>
      <x:c r="AK77" s="40"/>
      <x:c r="AL77" s="43"/>
      <x:c r="AM77" s="43"/>
      <x:c r="AN77" s="55">
        <x:f>(IF(AH77&gt;0,AH77,0)+IF(AJ77&gt;0,AJ77,0)+IF(AL77&gt;0,AL77,0))</x:f>
      </x:c>
      <x:c r="AO77" s="56">
        <x:f>(((AI77*7)+(AK77*1)+(AM77*1))/8)</x:f>
      </x:c>
      <x:c r="AP77" s="4" t="s">
        <x:v>51</x:v>
      </x:c>
    </x:row>
    <x:row r="78">
      <x:c r="A78" s="4"/>
      <x:c r="B78" s="4" t="s">
        <x:v>257</x:v>
      </x:c>
      <x:c r="C78" s="38" t="s">
        <x:v>256</x:v>
      </x:c>
      <x:c r="D78" s="41"/>
      <x:c r="E78" s="44"/>
      <x:c r="F78" s="6"/>
      <x:c r="G78" s="40"/>
      <x:c r="H78" s="43"/>
      <x:c r="I78" s="45">
        <x:v>46313</x:v>
      </x:c>
      <x:c r="J78" s="46">
        <x:v>81</x:v>
      </x:c>
      <x:c r="K78" s="47">
        <x:f>(F78-(0)+0-(J78*Ventas!AE78*1.0556))</x:f>
      </x:c>
      <x:c r="L78" s="6"/>
      <x:c r="M78" s="51">
        <x:f>(G78+0)</x:f>
      </x:c>
      <x:c r="N78" s="40"/>
      <x:c r="O78" s="54">
        <x:f>(H78+0)</x:f>
      </x:c>
      <x:c r="P78" s="43"/>
      <x:c r="Q78" s="55">
        <x:f>(K78+M78+O78)</x:f>
      </x:c>
      <x:c r="R78" s="56">
        <x:f>(((L78*7)+(N78*1)+(P78*0))/8)</x:f>
      </x:c>
      <x:c r="S78" s="47">
        <x:f>(180*(Ventas!AE78*0.9644) - IF(K78&gt;0,K78,0))</x:f>
      </x:c>
      <x:c r="T78" s="47">
        <x:f>IF(S78&gt;0,S78,0)</x:f>
      </x:c>
      <x:c r="U78" s="40"/>
      <x:c r="V78" s="40"/>
      <x:c r="W78" s="43"/>
      <x:c r="X78" s="43"/>
      <x:c r="Y78" s="47">
        <x:f>IF(K78&gt;0,K78+IF(T78&gt;0,T78,0),T78)</x:f>
      </x:c>
      <x:c r="Z78" s="40"/>
      <x:c r="AA78" s="43"/>
      <x:c r="AB78" s="6"/>
      <x:c r="AC78" s="6"/>
      <x:c r="AD78" s="40"/>
      <x:c r="AE78" s="40"/>
      <x:c r="AF78" s="43"/>
      <x:c r="AG78" s="43"/>
      <x:c r="AH78" s="6"/>
      <x:c r="AI78" s="6"/>
      <x:c r="AJ78" s="40"/>
      <x:c r="AK78" s="40"/>
      <x:c r="AL78" s="43"/>
      <x:c r="AM78" s="43"/>
      <x:c r="AN78" s="55">
        <x:f>(IF(AH78&gt;0,AH78,0)+IF(AJ78&gt;0,AJ78,0)+IF(AL78&gt;0,AL78,0))</x:f>
      </x:c>
      <x:c r="AO78" s="56">
        <x:f>(((AI78*7)+(AK78*1)+(AM78*1))/8)</x:f>
      </x:c>
      <x:c r="AP78" s="4" t="s">
        <x:v>51</x:v>
      </x:c>
    </x:row>
    <x:row r="79">
      <x:c r="A79" s="4" t="s">
        <x:v>260</x:v>
      </x:c>
      <x:c r="B79" s="4" t="s">
        <x:v>259</x:v>
      </x:c>
      <x:c r="C79" s="38" t="s">
        <x:v>258</x:v>
      </x:c>
      <x:c r="D79" s="41"/>
      <x:c r="E79" s="44"/>
      <x:c r="F79" s="8">
        <x:v>12</x:v>
      </x:c>
      <x:c r="G79" s="40"/>
      <x:c r="H79" s="43"/>
      <x:c r="I79" s="45">
        <x:v>46313</x:v>
      </x:c>
      <x:c r="J79" s="46">
        <x:v>81</x:v>
      </x:c>
      <x:c r="K79" s="47">
        <x:f>(F79-(0)+0-(J79*Ventas!AE79*1.0556))</x:f>
      </x:c>
      <x:c r="L79" s="49">
        <x:f>(K79/(Ventas!AE79*1.0556)/80)</x:f>
      </x:c>
      <x:c r="M79" s="51">
        <x:f>(G79+0)</x:f>
      </x:c>
      <x:c r="N79" s="40"/>
      <x:c r="O79" s="54">
        <x:f>(H79+0)</x:f>
      </x:c>
      <x:c r="P79" s="43"/>
      <x:c r="Q79" s="55">
        <x:f>(K79+M79+O79)</x:f>
      </x:c>
      <x:c r="R79" s="56">
        <x:f>(((L79*7)+(N79*1)+(P79*0))/8)</x:f>
      </x:c>
      <x:c r="S79" s="47">
        <x:f>(180*(Ventas!AE79*0.9644) - IF(K79&gt;0,K79,0))</x:f>
      </x:c>
      <x:c r="T79" s="47">
        <x:f>IF(S79&gt;0,S79,0)</x:f>
      </x:c>
      <x:c r="U79" s="40"/>
      <x:c r="V79" s="40"/>
      <x:c r="W79" s="43"/>
      <x:c r="X79" s="43"/>
      <x:c r="Y79" s="47">
        <x:f>IF(K79&gt;0,K79+IF(T79&gt;0,T79,0),T79)</x:f>
      </x:c>
      <x:c r="Z79" s="40"/>
      <x:c r="AA79" s="43"/>
      <x:c r="AB79" s="50">
        <x:v>8.5</x:v>
      </x:c>
      <x:c r="AC79" s="8">
        <x:v>2998</x:v>
      </x:c>
      <x:c r="AD79" s="40"/>
      <x:c r="AE79" s="40"/>
      <x:c r="AF79" s="43"/>
      <x:c r="AG79" s="43"/>
      <x:c r="AH79" s="47">
        <x:f>(Y79-(90*Ventas!AE79*0.9644))</x:f>
      </x:c>
      <x:c r="AI79" s="49">
        <x:f>(AH79/(Ventas!AE79*0.9644)/80)</x:f>
      </x:c>
      <x:c r="AJ79" s="40"/>
      <x:c r="AK79" s="40"/>
      <x:c r="AL79" s="43"/>
      <x:c r="AM79" s="43"/>
      <x:c r="AN79" s="55">
        <x:f>(IF(AH79&gt;0,AH79,0)+IF(AJ79&gt;0,AJ79,0)+IF(AL79&gt;0,AL79,0))</x:f>
      </x:c>
      <x:c r="AO79" s="56">
        <x:f>(((AI79*7)+(AK79*1)+(AM79*1))/8)</x:f>
      </x:c>
      <x:c r="AP79" s="4" t="s">
        <x:v>51</x:v>
      </x:c>
    </x:row>
    <x:row r="80">
      <x:c r="A80" s="4" t="s">
        <x:v>263</x:v>
      </x:c>
      <x:c r="B80" s="4" t="s">
        <x:v>262</x:v>
      </x:c>
      <x:c r="C80" s="38" t="s">
        <x:v>261</x:v>
      </x:c>
      <x:c r="D80" s="41"/>
      <x:c r="E80" s="44"/>
      <x:c r="F80" s="6"/>
      <x:c r="G80" s="40"/>
      <x:c r="H80" s="43"/>
      <x:c r="I80" s="45">
        <x:v>46313</x:v>
      </x:c>
      <x:c r="J80" s="46">
        <x:v>81</x:v>
      </x:c>
      <x:c r="K80" s="47">
        <x:f>(F80-(0)+0-(J80*Ventas!AE80*1.0556))</x:f>
      </x:c>
      <x:c r="L80" s="6"/>
      <x:c r="M80" s="51">
        <x:f>(G80+0)</x:f>
      </x:c>
      <x:c r="N80" s="40"/>
      <x:c r="O80" s="54">
        <x:f>(H80+0)</x:f>
      </x:c>
      <x:c r="P80" s="43"/>
      <x:c r="Q80" s="55">
        <x:f>(K80+M80+O80)</x:f>
      </x:c>
      <x:c r="R80" s="56">
        <x:f>(((L80*7)+(N80*1)+(P80*0))/8)</x:f>
      </x:c>
      <x:c r="S80" s="47">
        <x:f>(180*(Ventas!AE80*0.9644) - IF(K80&gt;0,K80,0))</x:f>
      </x:c>
      <x:c r="T80" s="47">
        <x:f>IF(S80&gt;0,S80,0)</x:f>
      </x:c>
      <x:c r="U80" s="40"/>
      <x:c r="V80" s="40"/>
      <x:c r="W80" s="43"/>
      <x:c r="X80" s="43"/>
      <x:c r="Y80" s="47">
        <x:f>IF(K80&gt;0,K80+IF(T80&gt;0,T80,0),T80)</x:f>
      </x:c>
      <x:c r="Z80" s="40"/>
      <x:c r="AA80" s="43"/>
      <x:c r="AB80" s="50">
        <x:v>10.9</x:v>
      </x:c>
      <x:c r="AC80" s="8">
        <x:v>2998</x:v>
      </x:c>
      <x:c r="AD80" s="40"/>
      <x:c r="AE80" s="40"/>
      <x:c r="AF80" s="43"/>
      <x:c r="AG80" s="43"/>
      <x:c r="AH80" s="6"/>
      <x:c r="AI80" s="6"/>
      <x:c r="AJ80" s="40"/>
      <x:c r="AK80" s="40"/>
      <x:c r="AL80" s="43"/>
      <x:c r="AM80" s="43"/>
      <x:c r="AN80" s="55">
        <x:f>(IF(AH80&gt;0,AH80,0)+IF(AJ80&gt;0,AJ80,0)+IF(AL80&gt;0,AL80,0))</x:f>
      </x:c>
      <x:c r="AO80" s="56">
        <x:f>(((AI80*7)+(AK80*1)+(AM80*1))/8)</x:f>
      </x:c>
      <x:c r="AP80" s="4" t="s">
        <x:v>51</x:v>
      </x:c>
    </x:row>
    <x:row r="81">
      <x:c r="A81" s="4" t="s">
        <x:v>266</x:v>
      </x:c>
      <x:c r="B81" s="4" t="s">
        <x:v>265</x:v>
      </x:c>
      <x:c r="C81" s="38" t="s">
        <x:v>264</x:v>
      </x:c>
      <x:c r="D81" s="41" t="s">
        <x:v>1528</x:v>
      </x:c>
      <x:c r="E81" s="44"/>
      <x:c r="F81" s="8">
        <x:v>39</x:v>
      </x:c>
      <x:c r="G81" s="57">
        <x:v>6</x:v>
      </x:c>
      <x:c r="H81" s="43"/>
      <x:c r="I81" s="45">
        <x:v>46313</x:v>
      </x:c>
      <x:c r="J81" s="46">
        <x:v>81</x:v>
      </x:c>
      <x:c r="K81" s="47">
        <x:f>(F81-(0)+0-(J81*Ventas!AE81*1.0556))</x:f>
      </x:c>
      <x:c r="L81" s="49">
        <x:f>(K81/(Ventas!AE81*1.0556)/80)</x:f>
      </x:c>
      <x:c r="M81" s="51">
        <x:f>(G81-(0)+0-(J81*Ventas!AE510*1.0556))</x:f>
      </x:c>
      <x:c r="N81" s="52">
        <x:f>(M81/(Ventas!AE510*1.0556)/85)</x:f>
      </x:c>
      <x:c r="O81" s="54">
        <x:f>(H81+0)</x:f>
      </x:c>
      <x:c r="P81" s="43"/>
      <x:c r="Q81" s="55">
        <x:f>(K81+M81+O81)</x:f>
      </x:c>
      <x:c r="R81" s="56">
        <x:f>(((L81*7)+(N81*1)+(P81*0))/8)</x:f>
      </x:c>
      <x:c r="S81" s="47">
        <x:f>(180*(Ventas!AE81*0.9644) - IF(K81&gt;0,K81,0))</x:f>
      </x:c>
      <x:c r="T81" s="47">
        <x:f>IF(S81&gt;0,S81,0)</x:f>
      </x:c>
      <x:c r="U81" s="51">
        <x:f>(180*(Ventas!AE510*0.9644) - IF(M81&gt;0,M81,0))</x:f>
      </x:c>
      <x:c r="V81" s="51">
        <x:f>IF(U81&gt;0,U81,0)</x:f>
      </x:c>
      <x:c r="W81" s="43"/>
      <x:c r="X81" s="43"/>
      <x:c r="Y81" s="47">
        <x:f>IF(K81&gt;0,K81+IF(T81&gt;0,T81,0),T81)</x:f>
      </x:c>
      <x:c r="Z81" s="51">
        <x:f>IF(M81&gt;0,M81+IF(V81&gt;0,V81,0),V81)</x:f>
      </x:c>
      <x:c r="AA81" s="43"/>
      <x:c r="AB81" s="50">
        <x:v>4.55</x:v>
      </x:c>
      <x:c r="AC81" s="8">
        <x:v>3016</x:v>
      </x:c>
      <x:c r="AD81" s="53">
        <x:v>4.55</x:v>
      </x:c>
      <x:c r="AE81" s="40"/>
      <x:c r="AF81" s="43"/>
      <x:c r="AG81" s="43"/>
      <x:c r="AH81" s="47">
        <x:f>(Y81-(90*Ventas!AE81*0.9644))</x:f>
      </x:c>
      <x:c r="AI81" s="49">
        <x:f>(AH81/(Ventas!AE81*0.9644)/80)</x:f>
      </x:c>
      <x:c r="AJ81" s="51">
        <x:f>(Z81-(90*Ventas!AE510*0.9644))</x:f>
      </x:c>
      <x:c r="AK81" s="52">
        <x:f>(AJ81/(Ventas!AE510*0.9644)/85)</x:f>
      </x:c>
      <x:c r="AL81" s="43"/>
      <x:c r="AM81" s="43"/>
      <x:c r="AN81" s="55">
        <x:f>(IF(AH81&gt;0,AH81,0)+IF(AJ81&gt;0,AJ81,0)+IF(AL81&gt;0,AL81,0))</x:f>
      </x:c>
      <x:c r="AO81" s="56">
        <x:f>(((AI81*7)+(AK81*1)+(AM81*1))/8)</x:f>
      </x:c>
      <x:c r="AP81" s="4" t="s">
        <x:v>35</x:v>
      </x:c>
    </x:row>
    <x:row r="82">
      <x:c r="A82" s="4" t="s">
        <x:v>269</x:v>
      </x:c>
      <x:c r="B82" s="4" t="s">
        <x:v>268</x:v>
      </x:c>
      <x:c r="C82" s="38" t="s">
        <x:v>267</x:v>
      </x:c>
      <x:c r="D82" s="41"/>
      <x:c r="E82" s="44"/>
      <x:c r="F82" s="6"/>
      <x:c r="G82" s="40"/>
      <x:c r="H82" s="43"/>
      <x:c r="I82" s="45">
        <x:v>46313</x:v>
      </x:c>
      <x:c r="J82" s="46">
        <x:v>81</x:v>
      </x:c>
      <x:c r="K82" s="47">
        <x:f>(F82-(0)+0-(J82*Ventas!AE82*1.0556))</x:f>
      </x:c>
      <x:c r="L82" s="6"/>
      <x:c r="M82" s="51">
        <x:f>(G82+0)</x:f>
      </x:c>
      <x:c r="N82" s="40"/>
      <x:c r="O82" s="54">
        <x:f>(H82+0)</x:f>
      </x:c>
      <x:c r="P82" s="43"/>
      <x:c r="Q82" s="55">
        <x:f>(K82+M82+O82)</x:f>
      </x:c>
      <x:c r="R82" s="56">
        <x:f>(((L82*7)+(N82*1)+(P82*0))/8)</x:f>
      </x:c>
      <x:c r="S82" s="47">
        <x:f>(180*(Ventas!AE82*0.9644) - IF(K82&gt;0,K82,0))</x:f>
      </x:c>
      <x:c r="T82" s="47">
        <x:f>IF(S82&gt;0,S82,0)</x:f>
      </x:c>
      <x:c r="U82" s="40"/>
      <x:c r="V82" s="40"/>
      <x:c r="W82" s="43"/>
      <x:c r="X82" s="43"/>
      <x:c r="Y82" s="47">
        <x:f>IF(K82&gt;0,K82+IF(T82&gt;0,T82,0),T82)</x:f>
      </x:c>
      <x:c r="Z82" s="40"/>
      <x:c r="AA82" s="43"/>
      <x:c r="AB82" s="50">
        <x:v>19.5</x:v>
      </x:c>
      <x:c r="AC82" s="8">
        <x:v>3002</x:v>
      </x:c>
      <x:c r="AD82" s="40"/>
      <x:c r="AE82" s="40"/>
      <x:c r="AF82" s="43"/>
      <x:c r="AG82" s="43"/>
      <x:c r="AH82" s="6"/>
      <x:c r="AI82" s="6"/>
      <x:c r="AJ82" s="40"/>
      <x:c r="AK82" s="40"/>
      <x:c r="AL82" s="43"/>
      <x:c r="AM82" s="43"/>
      <x:c r="AN82" s="55">
        <x:f>(IF(AH82&gt;0,AH82,0)+IF(AJ82&gt;0,AJ82,0)+IF(AL82&gt;0,AL82,0))</x:f>
      </x:c>
      <x:c r="AO82" s="56">
        <x:f>(((AI82*7)+(AK82*1)+(AM82*1))/8)</x:f>
      </x:c>
      <x:c r="AP82" s="4" t="s">
        <x:v>35</x:v>
      </x:c>
    </x:row>
    <x:row r="83">
      <x:c r="A83" s="4" t="s">
        <x:v>272</x:v>
      </x:c>
      <x:c r="B83" s="4" t="s">
        <x:v>271</x:v>
      </x:c>
      <x:c r="C83" s="38" t="s">
        <x:v>270</x:v>
      </x:c>
      <x:c r="D83" s="41"/>
      <x:c r="E83" s="44"/>
      <x:c r="F83" s="8">
        <x:v>2</x:v>
      </x:c>
      <x:c r="G83" s="40"/>
      <x:c r="H83" s="43"/>
      <x:c r="I83" s="45">
        <x:v>46313</x:v>
      </x:c>
      <x:c r="J83" s="46">
        <x:v>81</x:v>
      </x:c>
      <x:c r="K83" s="47">
        <x:f>(F83-(0)+0-(J83*Ventas!AE83*1.0556))</x:f>
      </x:c>
      <x:c r="L83" s="49">
        <x:f>(K83/(Ventas!AE83*1.0556)/80)</x:f>
      </x:c>
      <x:c r="M83" s="51">
        <x:f>(G83+0)</x:f>
      </x:c>
      <x:c r="N83" s="40"/>
      <x:c r="O83" s="54">
        <x:f>(H83+0)</x:f>
      </x:c>
      <x:c r="P83" s="43"/>
      <x:c r="Q83" s="55">
        <x:f>(K83+M83+O83)</x:f>
      </x:c>
      <x:c r="R83" s="56">
        <x:f>(((L83*7)+(N83*1)+(P83*0))/8)</x:f>
      </x:c>
      <x:c r="S83" s="47">
        <x:f>(180*(Ventas!AE83*0.9644) - IF(K83&gt;0,K83,0))</x:f>
      </x:c>
      <x:c r="T83" s="47">
        <x:f>IF(S83&gt;0,S83,0)</x:f>
      </x:c>
      <x:c r="U83" s="40"/>
      <x:c r="V83" s="40"/>
      <x:c r="W83" s="43"/>
      <x:c r="X83" s="43"/>
      <x:c r="Y83" s="47">
        <x:f>IF(K83&gt;0,K83+IF(T83&gt;0,T83,0),T83)</x:f>
      </x:c>
      <x:c r="Z83" s="40"/>
      <x:c r="AA83" s="43"/>
      <x:c r="AB83" s="50">
        <x:v>5.9</x:v>
      </x:c>
      <x:c r="AC83" s="8">
        <x:v>3016</x:v>
      </x:c>
      <x:c r="AD83" s="40"/>
      <x:c r="AE83" s="40"/>
      <x:c r="AF83" s="43"/>
      <x:c r="AG83" s="43"/>
      <x:c r="AH83" s="47">
        <x:f>(Y83-(90*Ventas!AE83*0.9644))</x:f>
      </x:c>
      <x:c r="AI83" s="49">
        <x:f>(AH83/(Ventas!AE83*0.9644)/80)</x:f>
      </x:c>
      <x:c r="AJ83" s="40"/>
      <x:c r="AK83" s="40"/>
      <x:c r="AL83" s="43"/>
      <x:c r="AM83" s="43"/>
      <x:c r="AN83" s="55">
        <x:f>(IF(AH83&gt;0,AH83,0)+IF(AJ83&gt;0,AJ83,0)+IF(AL83&gt;0,AL83,0))</x:f>
      </x:c>
      <x:c r="AO83" s="56">
        <x:f>(((AI83*7)+(AK83*1)+(AM83*1))/8)</x:f>
      </x:c>
      <x:c r="AP83" s="4" t="s">
        <x:v>35</x:v>
      </x:c>
    </x:row>
    <x:row r="84">
      <x:c r="A84" s="4" t="s">
        <x:v>275</x:v>
      </x:c>
      <x:c r="B84" s="4" t="s">
        <x:v>274</x:v>
      </x:c>
      <x:c r="C84" s="38" t="s">
        <x:v>273</x:v>
      </x:c>
      <x:c r="D84" s="41"/>
      <x:c r="E84" s="44"/>
      <x:c r="F84" s="8">
        <x:v>7</x:v>
      </x:c>
      <x:c r="G84" s="40"/>
      <x:c r="H84" s="43"/>
      <x:c r="I84" s="45">
        <x:v>46313</x:v>
      </x:c>
      <x:c r="J84" s="46">
        <x:v>81</x:v>
      </x:c>
      <x:c r="K84" s="47">
        <x:f>(F84-(0)+0-(J84*Ventas!AE84*1.0556))</x:f>
      </x:c>
      <x:c r="L84" s="6"/>
      <x:c r="M84" s="51">
        <x:f>(G84+0)</x:f>
      </x:c>
      <x:c r="N84" s="40"/>
      <x:c r="O84" s="54">
        <x:f>(H84+0)</x:f>
      </x:c>
      <x:c r="P84" s="43"/>
      <x:c r="Q84" s="55">
        <x:f>(K84+M84+O84)</x:f>
      </x:c>
      <x:c r="R84" s="56">
        <x:f>(((L84*7)+(N84*1)+(P84*0))/8)</x:f>
      </x:c>
      <x:c r="S84" s="47">
        <x:f>(180*(Ventas!AE84*0.9644) - IF(K84&gt;0,K84,0))</x:f>
      </x:c>
      <x:c r="T84" s="47">
        <x:f>IF(S84&gt;0,S84,0)</x:f>
      </x:c>
      <x:c r="U84" s="40"/>
      <x:c r="V84" s="40"/>
      <x:c r="W84" s="43"/>
      <x:c r="X84" s="43"/>
      <x:c r="Y84" s="47">
        <x:f>IF(K84&gt;0,K84+IF(T84&gt;0,T84,0),T84)</x:f>
      </x:c>
      <x:c r="Z84" s="40"/>
      <x:c r="AA84" s="43"/>
      <x:c r="AB84" s="50">
        <x:v>3.95</x:v>
      </x:c>
      <x:c r="AC84" s="8">
        <x:v>3016</x:v>
      </x:c>
      <x:c r="AD84" s="40"/>
      <x:c r="AE84" s="40"/>
      <x:c r="AF84" s="43"/>
      <x:c r="AG84" s="43"/>
      <x:c r="AH84" s="6"/>
      <x:c r="AI84" s="6"/>
      <x:c r="AJ84" s="40"/>
      <x:c r="AK84" s="40"/>
      <x:c r="AL84" s="43"/>
      <x:c r="AM84" s="43"/>
      <x:c r="AN84" s="55">
        <x:f>(IF(AH84&gt;0,AH84,0)+IF(AJ84&gt;0,AJ84,0)+IF(AL84&gt;0,AL84,0))</x:f>
      </x:c>
      <x:c r="AO84" s="56">
        <x:f>(((AI84*7)+(AK84*1)+(AM84*1))/8)</x:f>
      </x:c>
      <x:c r="AP84" s="4" t="s">
        <x:v>35</x:v>
      </x:c>
    </x:row>
    <x:row r="85">
      <x:c r="A85" s="4" t="s">
        <x:v>278</x:v>
      </x:c>
      <x:c r="B85" s="4" t="s">
        <x:v>277</x:v>
      </x:c>
      <x:c r="C85" s="38" t="s">
        <x:v>276</x:v>
      </x:c>
      <x:c r="D85" s="41"/>
      <x:c r="E85" s="44"/>
      <x:c r="F85" s="6"/>
      <x:c r="G85" s="40"/>
      <x:c r="H85" s="43"/>
      <x:c r="I85" s="45">
        <x:v>46313</x:v>
      </x:c>
      <x:c r="J85" s="46">
        <x:v>81</x:v>
      </x:c>
      <x:c r="K85" s="47">
        <x:f>(F85-(0)+0-(J85*Ventas!AE85*1.0556))</x:f>
      </x:c>
      <x:c r="L85" s="6"/>
      <x:c r="M85" s="51">
        <x:f>(G85+0)</x:f>
      </x:c>
      <x:c r="N85" s="40"/>
      <x:c r="O85" s="54">
        <x:f>(H85+0)</x:f>
      </x:c>
      <x:c r="P85" s="43"/>
      <x:c r="Q85" s="55">
        <x:f>(K85+M85+O85)</x:f>
      </x:c>
      <x:c r="R85" s="56">
        <x:f>(((L85*7)+(N85*1)+(P85*0))/8)</x:f>
      </x:c>
      <x:c r="S85" s="47">
        <x:f>(180*(Ventas!AE85*0.9644) - IF(K85&gt;0,K85,0))</x:f>
      </x:c>
      <x:c r="T85" s="47">
        <x:f>IF(S85&gt;0,S85,0)</x:f>
      </x:c>
      <x:c r="U85" s="40"/>
      <x:c r="V85" s="40"/>
      <x:c r="W85" s="43"/>
      <x:c r="X85" s="43"/>
      <x:c r="Y85" s="47">
        <x:f>IF(K85&gt;0,K85+IF(T85&gt;0,T85,0),T85)</x:f>
      </x:c>
      <x:c r="Z85" s="40"/>
      <x:c r="AA85" s="43"/>
      <x:c r="AB85" s="50">
        <x:v>5.02</x:v>
      </x:c>
      <x:c r="AC85" s="8">
        <x:v>3006</x:v>
      </x:c>
      <x:c r="AD85" s="40"/>
      <x:c r="AE85" s="40"/>
      <x:c r="AF85" s="43"/>
      <x:c r="AG85" s="43"/>
      <x:c r="AH85" s="6"/>
      <x:c r="AI85" s="6"/>
      <x:c r="AJ85" s="40"/>
      <x:c r="AK85" s="40"/>
      <x:c r="AL85" s="43"/>
      <x:c r="AM85" s="43"/>
      <x:c r="AN85" s="55">
        <x:f>(IF(AH85&gt;0,AH85,0)+IF(AJ85&gt;0,AJ85,0)+IF(AL85&gt;0,AL85,0))</x:f>
      </x:c>
      <x:c r="AO85" s="56">
        <x:f>(((AI85*7)+(AK85*1)+(AM85*1))/8)</x:f>
      </x:c>
      <x:c r="AP85" s="4" t="s">
        <x:v>35</x:v>
      </x:c>
    </x:row>
    <x:row r="86">
      <x:c r="A86" s="4" t="s">
        <x:v>281</x:v>
      </x:c>
      <x:c r="B86" s="4" t="s">
        <x:v>280</x:v>
      </x:c>
      <x:c r="C86" s="38" t="s">
        <x:v>279</x:v>
      </x:c>
      <x:c r="D86" s="41"/>
      <x:c r="E86" s="44"/>
      <x:c r="F86" s="8">
        <x:v>15</x:v>
      </x:c>
      <x:c r="G86" s="40"/>
      <x:c r="H86" s="43"/>
      <x:c r="I86" s="45">
        <x:v>46313</x:v>
      </x:c>
      <x:c r="J86" s="46">
        <x:v>81</x:v>
      </x:c>
      <x:c r="K86" s="47">
        <x:f>(F86-(0)+0-(J86*Ventas!AE86*1.0556))</x:f>
      </x:c>
      <x:c r="L86" s="6"/>
      <x:c r="M86" s="51">
        <x:f>(G86+0)</x:f>
      </x:c>
      <x:c r="N86" s="40"/>
      <x:c r="O86" s="54">
        <x:f>(H86+0)</x:f>
      </x:c>
      <x:c r="P86" s="43"/>
      <x:c r="Q86" s="55">
        <x:f>(K86+M86+O86)</x:f>
      </x:c>
      <x:c r="R86" s="56">
        <x:f>(((L86*7)+(N86*1)+(P86*0))/8)</x:f>
      </x:c>
      <x:c r="S86" s="47">
        <x:f>(180*(Ventas!AE86*0.9644) - IF(K86&gt;0,K86,0))</x:f>
      </x:c>
      <x:c r="T86" s="47">
        <x:f>IF(S86&gt;0,S86,0)</x:f>
      </x:c>
      <x:c r="U86" s="40"/>
      <x:c r="V86" s="40"/>
      <x:c r="W86" s="43"/>
      <x:c r="X86" s="43"/>
      <x:c r="Y86" s="47">
        <x:f>IF(K86&gt;0,K86+IF(T86&gt;0,T86,0),T86)</x:f>
      </x:c>
      <x:c r="Z86" s="40"/>
      <x:c r="AA86" s="43"/>
      <x:c r="AB86" s="50">
        <x:v>3.95</x:v>
      </x:c>
      <x:c r="AC86" s="8">
        <x:v>3016</x:v>
      </x:c>
      <x:c r="AD86" s="40"/>
      <x:c r="AE86" s="40"/>
      <x:c r="AF86" s="43"/>
      <x:c r="AG86" s="43"/>
      <x:c r="AH86" s="6"/>
      <x:c r="AI86" s="6"/>
      <x:c r="AJ86" s="40"/>
      <x:c r="AK86" s="40"/>
      <x:c r="AL86" s="43"/>
      <x:c r="AM86" s="43"/>
      <x:c r="AN86" s="55">
        <x:f>(IF(AH86&gt;0,AH86,0)+IF(AJ86&gt;0,AJ86,0)+IF(AL86&gt;0,AL86,0))</x:f>
      </x:c>
      <x:c r="AO86" s="56">
        <x:f>(((AI86*7)+(AK86*1)+(AM86*1))/8)</x:f>
      </x:c>
      <x:c r="AP86" s="4" t="s">
        <x:v>35</x:v>
      </x:c>
    </x:row>
    <x:row r="87">
      <x:c r="A87" s="4" t="s">
        <x:v>284</x:v>
      </x:c>
      <x:c r="B87" s="4" t="s">
        <x:v>283</x:v>
      </x:c>
      <x:c r="C87" s="38" t="s">
        <x:v>282</x:v>
      </x:c>
      <x:c r="D87" s="41"/>
      <x:c r="E87" s="44"/>
      <x:c r="F87" s="8">
        <x:v>9</x:v>
      </x:c>
      <x:c r="G87" s="40"/>
      <x:c r="H87" s="43"/>
      <x:c r="I87" s="45">
        <x:v>46313</x:v>
      </x:c>
      <x:c r="J87" s="46">
        <x:v>81</x:v>
      </x:c>
      <x:c r="K87" s="47">
        <x:f>(F87-(0)+0-(J87*Ventas!AE87*1.0556))</x:f>
      </x:c>
      <x:c r="L87" s="49">
        <x:f>(K87/(Ventas!AE87*1.0556)/80)</x:f>
      </x:c>
      <x:c r="M87" s="51">
        <x:f>(G87+0)</x:f>
      </x:c>
      <x:c r="N87" s="40"/>
      <x:c r="O87" s="54">
        <x:f>(H87+0)</x:f>
      </x:c>
      <x:c r="P87" s="43"/>
      <x:c r="Q87" s="55">
        <x:f>(K87+M87+O87)</x:f>
      </x:c>
      <x:c r="R87" s="56">
        <x:f>(((L87*7)+(N87*1)+(P87*0))/8)</x:f>
      </x:c>
      <x:c r="S87" s="47">
        <x:f>(180*(Ventas!AE87*0.9644) - IF(K87&gt;0,K87,0))</x:f>
      </x:c>
      <x:c r="T87" s="47">
        <x:f>IF(S87&gt;0,S87,0)</x:f>
      </x:c>
      <x:c r="U87" s="40"/>
      <x:c r="V87" s="40"/>
      <x:c r="W87" s="43"/>
      <x:c r="X87" s="43"/>
      <x:c r="Y87" s="47">
        <x:f>IF(K87&gt;0,K87+IF(T87&gt;0,T87,0),T87)</x:f>
      </x:c>
      <x:c r="Z87" s="40"/>
      <x:c r="AA87" s="43"/>
      <x:c r="AB87" s="50">
        <x:v>3.95</x:v>
      </x:c>
      <x:c r="AC87" s="8">
        <x:v>3016</x:v>
      </x:c>
      <x:c r="AD87" s="40"/>
      <x:c r="AE87" s="40"/>
      <x:c r="AF87" s="43"/>
      <x:c r="AG87" s="43"/>
      <x:c r="AH87" s="47">
        <x:f>(Y87-(90*Ventas!AE87*0.9644))</x:f>
      </x:c>
      <x:c r="AI87" s="49">
        <x:f>(AH87/(Ventas!AE87*0.9644)/80)</x:f>
      </x:c>
      <x:c r="AJ87" s="40"/>
      <x:c r="AK87" s="40"/>
      <x:c r="AL87" s="43"/>
      <x:c r="AM87" s="43"/>
      <x:c r="AN87" s="55">
        <x:f>(IF(AH87&gt;0,AH87,0)+IF(AJ87&gt;0,AJ87,0)+IF(AL87&gt;0,AL87,0))</x:f>
      </x:c>
      <x:c r="AO87" s="56">
        <x:f>(((AI87*7)+(AK87*1)+(AM87*1))/8)</x:f>
      </x:c>
      <x:c r="AP87" s="4" t="s">
        <x:v>35</x:v>
      </x:c>
    </x:row>
    <x:row r="88">
      <x:c r="A88" s="4" t="s">
        <x:v>287</x:v>
      </x:c>
      <x:c r="B88" s="4" t="s">
        <x:v>286</x:v>
      </x:c>
      <x:c r="C88" s="38" t="s">
        <x:v>285</x:v>
      </x:c>
      <x:c r="D88" s="41" t="s">
        <x:v>1531</x:v>
      </x:c>
      <x:c r="E88" s="44"/>
      <x:c r="F88" s="8">
        <x:v>65</x:v>
      </x:c>
      <x:c r="G88" s="40"/>
      <x:c r="H88" s="43"/>
      <x:c r="I88" s="45">
        <x:v>46313</x:v>
      </x:c>
      <x:c r="J88" s="46">
        <x:v>81</x:v>
      </x:c>
      <x:c r="K88" s="47">
        <x:f>(F88-(0)+0-(J88*Ventas!AE88*1.0556))</x:f>
      </x:c>
      <x:c r="L88" s="49">
        <x:f>(K88/(Ventas!AE88*1.0556)/80)</x:f>
      </x:c>
      <x:c r="M88" s="51">
        <x:f>(G88-(0)+0-(J88*Ventas!AE511*1.0556))</x:f>
      </x:c>
      <x:c r="N88" s="40"/>
      <x:c r="O88" s="54">
        <x:f>(H88+0)</x:f>
      </x:c>
      <x:c r="P88" s="43"/>
      <x:c r="Q88" s="55">
        <x:f>(K88+M88+O88)</x:f>
      </x:c>
      <x:c r="R88" s="56">
        <x:f>(((L88*7)+(N88*1)+(P88*0))/8)</x:f>
      </x:c>
      <x:c r="S88" s="47">
        <x:f>(180*(Ventas!AE88*0.9644) - IF(K88&gt;0,K88,0))</x:f>
      </x:c>
      <x:c r="T88" s="47">
        <x:f>IF(S88&gt;0,S88,0)</x:f>
      </x:c>
      <x:c r="U88" s="51">
        <x:f>(180*(Ventas!AE511*0.9644) - IF(M88&gt;0,M88,0))</x:f>
      </x:c>
      <x:c r="V88" s="51">
        <x:f>IF(U88&gt;0,U88,0)</x:f>
      </x:c>
      <x:c r="W88" s="43"/>
      <x:c r="X88" s="43"/>
      <x:c r="Y88" s="47">
        <x:f>IF(K88&gt;0,K88+IF(T88&gt;0,T88,0),T88)</x:f>
      </x:c>
      <x:c r="Z88" s="51">
        <x:f>IF(M88&gt;0,M88+IF(V88&gt;0,V88,0),V88)</x:f>
      </x:c>
      <x:c r="AA88" s="43"/>
      <x:c r="AB88" s="50">
        <x:v>3.1</x:v>
      </x:c>
      <x:c r="AC88" s="8">
        <x:v>3016</x:v>
      </x:c>
      <x:c r="AD88" s="53">
        <x:v>3.3</x:v>
      </x:c>
      <x:c r="AE88" s="40"/>
      <x:c r="AF88" s="43"/>
      <x:c r="AG88" s="43"/>
      <x:c r="AH88" s="47">
        <x:f>(Y88-(90*Ventas!AE88*0.9644))</x:f>
      </x:c>
      <x:c r="AI88" s="49">
        <x:f>(AH88/(Ventas!AE88*0.9644)/80)</x:f>
      </x:c>
      <x:c r="AJ88" s="40"/>
      <x:c r="AK88" s="40"/>
      <x:c r="AL88" s="43"/>
      <x:c r="AM88" s="43"/>
      <x:c r="AN88" s="55">
        <x:f>(IF(AH88&gt;0,AH88,0)+IF(AJ88&gt;0,AJ88,0)+IF(AL88&gt;0,AL88,0))</x:f>
      </x:c>
      <x:c r="AO88" s="56">
        <x:f>(((AI88*7)+(AK88*1)+(AM88*1))/8)</x:f>
      </x:c>
      <x:c r="AP88" s="4" t="s">
        <x:v>35</x:v>
      </x:c>
    </x:row>
    <x:row r="89">
      <x:c r="A89" s="4" t="s">
        <x:v>290</x:v>
      </x:c>
      <x:c r="B89" s="4" t="s">
        <x:v>289</x:v>
      </x:c>
      <x:c r="C89" s="38" t="s">
        <x:v>288</x:v>
      </x:c>
      <x:c r="D89" s="41"/>
      <x:c r="E89" s="44"/>
      <x:c r="F89" s="8">
        <x:v>1</x:v>
      </x:c>
      <x:c r="G89" s="40"/>
      <x:c r="H89" s="43"/>
      <x:c r="I89" s="45">
        <x:v>46313</x:v>
      </x:c>
      <x:c r="J89" s="46">
        <x:v>81</x:v>
      </x:c>
      <x:c r="K89" s="47">
        <x:f>(F89-(0)+0-(J89*Ventas!AE89*1.0556))</x:f>
      </x:c>
      <x:c r="L89" s="6"/>
      <x:c r="M89" s="51">
        <x:f>(G89+0)</x:f>
      </x:c>
      <x:c r="N89" s="40"/>
      <x:c r="O89" s="54">
        <x:f>(H89+0)</x:f>
      </x:c>
      <x:c r="P89" s="43"/>
      <x:c r="Q89" s="55">
        <x:f>(K89+M89+O89)</x:f>
      </x:c>
      <x:c r="R89" s="56">
        <x:f>(((L89*7)+(N89*1)+(P89*0))/8)</x:f>
      </x:c>
      <x:c r="S89" s="47">
        <x:f>(180*(Ventas!AE89*0.9644) - IF(K89&gt;0,K89,0))</x:f>
      </x:c>
      <x:c r="T89" s="47">
        <x:f>IF(S89&gt;0,S89,0)</x:f>
      </x:c>
      <x:c r="U89" s="40"/>
      <x:c r="V89" s="40"/>
      <x:c r="W89" s="43"/>
      <x:c r="X89" s="43"/>
      <x:c r="Y89" s="47">
        <x:f>IF(K89&gt;0,K89+IF(T89&gt;0,T89,0),T89)</x:f>
      </x:c>
      <x:c r="Z89" s="40"/>
      <x:c r="AA89" s="43"/>
      <x:c r="AB89" s="50">
        <x:v>2.776</x:v>
      </x:c>
      <x:c r="AC89" s="8">
        <x:v>3022</x:v>
      </x:c>
      <x:c r="AD89" s="40"/>
      <x:c r="AE89" s="40"/>
      <x:c r="AF89" s="43"/>
      <x:c r="AG89" s="43"/>
      <x:c r="AH89" s="6"/>
      <x:c r="AI89" s="6"/>
      <x:c r="AJ89" s="40"/>
      <x:c r="AK89" s="40"/>
      <x:c r="AL89" s="43"/>
      <x:c r="AM89" s="43"/>
      <x:c r="AN89" s="55">
        <x:f>(IF(AH89&gt;0,AH89,0)+IF(AJ89&gt;0,AJ89,0)+IF(AL89&gt;0,AL89,0))</x:f>
      </x:c>
      <x:c r="AO89" s="56">
        <x:f>(((AI89*7)+(AK89*1)+(AM89*1))/8)</x:f>
      </x:c>
      <x:c r="AP89" s="4" t="s">
        <x:v>35</x:v>
      </x:c>
    </x:row>
    <x:row r="90">
      <x:c r="A90" s="4" t="s">
        <x:v>293</x:v>
      </x:c>
      <x:c r="B90" s="4" t="s">
        <x:v>292</x:v>
      </x:c>
      <x:c r="C90" s="38" t="s">
        <x:v>291</x:v>
      </x:c>
      <x:c r="D90" s="41"/>
      <x:c r="E90" s="44"/>
      <x:c r="F90" s="6"/>
      <x:c r="G90" s="40"/>
      <x:c r="H90" s="43"/>
      <x:c r="I90" s="45">
        <x:v>46313</x:v>
      </x:c>
      <x:c r="J90" s="46">
        <x:v>81</x:v>
      </x:c>
      <x:c r="K90" s="47">
        <x:f>(F90-(0)+0-(J90*Ventas!AE90*1.0556))</x:f>
      </x:c>
      <x:c r="L90" s="6"/>
      <x:c r="M90" s="51">
        <x:f>(G90+0)</x:f>
      </x:c>
      <x:c r="N90" s="40"/>
      <x:c r="O90" s="54">
        <x:f>(H90+0)</x:f>
      </x:c>
      <x:c r="P90" s="43"/>
      <x:c r="Q90" s="55">
        <x:f>(K90+M90+O90)</x:f>
      </x:c>
      <x:c r="R90" s="56">
        <x:f>(((L90*7)+(N90*1)+(P90*0))/8)</x:f>
      </x:c>
      <x:c r="S90" s="47">
        <x:f>(180*(Ventas!AE90*0.9644) - IF(K90&gt;0,K90,0))</x:f>
      </x:c>
      <x:c r="T90" s="47">
        <x:f>IF(S90&gt;0,S90,0)</x:f>
      </x:c>
      <x:c r="U90" s="40"/>
      <x:c r="V90" s="40"/>
      <x:c r="W90" s="43"/>
      <x:c r="X90" s="43"/>
      <x:c r="Y90" s="47">
        <x:f>IF(K90&gt;0,K90+IF(T90&gt;0,T90,0),T90)</x:f>
      </x:c>
      <x:c r="Z90" s="40"/>
      <x:c r="AA90" s="43"/>
      <x:c r="AB90" s="50">
        <x:v>6.02</x:v>
      </x:c>
      <x:c r="AC90" s="8">
        <x:v>3006</x:v>
      </x:c>
      <x:c r="AD90" s="40"/>
      <x:c r="AE90" s="40"/>
      <x:c r="AF90" s="43"/>
      <x:c r="AG90" s="43"/>
      <x:c r="AH90" s="6"/>
      <x:c r="AI90" s="6"/>
      <x:c r="AJ90" s="40"/>
      <x:c r="AK90" s="40"/>
      <x:c r="AL90" s="43"/>
      <x:c r="AM90" s="43"/>
      <x:c r="AN90" s="55">
        <x:f>(IF(AH90&gt;0,AH90,0)+IF(AJ90&gt;0,AJ90,0)+IF(AL90&gt;0,AL90,0))</x:f>
      </x:c>
      <x:c r="AO90" s="56">
        <x:f>(((AI90*7)+(AK90*1)+(AM90*1))/8)</x:f>
      </x:c>
      <x:c r="AP90" s="4" t="s">
        <x:v>51</x:v>
      </x:c>
    </x:row>
    <x:row r="91">
      <x:c r="A91" s="4" t="s">
        <x:v>296</x:v>
      </x:c>
      <x:c r="B91" s="4" t="s">
        <x:v>295</x:v>
      </x:c>
      <x:c r="C91" s="38" t="s">
        <x:v>294</x:v>
      </x:c>
      <x:c r="D91" s="41"/>
      <x:c r="E91" s="44"/>
      <x:c r="F91" s="8">
        <x:v>9</x:v>
      </x:c>
      <x:c r="G91" s="40"/>
      <x:c r="H91" s="43"/>
      <x:c r="I91" s="45">
        <x:v>46313</x:v>
      </x:c>
      <x:c r="J91" s="46">
        <x:v>81</x:v>
      </x:c>
      <x:c r="K91" s="47">
        <x:f>(F91-(0)+0-(J91*Ventas!AE91*1.0556))</x:f>
      </x:c>
      <x:c r="L91" s="6"/>
      <x:c r="M91" s="51">
        <x:f>(G91+0)</x:f>
      </x:c>
      <x:c r="N91" s="40"/>
      <x:c r="O91" s="54">
        <x:f>(H91+0)</x:f>
      </x:c>
      <x:c r="P91" s="43"/>
      <x:c r="Q91" s="55">
        <x:f>(K91+M91+O91)</x:f>
      </x:c>
      <x:c r="R91" s="56">
        <x:f>(((L91*7)+(N91*1)+(P91*0))/8)</x:f>
      </x:c>
      <x:c r="S91" s="47">
        <x:f>(180*(Ventas!AE91*0.9644) - IF(K91&gt;0,K91,0))</x:f>
      </x:c>
      <x:c r="T91" s="47">
        <x:f>IF(S91&gt;0,S91,0)</x:f>
      </x:c>
      <x:c r="U91" s="40"/>
      <x:c r="V91" s="40"/>
      <x:c r="W91" s="43"/>
      <x:c r="X91" s="43"/>
      <x:c r="Y91" s="47">
        <x:f>IF(K91&gt;0,K91+IF(T91&gt;0,T91,0),T91)</x:f>
      </x:c>
      <x:c r="Z91" s="40"/>
      <x:c r="AA91" s="43"/>
      <x:c r="AB91" s="50">
        <x:v>12.29</x:v>
      </x:c>
      <x:c r="AC91" s="8">
        <x:v>2998</x:v>
      </x:c>
      <x:c r="AD91" s="40"/>
      <x:c r="AE91" s="40"/>
      <x:c r="AF91" s="43"/>
      <x:c r="AG91" s="43"/>
      <x:c r="AH91" s="6"/>
      <x:c r="AI91" s="6"/>
      <x:c r="AJ91" s="40"/>
      <x:c r="AK91" s="40"/>
      <x:c r="AL91" s="43"/>
      <x:c r="AM91" s="43"/>
      <x:c r="AN91" s="55">
        <x:f>(IF(AH91&gt;0,AH91,0)+IF(AJ91&gt;0,AJ91,0)+IF(AL91&gt;0,AL91,0))</x:f>
      </x:c>
      <x:c r="AO91" s="56">
        <x:f>(((AI91*7)+(AK91*1)+(AM91*1))/8)</x:f>
      </x:c>
      <x:c r="AP91" s="4" t="s">
        <x:v>51</x:v>
      </x:c>
    </x:row>
    <x:row r="92">
      <x:c r="A92" s="4" t="s">
        <x:v>299</x:v>
      </x:c>
      <x:c r="B92" s="4" t="s">
        <x:v>298</x:v>
      </x:c>
      <x:c r="C92" s="38" t="s">
        <x:v>297</x:v>
      </x:c>
      <x:c r="D92" s="41"/>
      <x:c r="E92" s="44"/>
      <x:c r="F92" s="6"/>
      <x:c r="G92" s="40"/>
      <x:c r="H92" s="43"/>
      <x:c r="I92" s="45">
        <x:v>46313</x:v>
      </x:c>
      <x:c r="J92" s="46">
        <x:v>81</x:v>
      </x:c>
      <x:c r="K92" s="47">
        <x:f>(F92-(0)+0-(J92*Ventas!AE92*1.0556))</x:f>
      </x:c>
      <x:c r="L92" s="6"/>
      <x:c r="M92" s="51">
        <x:f>(G92+0)</x:f>
      </x:c>
      <x:c r="N92" s="40"/>
      <x:c r="O92" s="54">
        <x:f>(H92+0)</x:f>
      </x:c>
      <x:c r="P92" s="43"/>
      <x:c r="Q92" s="55">
        <x:f>(K92+M92+O92)</x:f>
      </x:c>
      <x:c r="R92" s="56">
        <x:f>(((L92*7)+(N92*1)+(P92*0))/8)</x:f>
      </x:c>
      <x:c r="S92" s="47">
        <x:f>(180*(Ventas!AE92*0.9644) - IF(K92&gt;0,K92,0))</x:f>
      </x:c>
      <x:c r="T92" s="47">
        <x:f>IF(S92&gt;0,S92,0)</x:f>
      </x:c>
      <x:c r="U92" s="40"/>
      <x:c r="V92" s="40"/>
      <x:c r="W92" s="43"/>
      <x:c r="X92" s="43"/>
      <x:c r="Y92" s="47">
        <x:f>IF(K92&gt;0,K92+IF(T92&gt;0,T92,0),T92)</x:f>
      </x:c>
      <x:c r="Z92" s="40"/>
      <x:c r="AA92" s="43"/>
      <x:c r="AB92" s="6"/>
      <x:c r="AC92" s="6"/>
      <x:c r="AD92" s="40"/>
      <x:c r="AE92" s="40"/>
      <x:c r="AF92" s="43"/>
      <x:c r="AG92" s="43"/>
      <x:c r="AH92" s="6"/>
      <x:c r="AI92" s="6"/>
      <x:c r="AJ92" s="40"/>
      <x:c r="AK92" s="40"/>
      <x:c r="AL92" s="43"/>
      <x:c r="AM92" s="43"/>
      <x:c r="AN92" s="55">
        <x:f>(IF(AH92&gt;0,AH92,0)+IF(AJ92&gt;0,AJ92,0)+IF(AL92&gt;0,AL92,0))</x:f>
      </x:c>
      <x:c r="AO92" s="56">
        <x:f>(((AI92*7)+(AK92*1)+(AM92*1))/8)</x:f>
      </x:c>
      <x:c r="AP92" s="4" t="s">
        <x:v>51</x:v>
      </x:c>
    </x:row>
    <x:row r="93">
      <x:c r="A93" s="4" t="s">
        <x:v>305</x:v>
      </x:c>
      <x:c r="B93" s="4" t="s">
        <x:v>304</x:v>
      </x:c>
      <x:c r="C93" s="38" t="s">
        <x:v>303</x:v>
      </x:c>
      <x:c r="D93" s="41"/>
      <x:c r="E93" s="44"/>
      <x:c r="F93" s="8">
        <x:v>51</x:v>
      </x:c>
      <x:c r="G93" s="40"/>
      <x:c r="H93" s="43"/>
      <x:c r="I93" s="45">
        <x:v>46313</x:v>
      </x:c>
      <x:c r="J93" s="46">
        <x:v>81</x:v>
      </x:c>
      <x:c r="K93" s="47">
        <x:f>(F93-(0)+0-(J93*Ventas!AE94*1.0556))</x:f>
      </x:c>
      <x:c r="L93" s="49">
        <x:f>(K93/(Ventas!AE94*1.0556)/80)</x:f>
      </x:c>
      <x:c r="M93" s="51">
        <x:f>(G93+0)</x:f>
      </x:c>
      <x:c r="N93" s="40"/>
      <x:c r="O93" s="54">
        <x:f>(H93+0)</x:f>
      </x:c>
      <x:c r="P93" s="43"/>
      <x:c r="Q93" s="55">
        <x:f>(K93+M93+O93)</x:f>
      </x:c>
      <x:c r="R93" s="56">
        <x:f>(((L93*7)+(N93*1)+(P93*0))/8)</x:f>
      </x:c>
      <x:c r="S93" s="47">
        <x:f>(180*(Ventas!AE94*0.9644) - IF(K93&gt;0,K93,0))</x:f>
      </x:c>
      <x:c r="T93" s="47">
        <x:f>IF(S93&gt;0,S93,0)</x:f>
      </x:c>
      <x:c r="U93" s="40"/>
      <x:c r="V93" s="40"/>
      <x:c r="W93" s="43"/>
      <x:c r="X93" s="43"/>
      <x:c r="Y93" s="47">
        <x:f>IF(K93&gt;0,K93+IF(T93&gt;0,T93,0),T93)</x:f>
      </x:c>
      <x:c r="Z93" s="40"/>
      <x:c r="AA93" s="43"/>
      <x:c r="AB93" s="50">
        <x:v>6.2</x:v>
      </x:c>
      <x:c r="AC93" s="8">
        <x:v>3016</x:v>
      </x:c>
      <x:c r="AD93" s="40"/>
      <x:c r="AE93" s="40"/>
      <x:c r="AF93" s="43"/>
      <x:c r="AG93" s="43"/>
      <x:c r="AH93" s="47">
        <x:f>(Y93-(90*Ventas!AE94*0.9644))</x:f>
      </x:c>
      <x:c r="AI93" s="49">
        <x:f>(AH93/(Ventas!AE94*0.9644)/80)</x:f>
      </x:c>
      <x:c r="AJ93" s="40"/>
      <x:c r="AK93" s="40"/>
      <x:c r="AL93" s="43"/>
      <x:c r="AM93" s="43"/>
      <x:c r="AN93" s="55">
        <x:f>(IF(AH93&gt;0,AH93,0)+IF(AJ93&gt;0,AJ93,0)+IF(AL93&gt;0,AL93,0))</x:f>
      </x:c>
      <x:c r="AO93" s="56">
        <x:f>(((AI93*7)+(AK93*1)+(AM93*1))/8)</x:f>
      </x:c>
      <x:c r="AP93" s="4" t="s">
        <x:v>35</x:v>
      </x:c>
    </x:row>
    <x:row r="94">
      <x:c r="A94" s="4" t="s">
        <x:v>308</x:v>
      </x:c>
      <x:c r="B94" s="4" t="s">
        <x:v>307</x:v>
      </x:c>
      <x:c r="C94" s="38" t="s">
        <x:v>306</x:v>
      </x:c>
      <x:c r="D94" s="41"/>
      <x:c r="E94" s="44"/>
      <x:c r="F94" s="6"/>
      <x:c r="G94" s="40"/>
      <x:c r="H94" s="43"/>
      <x:c r="I94" s="45">
        <x:v>46313</x:v>
      </x:c>
      <x:c r="J94" s="46">
        <x:v>81</x:v>
      </x:c>
      <x:c r="K94" s="47">
        <x:f>(F94-(0)+0-(J94*Ventas!AE95*1.0556))</x:f>
      </x:c>
      <x:c r="L94" s="6"/>
      <x:c r="M94" s="51">
        <x:f>(G94+0)</x:f>
      </x:c>
      <x:c r="N94" s="40"/>
      <x:c r="O94" s="54">
        <x:f>(H94+0)</x:f>
      </x:c>
      <x:c r="P94" s="43"/>
      <x:c r="Q94" s="55">
        <x:f>(K94+M94+O94)</x:f>
      </x:c>
      <x:c r="R94" s="56">
        <x:f>(((L94*7)+(N94*1)+(P94*0))/8)</x:f>
      </x:c>
      <x:c r="S94" s="47">
        <x:f>(180*(Ventas!AE95*0.9644) - IF(K94&gt;0,K94,0))</x:f>
      </x:c>
      <x:c r="T94" s="47">
        <x:f>IF(S94&gt;0,S94,0)</x:f>
      </x:c>
      <x:c r="U94" s="40"/>
      <x:c r="V94" s="40"/>
      <x:c r="W94" s="43"/>
      <x:c r="X94" s="43"/>
      <x:c r="Y94" s="47">
        <x:f>IF(K94&gt;0,K94+IF(T94&gt;0,T94,0),T94)</x:f>
      </x:c>
      <x:c r="Z94" s="40"/>
      <x:c r="AA94" s="43"/>
      <x:c r="AB94" s="50">
        <x:v>17.6</x:v>
      </x:c>
      <x:c r="AC94" s="8">
        <x:v>3011</x:v>
      </x:c>
      <x:c r="AD94" s="40"/>
      <x:c r="AE94" s="40"/>
      <x:c r="AF94" s="43"/>
      <x:c r="AG94" s="43"/>
      <x:c r="AH94" s="6"/>
      <x:c r="AI94" s="6"/>
      <x:c r="AJ94" s="40"/>
      <x:c r="AK94" s="40"/>
      <x:c r="AL94" s="43"/>
      <x:c r="AM94" s="43"/>
      <x:c r="AN94" s="55">
        <x:f>(IF(AH94&gt;0,AH94,0)+IF(AJ94&gt;0,AJ94,0)+IF(AL94&gt;0,AL94,0))</x:f>
      </x:c>
      <x:c r="AO94" s="56">
        <x:f>(((AI94*7)+(AK94*1)+(AM94*1))/8)</x:f>
      </x:c>
      <x:c r="AP94" s="4" t="s">
        <x:v>51</x:v>
      </x:c>
    </x:row>
    <x:row r="95">
      <x:c r="A95" s="4" t="s">
        <x:v>311</x:v>
      </x:c>
      <x:c r="B95" s="4" t="s">
        <x:v>310</x:v>
      </x:c>
      <x:c r="C95" s="38" t="s">
        <x:v>309</x:v>
      </x:c>
      <x:c r="D95" s="41"/>
      <x:c r="E95" s="44"/>
      <x:c r="F95" s="6"/>
      <x:c r="G95" s="40"/>
      <x:c r="H95" s="43"/>
      <x:c r="I95" s="45">
        <x:v>46313</x:v>
      </x:c>
      <x:c r="J95" s="46">
        <x:v>81</x:v>
      </x:c>
      <x:c r="K95" s="47">
        <x:f>(F95-(0)+0-(J95*Ventas!AE96*1.0556))</x:f>
      </x:c>
      <x:c r="L95" s="6"/>
      <x:c r="M95" s="51">
        <x:f>(G95+0)</x:f>
      </x:c>
      <x:c r="N95" s="40"/>
      <x:c r="O95" s="54">
        <x:f>(H95+0)</x:f>
      </x:c>
      <x:c r="P95" s="43"/>
      <x:c r="Q95" s="55">
        <x:f>(K95+M95+O95)</x:f>
      </x:c>
      <x:c r="R95" s="56">
        <x:f>(((L95*7)+(N95*1)+(P95*0))/8)</x:f>
      </x:c>
      <x:c r="S95" s="47">
        <x:f>(180*(Ventas!AE96*0.9644) - IF(K95&gt;0,K95,0))</x:f>
      </x:c>
      <x:c r="T95" s="47">
        <x:f>IF(S95&gt;0,S95,0)</x:f>
      </x:c>
      <x:c r="U95" s="40"/>
      <x:c r="V95" s="40"/>
      <x:c r="W95" s="43"/>
      <x:c r="X95" s="43"/>
      <x:c r="Y95" s="47">
        <x:f>IF(K95&gt;0,K95+IF(T95&gt;0,T95,0),T95)</x:f>
      </x:c>
      <x:c r="Z95" s="40"/>
      <x:c r="AA95" s="43"/>
      <x:c r="AB95" s="50">
        <x:v>19.8</x:v>
      </x:c>
      <x:c r="AC95" s="8">
        <x:v>3011</x:v>
      </x:c>
      <x:c r="AD95" s="40"/>
      <x:c r="AE95" s="40"/>
      <x:c r="AF95" s="43"/>
      <x:c r="AG95" s="43"/>
      <x:c r="AH95" s="6"/>
      <x:c r="AI95" s="6"/>
      <x:c r="AJ95" s="40"/>
      <x:c r="AK95" s="40"/>
      <x:c r="AL95" s="43"/>
      <x:c r="AM95" s="43"/>
      <x:c r="AN95" s="55">
        <x:f>(IF(AH95&gt;0,AH95,0)+IF(AJ95&gt;0,AJ95,0)+IF(AL95&gt;0,AL95,0))</x:f>
      </x:c>
      <x:c r="AO95" s="56">
        <x:f>(((AI95*7)+(AK95*1)+(AM95*1))/8)</x:f>
      </x:c>
      <x:c r="AP95" s="4" t="s">
        <x:v>35</x:v>
      </x:c>
    </x:row>
    <x:row r="96">
      <x:c r="A96" s="4" t="s">
        <x:v>314</x:v>
      </x:c>
      <x:c r="B96" s="4" t="s">
        <x:v>313</x:v>
      </x:c>
      <x:c r="C96" s="38" t="s">
        <x:v>312</x:v>
      </x:c>
      <x:c r="D96" s="41"/>
      <x:c r="E96" s="44"/>
      <x:c r="F96" s="8">
        <x:v>2</x:v>
      </x:c>
      <x:c r="G96" s="40"/>
      <x:c r="H96" s="43"/>
      <x:c r="I96" s="45">
        <x:v>46313</x:v>
      </x:c>
      <x:c r="J96" s="46">
        <x:v>81</x:v>
      </x:c>
      <x:c r="K96" s="47">
        <x:f>(F96-(0)+0-(J96*Ventas!AE97*1.0556))</x:f>
      </x:c>
      <x:c r="L96" s="6"/>
      <x:c r="M96" s="51">
        <x:f>(G96+0)</x:f>
      </x:c>
      <x:c r="N96" s="40"/>
      <x:c r="O96" s="54">
        <x:f>(H96+0)</x:f>
      </x:c>
      <x:c r="P96" s="43"/>
      <x:c r="Q96" s="55">
        <x:f>(K96+M96+O96)</x:f>
      </x:c>
      <x:c r="R96" s="56">
        <x:f>(((L96*7)+(N96*1)+(P96*0))/8)</x:f>
      </x:c>
      <x:c r="S96" s="47">
        <x:f>(180*(Ventas!AE97*0.9644) - IF(K96&gt;0,K96,0))</x:f>
      </x:c>
      <x:c r="T96" s="47">
        <x:f>IF(S96&gt;0,S96,0)</x:f>
      </x:c>
      <x:c r="U96" s="40"/>
      <x:c r="V96" s="40"/>
      <x:c r="W96" s="43"/>
      <x:c r="X96" s="43"/>
      <x:c r="Y96" s="47">
        <x:f>IF(K96&gt;0,K96+IF(T96&gt;0,T96,0),T96)</x:f>
      </x:c>
      <x:c r="Z96" s="40"/>
      <x:c r="AA96" s="43"/>
      <x:c r="AB96" s="50">
        <x:v>19.8</x:v>
      </x:c>
      <x:c r="AC96" s="8">
        <x:v>3011</x:v>
      </x:c>
      <x:c r="AD96" s="40"/>
      <x:c r="AE96" s="40"/>
      <x:c r="AF96" s="43"/>
      <x:c r="AG96" s="43"/>
      <x:c r="AH96" s="6"/>
      <x:c r="AI96" s="6"/>
      <x:c r="AJ96" s="40"/>
      <x:c r="AK96" s="40"/>
      <x:c r="AL96" s="43"/>
      <x:c r="AM96" s="43"/>
      <x:c r="AN96" s="55">
        <x:f>(IF(AH96&gt;0,AH96,0)+IF(AJ96&gt;0,AJ96,0)+IF(AL96&gt;0,AL96,0))</x:f>
      </x:c>
      <x:c r="AO96" s="56">
        <x:f>(((AI96*7)+(AK96*1)+(AM96*1))/8)</x:f>
      </x:c>
      <x:c r="AP96" s="4" t="s">
        <x:v>35</x:v>
      </x:c>
    </x:row>
    <x:row r="97">
      <x:c r="A97" s="4" t="s">
        <x:v>317</x:v>
      </x:c>
      <x:c r="B97" s="4" t="s">
        <x:v>316</x:v>
      </x:c>
      <x:c r="C97" s="38" t="s">
        <x:v>315</x:v>
      </x:c>
      <x:c r="D97" s="41"/>
      <x:c r="E97" s="44"/>
      <x:c r="F97" s="6"/>
      <x:c r="G97" s="40"/>
      <x:c r="H97" s="43"/>
      <x:c r="I97" s="45">
        <x:v>46313</x:v>
      </x:c>
      <x:c r="J97" s="46">
        <x:v>81</x:v>
      </x:c>
      <x:c r="K97" s="47">
        <x:f>(F97-(0)+0-(J97*Ventas!AE98*1.0556))</x:f>
      </x:c>
      <x:c r="L97" s="6"/>
      <x:c r="M97" s="51">
        <x:f>(G97+0)</x:f>
      </x:c>
      <x:c r="N97" s="40"/>
      <x:c r="O97" s="54">
        <x:f>(H97+0)</x:f>
      </x:c>
      <x:c r="P97" s="43"/>
      <x:c r="Q97" s="55">
        <x:f>(K97+M97+O97)</x:f>
      </x:c>
      <x:c r="R97" s="56">
        <x:f>(((L97*7)+(N97*1)+(P97*0))/8)</x:f>
      </x:c>
      <x:c r="S97" s="47">
        <x:f>(180*(Ventas!AE98*0.9644) - IF(K97&gt;0,K97,0))</x:f>
      </x:c>
      <x:c r="T97" s="47">
        <x:f>IF(S97&gt;0,S97,0)</x:f>
      </x:c>
      <x:c r="U97" s="40"/>
      <x:c r="V97" s="40"/>
      <x:c r="W97" s="43"/>
      <x:c r="X97" s="43"/>
      <x:c r="Y97" s="47">
        <x:f>IF(K97&gt;0,K97+IF(T97&gt;0,T97,0),T97)</x:f>
      </x:c>
      <x:c r="Z97" s="40"/>
      <x:c r="AA97" s="43"/>
      <x:c r="AB97" s="50">
        <x:v>19.8</x:v>
      </x:c>
      <x:c r="AC97" s="8">
        <x:v>3011</x:v>
      </x:c>
      <x:c r="AD97" s="40"/>
      <x:c r="AE97" s="40"/>
      <x:c r="AF97" s="43"/>
      <x:c r="AG97" s="43"/>
      <x:c r="AH97" s="6"/>
      <x:c r="AI97" s="6"/>
      <x:c r="AJ97" s="40"/>
      <x:c r="AK97" s="40"/>
      <x:c r="AL97" s="43"/>
      <x:c r="AM97" s="43"/>
      <x:c r="AN97" s="55">
        <x:f>(IF(AH97&gt;0,AH97,0)+IF(AJ97&gt;0,AJ97,0)+IF(AL97&gt;0,AL97,0))</x:f>
      </x:c>
      <x:c r="AO97" s="56">
        <x:f>(((AI97*7)+(AK97*1)+(AM97*1))/8)</x:f>
      </x:c>
      <x:c r="AP97" s="4" t="s">
        <x:v>51</x:v>
      </x:c>
    </x:row>
    <x:row r="98">
      <x:c r="A98" s="4" t="s">
        <x:v>320</x:v>
      </x:c>
      <x:c r="B98" s="4" t="s">
        <x:v>319</x:v>
      </x:c>
      <x:c r="C98" s="38" t="s">
        <x:v>318</x:v>
      </x:c>
      <x:c r="D98" s="41"/>
      <x:c r="E98" s="44"/>
      <x:c r="F98" s="8">
        <x:v>5</x:v>
      </x:c>
      <x:c r="G98" s="40"/>
      <x:c r="H98" s="43"/>
      <x:c r="I98" s="45">
        <x:v>46313</x:v>
      </x:c>
      <x:c r="J98" s="46">
        <x:v>81</x:v>
      </x:c>
      <x:c r="K98" s="47">
        <x:f>(F98-(0)+0-(J98*Ventas!AE99*1.0556))</x:f>
      </x:c>
      <x:c r="L98" s="49">
        <x:f>(K98/(Ventas!AE99*1.0556)/80)</x:f>
      </x:c>
      <x:c r="M98" s="51">
        <x:f>(G98+0)</x:f>
      </x:c>
      <x:c r="N98" s="40"/>
      <x:c r="O98" s="54">
        <x:f>(H98+0)</x:f>
      </x:c>
      <x:c r="P98" s="43"/>
      <x:c r="Q98" s="55">
        <x:f>(K98+M98+O98)</x:f>
      </x:c>
      <x:c r="R98" s="56">
        <x:f>(((L98*7)+(N98*1)+(P98*0))/8)</x:f>
      </x:c>
      <x:c r="S98" s="47">
        <x:f>(180*(Ventas!AE99*0.9644) - IF(K98&gt;0,K98,0))</x:f>
      </x:c>
      <x:c r="T98" s="47">
        <x:f>IF(S98&gt;0,S98,0)</x:f>
      </x:c>
      <x:c r="U98" s="40"/>
      <x:c r="V98" s="40"/>
      <x:c r="W98" s="43"/>
      <x:c r="X98" s="43"/>
      <x:c r="Y98" s="47">
        <x:f>IF(K98&gt;0,K98+IF(T98&gt;0,T98,0),T98)</x:f>
      </x:c>
      <x:c r="Z98" s="40"/>
      <x:c r="AA98" s="43"/>
      <x:c r="AB98" s="50">
        <x:v>3.4</x:v>
      </x:c>
      <x:c r="AC98" s="8">
        <x:v>3016</x:v>
      </x:c>
      <x:c r="AD98" s="40"/>
      <x:c r="AE98" s="40"/>
      <x:c r="AF98" s="43"/>
      <x:c r="AG98" s="43"/>
      <x:c r="AH98" s="47">
        <x:f>(Y98-(90*Ventas!AE99*0.9644))</x:f>
      </x:c>
      <x:c r="AI98" s="49">
        <x:f>(AH98/(Ventas!AE99*0.9644)/80)</x:f>
      </x:c>
      <x:c r="AJ98" s="40"/>
      <x:c r="AK98" s="40"/>
      <x:c r="AL98" s="43"/>
      <x:c r="AM98" s="43"/>
      <x:c r="AN98" s="55">
        <x:f>(IF(AH98&gt;0,AH98,0)+IF(AJ98&gt;0,AJ98,0)+IF(AL98&gt;0,AL98,0))</x:f>
      </x:c>
      <x:c r="AO98" s="56">
        <x:f>(((AI98*7)+(AK98*1)+(AM98*1))/8)</x:f>
      </x:c>
      <x:c r="AP98" s="4" t="s">
        <x:v>35</x:v>
      </x:c>
    </x:row>
    <x:row r="99">
      <x:c r="A99" s="4" t="s">
        <x:v>323</x:v>
      </x:c>
      <x:c r="B99" s="4" t="s">
        <x:v>322</x:v>
      </x:c>
      <x:c r="C99" s="38" t="s">
        <x:v>321</x:v>
      </x:c>
      <x:c r="D99" s="41"/>
      <x:c r="E99" s="44"/>
      <x:c r="F99" s="6"/>
      <x:c r="G99" s="40"/>
      <x:c r="H99" s="43"/>
      <x:c r="I99" s="45">
        <x:v>46313</x:v>
      </x:c>
      <x:c r="J99" s="46">
        <x:v>81</x:v>
      </x:c>
      <x:c r="K99" s="47">
        <x:f>(F99-(0)+0-(J99*Ventas!AE100*1.0556))</x:f>
      </x:c>
      <x:c r="L99" s="6"/>
      <x:c r="M99" s="51">
        <x:f>(G99+0)</x:f>
      </x:c>
      <x:c r="N99" s="40"/>
      <x:c r="O99" s="54">
        <x:f>(H99+0)</x:f>
      </x:c>
      <x:c r="P99" s="43"/>
      <x:c r="Q99" s="55">
        <x:f>(K99+M99+O99)</x:f>
      </x:c>
      <x:c r="R99" s="56">
        <x:f>(((L99*7)+(N99*1)+(P99*0))/8)</x:f>
      </x:c>
      <x:c r="S99" s="47">
        <x:f>(180*(Ventas!AE100*0.9644) - IF(K99&gt;0,K99,0))</x:f>
      </x:c>
      <x:c r="T99" s="47">
        <x:f>IF(S99&gt;0,S99,0)</x:f>
      </x:c>
      <x:c r="U99" s="40"/>
      <x:c r="V99" s="40"/>
      <x:c r="W99" s="43"/>
      <x:c r="X99" s="43"/>
      <x:c r="Y99" s="47">
        <x:f>IF(K99&gt;0,K99+IF(T99&gt;0,T99,0),T99)</x:f>
      </x:c>
      <x:c r="Z99" s="40"/>
      <x:c r="AA99" s="43"/>
      <x:c r="AB99" s="50">
        <x:v>3.51</x:v>
      </x:c>
      <x:c r="AC99" s="8">
        <x:v>3016</x:v>
      </x:c>
      <x:c r="AD99" s="40"/>
      <x:c r="AE99" s="40"/>
      <x:c r="AF99" s="43"/>
      <x:c r="AG99" s="43"/>
      <x:c r="AH99" s="6"/>
      <x:c r="AI99" s="6"/>
      <x:c r="AJ99" s="40"/>
      <x:c r="AK99" s="40"/>
      <x:c r="AL99" s="43"/>
      <x:c r="AM99" s="43"/>
      <x:c r="AN99" s="55">
        <x:f>(IF(AH99&gt;0,AH99,0)+IF(AJ99&gt;0,AJ99,0)+IF(AL99&gt;0,AL99,0))</x:f>
      </x:c>
      <x:c r="AO99" s="56">
        <x:f>(((AI99*7)+(AK99*1)+(AM99*1))/8)</x:f>
      </x:c>
      <x:c r="AP99" s="4" t="s">
        <x:v>35</x:v>
      </x:c>
    </x:row>
    <x:row r="100">
      <x:c r="A100" s="4" t="s">
        <x:v>326</x:v>
      </x:c>
      <x:c r="B100" s="4" t="s">
        <x:v>325</x:v>
      </x:c>
      <x:c r="C100" s="38" t="s">
        <x:v>324</x:v>
      </x:c>
      <x:c r="D100" s="41"/>
      <x:c r="E100" s="44"/>
      <x:c r="F100" s="8">
        <x:v>2</x:v>
      </x:c>
      <x:c r="G100" s="40"/>
      <x:c r="H100" s="43"/>
      <x:c r="I100" s="45">
        <x:v>46313</x:v>
      </x:c>
      <x:c r="J100" s="46">
        <x:v>81</x:v>
      </x:c>
      <x:c r="K100" s="47">
        <x:f>(F100-(0)+0-(J100*Ventas!AE101*1.0556))</x:f>
      </x:c>
      <x:c r="L100" s="49">
        <x:f>(K100/(Ventas!AE101*1.0556)/80)</x:f>
      </x:c>
      <x:c r="M100" s="51">
        <x:f>(G100+0)</x:f>
      </x:c>
      <x:c r="N100" s="40"/>
      <x:c r="O100" s="54">
        <x:f>(H100+0)</x:f>
      </x:c>
      <x:c r="P100" s="43"/>
      <x:c r="Q100" s="55">
        <x:f>(K100+M100+O100)</x:f>
      </x:c>
      <x:c r="R100" s="56">
        <x:f>(((L100*7)+(N100*1)+(P100*0))/8)</x:f>
      </x:c>
      <x:c r="S100" s="47">
        <x:f>(180*(Ventas!AE101*0.9644) - IF(K100&gt;0,K100,0))</x:f>
      </x:c>
      <x:c r="T100" s="47">
        <x:f>IF(S100&gt;0,S100,0)</x:f>
      </x:c>
      <x:c r="U100" s="40"/>
      <x:c r="V100" s="40"/>
      <x:c r="W100" s="43"/>
      <x:c r="X100" s="43"/>
      <x:c r="Y100" s="47">
        <x:f>IF(K100&gt;0,K100+IF(T100&gt;0,T100,0),T100)</x:f>
      </x:c>
      <x:c r="Z100" s="40"/>
      <x:c r="AA100" s="43"/>
      <x:c r="AB100" s="50">
        <x:v>5.9</x:v>
      </x:c>
      <x:c r="AC100" s="8">
        <x:v>3022</x:v>
      </x:c>
      <x:c r="AD100" s="40"/>
      <x:c r="AE100" s="40"/>
      <x:c r="AF100" s="43"/>
      <x:c r="AG100" s="43"/>
      <x:c r="AH100" s="47">
        <x:f>(Y100-(90*Ventas!AE101*0.9644))</x:f>
      </x:c>
      <x:c r="AI100" s="49">
        <x:f>(AH100/(Ventas!AE101*0.9644)/80)</x:f>
      </x:c>
      <x:c r="AJ100" s="40"/>
      <x:c r="AK100" s="40"/>
      <x:c r="AL100" s="43"/>
      <x:c r="AM100" s="43"/>
      <x:c r="AN100" s="55">
        <x:f>(IF(AH100&gt;0,AH100,0)+IF(AJ100&gt;0,AJ100,0)+IF(AL100&gt;0,AL100,0))</x:f>
      </x:c>
      <x:c r="AO100" s="56">
        <x:f>(((AI100*7)+(AK100*1)+(AM100*1))/8)</x:f>
      </x:c>
      <x:c r="AP100" s="4" t="s">
        <x:v>35</x:v>
      </x:c>
    </x:row>
    <x:row r="101">
      <x:c r="A101" s="4" t="s">
        <x:v>329</x:v>
      </x:c>
      <x:c r="B101" s="4" t="s">
        <x:v>328</x:v>
      </x:c>
      <x:c r="C101" s="38" t="s">
        <x:v>327</x:v>
      </x:c>
      <x:c r="D101" s="41"/>
      <x:c r="E101" s="44"/>
      <x:c r="F101" s="8">
        <x:v>1</x:v>
      </x:c>
      <x:c r="G101" s="40"/>
      <x:c r="H101" s="43"/>
      <x:c r="I101" s="45">
        <x:v>46313</x:v>
      </x:c>
      <x:c r="J101" s="46">
        <x:v>81</x:v>
      </x:c>
      <x:c r="K101" s="47">
        <x:f>(F101-(0)+0-(J101*Ventas!AE102*1.0556))</x:f>
      </x:c>
      <x:c r="L101" s="6"/>
      <x:c r="M101" s="51">
        <x:f>(G101+0)</x:f>
      </x:c>
      <x:c r="N101" s="40"/>
      <x:c r="O101" s="54">
        <x:f>(H101+0)</x:f>
      </x:c>
      <x:c r="P101" s="43"/>
      <x:c r="Q101" s="55">
        <x:f>(K101+M101+O101)</x:f>
      </x:c>
      <x:c r="R101" s="56">
        <x:f>(((L101*7)+(N101*1)+(P101*0))/8)</x:f>
      </x:c>
      <x:c r="S101" s="47">
        <x:f>(180*(Ventas!AE102*0.9644) - IF(K101&gt;0,K101,0))</x:f>
      </x:c>
      <x:c r="T101" s="47">
        <x:f>IF(S101&gt;0,S101,0)</x:f>
      </x:c>
      <x:c r="U101" s="40"/>
      <x:c r="V101" s="40"/>
      <x:c r="W101" s="43"/>
      <x:c r="X101" s="43"/>
      <x:c r="Y101" s="47">
        <x:f>IF(K101&gt;0,K101+IF(T101&gt;0,T101,0),T101)</x:f>
      </x:c>
      <x:c r="Z101" s="40"/>
      <x:c r="AA101" s="43"/>
      <x:c r="AB101" s="50">
        <x:v>5.9</x:v>
      </x:c>
      <x:c r="AC101" s="8">
        <x:v>3022</x:v>
      </x:c>
      <x:c r="AD101" s="40"/>
      <x:c r="AE101" s="40"/>
      <x:c r="AF101" s="43"/>
      <x:c r="AG101" s="43"/>
      <x:c r="AH101" s="6"/>
      <x:c r="AI101" s="6"/>
      <x:c r="AJ101" s="40"/>
      <x:c r="AK101" s="40"/>
      <x:c r="AL101" s="43"/>
      <x:c r="AM101" s="43"/>
      <x:c r="AN101" s="55">
        <x:f>(IF(AH101&gt;0,AH101,0)+IF(AJ101&gt;0,AJ101,0)+IF(AL101&gt;0,AL101,0))</x:f>
      </x:c>
      <x:c r="AO101" s="56">
        <x:f>(((AI101*7)+(AK101*1)+(AM101*1))/8)</x:f>
      </x:c>
      <x:c r="AP101" s="4" t="s">
        <x:v>35</x:v>
      </x:c>
    </x:row>
    <x:row r="102">
      <x:c r="A102" s="4" t="s">
        <x:v>332</x:v>
      </x:c>
      <x:c r="B102" s="4" t="s">
        <x:v>331</x:v>
      </x:c>
      <x:c r="C102" s="38" t="s">
        <x:v>330</x:v>
      </x:c>
      <x:c r="D102" s="41"/>
      <x:c r="E102" s="44"/>
      <x:c r="F102" s="8">
        <x:v>25</x:v>
      </x:c>
      <x:c r="G102" s="40"/>
      <x:c r="H102" s="43"/>
      <x:c r="I102" s="45">
        <x:v>46313</x:v>
      </x:c>
      <x:c r="J102" s="46">
        <x:v>81</x:v>
      </x:c>
      <x:c r="K102" s="47">
        <x:f>(F102-(0)+0-(J102*Ventas!AE103*1.0556))</x:f>
      </x:c>
      <x:c r="L102" s="49">
        <x:f>(K102/(Ventas!AE103*1.0556)/80)</x:f>
      </x:c>
      <x:c r="M102" s="51">
        <x:f>(G102+0)</x:f>
      </x:c>
      <x:c r="N102" s="40"/>
      <x:c r="O102" s="54">
        <x:f>(H102+0)</x:f>
      </x:c>
      <x:c r="P102" s="43"/>
      <x:c r="Q102" s="55">
        <x:f>(K102+M102+O102)</x:f>
      </x:c>
      <x:c r="R102" s="56">
        <x:f>(((L102*7)+(N102*1)+(P102*0))/8)</x:f>
      </x:c>
      <x:c r="S102" s="47">
        <x:f>(180*(Ventas!AE103*0.9644) - IF(K102&gt;0,K102,0))</x:f>
      </x:c>
      <x:c r="T102" s="47">
        <x:f>IF(S102&gt;0,S102,0)</x:f>
      </x:c>
      <x:c r="U102" s="40"/>
      <x:c r="V102" s="40"/>
      <x:c r="W102" s="43"/>
      <x:c r="X102" s="43"/>
      <x:c r="Y102" s="47">
        <x:f>IF(K102&gt;0,K102+IF(T102&gt;0,T102,0),T102)</x:f>
      </x:c>
      <x:c r="Z102" s="40"/>
      <x:c r="AA102" s="43"/>
      <x:c r="AB102" s="50">
        <x:v>3.5</x:v>
      </x:c>
      <x:c r="AC102" s="8">
        <x:v>3016</x:v>
      </x:c>
      <x:c r="AD102" s="40"/>
      <x:c r="AE102" s="40"/>
      <x:c r="AF102" s="43"/>
      <x:c r="AG102" s="43"/>
      <x:c r="AH102" s="47">
        <x:f>(Y102-(90*Ventas!AE103*0.9644))</x:f>
      </x:c>
      <x:c r="AI102" s="49">
        <x:f>(AH102/(Ventas!AE103*0.9644)/80)</x:f>
      </x:c>
      <x:c r="AJ102" s="40"/>
      <x:c r="AK102" s="40"/>
      <x:c r="AL102" s="43"/>
      <x:c r="AM102" s="43"/>
      <x:c r="AN102" s="55">
        <x:f>(IF(AH102&gt;0,AH102,0)+IF(AJ102&gt;0,AJ102,0)+IF(AL102&gt;0,AL102,0))</x:f>
      </x:c>
      <x:c r="AO102" s="56">
        <x:f>(((AI102*7)+(AK102*1)+(AM102*1))/8)</x:f>
      </x:c>
      <x:c r="AP102" s="4" t="s">
        <x:v>35</x:v>
      </x:c>
    </x:row>
    <x:row r="103">
      <x:c r="A103" s="4" t="s">
        <x:v>335</x:v>
      </x:c>
      <x:c r="B103" s="4" t="s">
        <x:v>334</x:v>
      </x:c>
      <x:c r="C103" s="38" t="s">
        <x:v>333</x:v>
      </x:c>
      <x:c r="D103" s="41"/>
      <x:c r="E103" s="44"/>
      <x:c r="F103" s="8">
        <x:v>37</x:v>
      </x:c>
      <x:c r="G103" s="40"/>
      <x:c r="H103" s="43"/>
      <x:c r="I103" s="45">
        <x:v>46313</x:v>
      </x:c>
      <x:c r="J103" s="46">
        <x:v>81</x:v>
      </x:c>
      <x:c r="K103" s="47">
        <x:f>(F103-(0)+0-(J103*Ventas!AE104*1.0556))</x:f>
      </x:c>
      <x:c r="L103" s="49">
        <x:f>(K103/(Ventas!AE104*1.0556)/80)</x:f>
      </x:c>
      <x:c r="M103" s="51">
        <x:f>(G103+0)</x:f>
      </x:c>
      <x:c r="N103" s="40"/>
      <x:c r="O103" s="54">
        <x:f>(H103+0)</x:f>
      </x:c>
      <x:c r="P103" s="43"/>
      <x:c r="Q103" s="55">
        <x:f>(K103+M103+O103)</x:f>
      </x:c>
      <x:c r="R103" s="56">
        <x:f>(((L103*7)+(N103*1)+(P103*0))/8)</x:f>
      </x:c>
      <x:c r="S103" s="47">
        <x:f>(180*(Ventas!AE104*0.9644) - IF(K103&gt;0,K103,0))</x:f>
      </x:c>
      <x:c r="T103" s="47">
        <x:f>IF(S103&gt;0,S103,0)</x:f>
      </x:c>
      <x:c r="U103" s="40"/>
      <x:c r="V103" s="40"/>
      <x:c r="W103" s="43"/>
      <x:c r="X103" s="43"/>
      <x:c r="Y103" s="47">
        <x:f>IF(K103&gt;0,K103+IF(T103&gt;0,T103,0),T103)</x:f>
      </x:c>
      <x:c r="Z103" s="40"/>
      <x:c r="AA103" s="43"/>
      <x:c r="AB103" s="50">
        <x:v>3.8</x:v>
      </x:c>
      <x:c r="AC103" s="8">
        <x:v>3016</x:v>
      </x:c>
      <x:c r="AD103" s="40"/>
      <x:c r="AE103" s="40"/>
      <x:c r="AF103" s="43"/>
      <x:c r="AG103" s="43"/>
      <x:c r="AH103" s="47">
        <x:f>(Y103-(90*Ventas!AE104*0.9644))</x:f>
      </x:c>
      <x:c r="AI103" s="49">
        <x:f>(AH103/(Ventas!AE104*0.9644)/80)</x:f>
      </x:c>
      <x:c r="AJ103" s="40"/>
      <x:c r="AK103" s="40"/>
      <x:c r="AL103" s="43"/>
      <x:c r="AM103" s="43"/>
      <x:c r="AN103" s="55">
        <x:f>(IF(AH103&gt;0,AH103,0)+IF(AJ103&gt;0,AJ103,0)+IF(AL103&gt;0,AL103,0))</x:f>
      </x:c>
      <x:c r="AO103" s="56">
        <x:f>(((AI103*7)+(AK103*1)+(AM103*1))/8)</x:f>
      </x:c>
      <x:c r="AP103" s="4" t="s">
        <x:v>35</x:v>
      </x:c>
    </x:row>
    <x:row r="104">
      <x:c r="A104" s="4" t="s">
        <x:v>338</x:v>
      </x:c>
      <x:c r="B104" s="4" t="s">
        <x:v>337</x:v>
      </x:c>
      <x:c r="C104" s="38" t="s">
        <x:v>336</x:v>
      </x:c>
      <x:c r="D104" s="41"/>
      <x:c r="E104" s="44"/>
      <x:c r="F104" s="8">
        <x:v>24</x:v>
      </x:c>
      <x:c r="G104" s="40"/>
      <x:c r="H104" s="43"/>
      <x:c r="I104" s="45">
        <x:v>46313</x:v>
      </x:c>
      <x:c r="J104" s="46">
        <x:v>81</x:v>
      </x:c>
      <x:c r="K104" s="47">
        <x:f>(F104-(0)+0-(J104*Ventas!AE105*1.0556))</x:f>
      </x:c>
      <x:c r="L104" s="49">
        <x:f>(K104/(Ventas!AE105*1.0556)/80)</x:f>
      </x:c>
      <x:c r="M104" s="51">
        <x:f>(G104+0)</x:f>
      </x:c>
      <x:c r="N104" s="40"/>
      <x:c r="O104" s="54">
        <x:f>(H104+0)</x:f>
      </x:c>
      <x:c r="P104" s="43"/>
      <x:c r="Q104" s="55">
        <x:f>(K104+M104+O104)</x:f>
      </x:c>
      <x:c r="R104" s="56">
        <x:f>(((L104*7)+(N104*1)+(P104*0))/8)</x:f>
      </x:c>
      <x:c r="S104" s="47">
        <x:f>(180*(Ventas!AE105*0.9644) - IF(K104&gt;0,K104,0))</x:f>
      </x:c>
      <x:c r="T104" s="47">
        <x:f>IF(S104&gt;0,S104,0)</x:f>
      </x:c>
      <x:c r="U104" s="40"/>
      <x:c r="V104" s="40"/>
      <x:c r="W104" s="43"/>
      <x:c r="X104" s="43"/>
      <x:c r="Y104" s="47">
        <x:f>IF(K104&gt;0,K104+IF(T104&gt;0,T104,0),T104)</x:f>
      </x:c>
      <x:c r="Z104" s="40"/>
      <x:c r="AA104" s="43"/>
      <x:c r="AB104" s="50">
        <x:v>3.8</x:v>
      </x:c>
      <x:c r="AC104" s="8">
        <x:v>3016</x:v>
      </x:c>
      <x:c r="AD104" s="40"/>
      <x:c r="AE104" s="40"/>
      <x:c r="AF104" s="43"/>
      <x:c r="AG104" s="43"/>
      <x:c r="AH104" s="47">
        <x:f>(Y104-(90*Ventas!AE105*0.9644))</x:f>
      </x:c>
      <x:c r="AI104" s="49">
        <x:f>(AH104/(Ventas!AE105*0.9644)/80)</x:f>
      </x:c>
      <x:c r="AJ104" s="40"/>
      <x:c r="AK104" s="40"/>
      <x:c r="AL104" s="43"/>
      <x:c r="AM104" s="43"/>
      <x:c r="AN104" s="55">
        <x:f>(IF(AH104&gt;0,AH104,0)+IF(AJ104&gt;0,AJ104,0)+IF(AL104&gt;0,AL104,0))</x:f>
      </x:c>
      <x:c r="AO104" s="56">
        <x:f>(((AI104*7)+(AK104*1)+(AM104*1))/8)</x:f>
      </x:c>
      <x:c r="AP104" s="4" t="s">
        <x:v>35</x:v>
      </x:c>
    </x:row>
    <x:row r="105">
      <x:c r="A105" s="4" t="s">
        <x:v>341</x:v>
      </x:c>
      <x:c r="B105" s="4" t="s">
        <x:v>340</x:v>
      </x:c>
      <x:c r="C105" s="38" t="s">
        <x:v>339</x:v>
      </x:c>
      <x:c r="D105" s="41"/>
      <x:c r="E105" s="44"/>
      <x:c r="F105" s="8">
        <x:v>31</x:v>
      </x:c>
      <x:c r="G105" s="40"/>
      <x:c r="H105" s="43"/>
      <x:c r="I105" s="45">
        <x:v>46313</x:v>
      </x:c>
      <x:c r="J105" s="46">
        <x:v>81</x:v>
      </x:c>
      <x:c r="K105" s="47">
        <x:f>(F105-(0)+0-(J105*Ventas!AE106*1.0556))</x:f>
      </x:c>
      <x:c r="L105" s="49">
        <x:f>(K105/(Ventas!AE106*1.0556)/80)</x:f>
      </x:c>
      <x:c r="M105" s="51">
        <x:f>(G105+0)</x:f>
      </x:c>
      <x:c r="N105" s="40"/>
      <x:c r="O105" s="54">
        <x:f>(H105+0)</x:f>
      </x:c>
      <x:c r="P105" s="43"/>
      <x:c r="Q105" s="55">
        <x:f>(K105+M105+O105)</x:f>
      </x:c>
      <x:c r="R105" s="56">
        <x:f>(((L105*7)+(N105*1)+(P105*0))/8)</x:f>
      </x:c>
      <x:c r="S105" s="47">
        <x:f>(180*(Ventas!AE106*0.9644) - IF(K105&gt;0,K105,0))</x:f>
      </x:c>
      <x:c r="T105" s="47">
        <x:f>IF(S105&gt;0,S105,0)</x:f>
      </x:c>
      <x:c r="U105" s="40"/>
      <x:c r="V105" s="40"/>
      <x:c r="W105" s="43"/>
      <x:c r="X105" s="43"/>
      <x:c r="Y105" s="47">
        <x:f>IF(K105&gt;0,K105+IF(T105&gt;0,T105,0),T105)</x:f>
      </x:c>
      <x:c r="Z105" s="40"/>
      <x:c r="AA105" s="43"/>
      <x:c r="AB105" s="50">
        <x:v>3.8</x:v>
      </x:c>
      <x:c r="AC105" s="8">
        <x:v>3016</x:v>
      </x:c>
      <x:c r="AD105" s="40"/>
      <x:c r="AE105" s="40"/>
      <x:c r="AF105" s="43"/>
      <x:c r="AG105" s="43"/>
      <x:c r="AH105" s="47">
        <x:f>(Y105-(90*Ventas!AE106*0.9644))</x:f>
      </x:c>
      <x:c r="AI105" s="49">
        <x:f>(AH105/(Ventas!AE106*0.9644)/80)</x:f>
      </x:c>
      <x:c r="AJ105" s="40"/>
      <x:c r="AK105" s="40"/>
      <x:c r="AL105" s="43"/>
      <x:c r="AM105" s="43"/>
      <x:c r="AN105" s="55">
        <x:f>(IF(AH105&gt;0,AH105,0)+IF(AJ105&gt;0,AJ105,0)+IF(AL105&gt;0,AL105,0))</x:f>
      </x:c>
      <x:c r="AO105" s="56">
        <x:f>(((AI105*7)+(AK105*1)+(AM105*1))/8)</x:f>
      </x:c>
      <x:c r="AP105" s="4" t="s">
        <x:v>35</x:v>
      </x:c>
    </x:row>
    <x:row r="106">
      <x:c r="A106" s="4" t="s">
        <x:v>347</x:v>
      </x:c>
      <x:c r="B106" s="4" t="s">
        <x:v>346</x:v>
      </x:c>
      <x:c r="C106" s="38" t="s">
        <x:v>345</x:v>
      </x:c>
      <x:c r="D106" s="41" t="s">
        <x:v>1540</x:v>
      </x:c>
      <x:c r="E106" s="44"/>
      <x:c r="F106" s="6"/>
      <x:c r="G106" s="40"/>
      <x:c r="H106" s="43"/>
      <x:c r="I106" s="45">
        <x:v>46313</x:v>
      </x:c>
      <x:c r="J106" s="46">
        <x:v>81</x:v>
      </x:c>
      <x:c r="K106" s="47">
        <x:f>(F106-(0)+0-(J106*Ventas!AE108*1.0556))</x:f>
      </x:c>
      <x:c r="L106" s="6"/>
      <x:c r="M106" s="51">
        <x:f>(G106-(0)+0-(J106*Ventas!AE514*1.0556))</x:f>
      </x:c>
      <x:c r="N106" s="40"/>
      <x:c r="O106" s="54">
        <x:f>(H106+0)</x:f>
      </x:c>
      <x:c r="P106" s="43"/>
      <x:c r="Q106" s="55">
        <x:f>(K106+M106+O106)</x:f>
      </x:c>
      <x:c r="R106" s="56">
        <x:f>(((L106*7)+(N106*1)+(P106*0))/8)</x:f>
      </x:c>
      <x:c r="S106" s="47">
        <x:f>(180*(Ventas!AE108*0.9644) - IF(K106&gt;0,K106,0))</x:f>
      </x:c>
      <x:c r="T106" s="47">
        <x:f>IF(S106&gt;0,S106,0)</x:f>
      </x:c>
      <x:c r="U106" s="51">
        <x:f>(180*(Ventas!AE514*0.9644) - IF(M106&gt;0,M106,0))</x:f>
      </x:c>
      <x:c r="V106" s="51">
        <x:f>IF(U106&gt;0,U106,0)</x:f>
      </x:c>
      <x:c r="W106" s="43"/>
      <x:c r="X106" s="43"/>
      <x:c r="Y106" s="47">
        <x:f>IF(K106&gt;0,K106+IF(T106&gt;0,T106,0),T106)</x:f>
      </x:c>
      <x:c r="Z106" s="51">
        <x:f>IF(M106&gt;0,M106+IF(V106&gt;0,V106,0),V106)</x:f>
      </x:c>
      <x:c r="AA106" s="43"/>
      <x:c r="AB106" s="50">
        <x:v>5</x:v>
      </x:c>
      <x:c r="AC106" s="8">
        <x:v>3013</x:v>
      </x:c>
      <x:c r="AD106" s="53">
        <x:v>5</x:v>
      </x:c>
      <x:c r="AE106" s="40"/>
      <x:c r="AF106" s="43"/>
      <x:c r="AG106" s="43"/>
      <x:c r="AH106" s="6"/>
      <x:c r="AI106" s="6"/>
      <x:c r="AJ106" s="40"/>
      <x:c r="AK106" s="40"/>
      <x:c r="AL106" s="43"/>
      <x:c r="AM106" s="43"/>
      <x:c r="AN106" s="55">
        <x:f>(IF(AH106&gt;0,AH106,0)+IF(AJ106&gt;0,AJ106,0)+IF(AL106&gt;0,AL106,0))</x:f>
      </x:c>
      <x:c r="AO106" s="56">
        <x:f>(((AI106*7)+(AK106*1)+(AM106*1))/8)</x:f>
      </x:c>
      <x:c r="AP106" s="4" t="s">
        <x:v>51</x:v>
      </x:c>
    </x:row>
    <x:row r="107">
      <x:c r="A107" s="4" t="s">
        <x:v>350</x:v>
      </x:c>
      <x:c r="B107" s="4" t="s">
        <x:v>349</x:v>
      </x:c>
      <x:c r="C107" s="38" t="s">
        <x:v>348</x:v>
      </x:c>
      <x:c r="D107" s="41" t="s">
        <x:v>1542</x:v>
      </x:c>
      <x:c r="E107" s="44"/>
      <x:c r="F107" s="8">
        <x:v>768</x:v>
      </x:c>
      <x:c r="G107" s="57">
        <x:v>109</x:v>
      </x:c>
      <x:c r="H107" s="43"/>
      <x:c r="I107" s="45">
        <x:v>46313</x:v>
      </x:c>
      <x:c r="J107" s="46">
        <x:v>81</x:v>
      </x:c>
      <x:c r="K107" s="47">
        <x:f>(F107-(0)+0-(J107*Ventas!AE109*1.0556))</x:f>
      </x:c>
      <x:c r="L107" s="49">
        <x:f>(K107/(Ventas!AE109*1.0556)/80)</x:f>
      </x:c>
      <x:c r="M107" s="51">
        <x:f>(G107-(0)+0-(J107*Ventas!AE515*1.0556))</x:f>
      </x:c>
      <x:c r="N107" s="52">
        <x:f>(M107/(Ventas!AE515*1.0556)/85)</x:f>
      </x:c>
      <x:c r="O107" s="54">
        <x:f>(H107+0)</x:f>
      </x:c>
      <x:c r="P107" s="43"/>
      <x:c r="Q107" s="55">
        <x:f>(K107+M107+O107)</x:f>
      </x:c>
      <x:c r="R107" s="56">
        <x:f>(((L107*7)+(N107*1)+(P107*0))/8)</x:f>
      </x:c>
      <x:c r="S107" s="47">
        <x:f>(180*(Ventas!AE109*0.9644) - IF(K107&gt;0,K107,0))</x:f>
      </x:c>
      <x:c r="T107" s="47">
        <x:f>IF(S107&gt;0,S107,0)</x:f>
      </x:c>
      <x:c r="U107" s="51">
        <x:f>(180*(Ventas!AE515*0.9644) - IF(M107&gt;0,M107,0))</x:f>
      </x:c>
      <x:c r="V107" s="51">
        <x:f>IF(U107&gt;0,U107,0)</x:f>
      </x:c>
      <x:c r="W107" s="43"/>
      <x:c r="X107" s="43"/>
      <x:c r="Y107" s="47">
        <x:f>IF(K107&gt;0,K107+IF(T107&gt;0,T107,0),T107)</x:f>
      </x:c>
      <x:c r="Z107" s="51">
        <x:f>IF(M107&gt;0,M107+IF(V107&gt;0,V107,0),V107)</x:f>
      </x:c>
      <x:c r="AA107" s="43"/>
      <x:c r="AB107" s="50">
        <x:v>2.25</x:v>
      </x:c>
      <x:c r="AC107" s="8">
        <x:v>3016</x:v>
      </x:c>
      <x:c r="AD107" s="53">
        <x:v>2.25</x:v>
      </x:c>
      <x:c r="AE107" s="40"/>
      <x:c r="AF107" s="43"/>
      <x:c r="AG107" s="43"/>
      <x:c r="AH107" s="47">
        <x:f>(Y107-(90*Ventas!AE109*0.9644))</x:f>
      </x:c>
      <x:c r="AI107" s="49">
        <x:f>(AH107/(Ventas!AE109*0.9644)/80)</x:f>
      </x:c>
      <x:c r="AJ107" s="51">
        <x:f>(Z107-(90*Ventas!AE515*0.9644))</x:f>
      </x:c>
      <x:c r="AK107" s="52">
        <x:f>(AJ107/(Ventas!AE515*0.9644)/85)</x:f>
      </x:c>
      <x:c r="AL107" s="43"/>
      <x:c r="AM107" s="43"/>
      <x:c r="AN107" s="55">
        <x:f>(IF(AH107&gt;0,AH107,0)+IF(AJ107&gt;0,AJ107,0)+IF(AL107&gt;0,AL107,0))</x:f>
      </x:c>
      <x:c r="AO107" s="56">
        <x:f>(((AI107*7)+(AK107*1)+(AM107*1))/8)</x:f>
      </x:c>
      <x:c r="AP107" s="4" t="s">
        <x:v>35</x:v>
      </x:c>
    </x:row>
    <x:row r="108">
      <x:c r="A108" s="4" t="s">
        <x:v>353</x:v>
      </x:c>
      <x:c r="B108" s="4" t="s">
        <x:v>352</x:v>
      </x:c>
      <x:c r="C108" s="38" t="s">
        <x:v>351</x:v>
      </x:c>
      <x:c r="D108" s="41"/>
      <x:c r="E108" s="44"/>
      <x:c r="F108" s="8">
        <x:v>54</x:v>
      </x:c>
      <x:c r="G108" s="40"/>
      <x:c r="H108" s="43"/>
      <x:c r="I108" s="45">
        <x:v>46313</x:v>
      </x:c>
      <x:c r="J108" s="46">
        <x:v>81</x:v>
      </x:c>
      <x:c r="K108" s="47">
        <x:f>(F108-(0)+0-(J108*Ventas!AE110*1.0556))</x:f>
      </x:c>
      <x:c r="L108" s="49">
        <x:f>(K108/(Ventas!AE110*1.0556)/80)</x:f>
      </x:c>
      <x:c r="M108" s="51">
        <x:f>(G108+0)</x:f>
      </x:c>
      <x:c r="N108" s="40"/>
      <x:c r="O108" s="54">
        <x:f>(H108+0)</x:f>
      </x:c>
      <x:c r="P108" s="43"/>
      <x:c r="Q108" s="55">
        <x:f>(K108+M108+O108)</x:f>
      </x:c>
      <x:c r="R108" s="56">
        <x:f>(((L108*7)+(N108*1)+(P108*0))/8)</x:f>
      </x:c>
      <x:c r="S108" s="47">
        <x:f>(180*(Ventas!AE110*0.9644) - IF(K108&gt;0,K108,0))</x:f>
      </x:c>
      <x:c r="T108" s="47">
        <x:f>IF(S108&gt;0,S108,0)</x:f>
      </x:c>
      <x:c r="U108" s="40"/>
      <x:c r="V108" s="40"/>
      <x:c r="W108" s="43"/>
      <x:c r="X108" s="43"/>
      <x:c r="Y108" s="47">
        <x:f>IF(K108&gt;0,K108+IF(T108&gt;0,T108,0),T108)</x:f>
      </x:c>
      <x:c r="Z108" s="40"/>
      <x:c r="AA108" s="43"/>
      <x:c r="AB108" s="50">
        <x:v>3.75</x:v>
      </x:c>
      <x:c r="AC108" s="8">
        <x:v>3016</x:v>
      </x:c>
      <x:c r="AD108" s="40"/>
      <x:c r="AE108" s="40"/>
      <x:c r="AF108" s="43"/>
      <x:c r="AG108" s="43"/>
      <x:c r="AH108" s="47">
        <x:f>(Y108-(90*Ventas!AE110*0.9644))</x:f>
      </x:c>
      <x:c r="AI108" s="49">
        <x:f>(AH108/(Ventas!AE110*0.9644)/80)</x:f>
      </x:c>
      <x:c r="AJ108" s="40"/>
      <x:c r="AK108" s="40"/>
      <x:c r="AL108" s="43"/>
      <x:c r="AM108" s="43"/>
      <x:c r="AN108" s="55">
        <x:f>(IF(AH108&gt;0,AH108,0)+IF(AJ108&gt;0,AJ108,0)+IF(AL108&gt;0,AL108,0))</x:f>
      </x:c>
      <x:c r="AO108" s="56">
        <x:f>(((AI108*7)+(AK108*1)+(AM108*1))/8)</x:f>
      </x:c>
      <x:c r="AP108" s="4" t="s">
        <x:v>35</x:v>
      </x:c>
    </x:row>
    <x:row r="109">
      <x:c r="A109" s="4" t="s">
        <x:v>356</x:v>
      </x:c>
      <x:c r="B109" s="4" t="s">
        <x:v>355</x:v>
      </x:c>
      <x:c r="C109" s="38" t="s">
        <x:v>354</x:v>
      </x:c>
      <x:c r="D109" s="41" t="s">
        <x:v>1545</x:v>
      </x:c>
      <x:c r="E109" s="44"/>
      <x:c r="F109" s="8">
        <x:v>1287</x:v>
      </x:c>
      <x:c r="G109" s="57">
        <x:v>50</x:v>
      </x:c>
      <x:c r="H109" s="43"/>
      <x:c r="I109" s="45">
        <x:v>46313</x:v>
      </x:c>
      <x:c r="J109" s="46">
        <x:v>81</x:v>
      </x:c>
      <x:c r="K109" s="47">
        <x:f>(F109-(0)+0-(J109*Ventas!AE111*1.0556))</x:f>
      </x:c>
      <x:c r="L109" s="49">
        <x:f>(K109/(Ventas!AE111*1.0556)/80)</x:f>
      </x:c>
      <x:c r="M109" s="51">
        <x:f>(G109-(0)+0-(J109*Ventas!AE516*1.0556))</x:f>
      </x:c>
      <x:c r="N109" s="52">
        <x:f>(M109/(Ventas!AE516*1.0556)/85)</x:f>
      </x:c>
      <x:c r="O109" s="54">
        <x:f>(H109+0)</x:f>
      </x:c>
      <x:c r="P109" s="43"/>
      <x:c r="Q109" s="55">
        <x:f>(K109+M109+O109)</x:f>
      </x:c>
      <x:c r="R109" s="56">
        <x:f>(((L109*7)+(N109*1)+(P109*0))/8)</x:f>
      </x:c>
      <x:c r="S109" s="47">
        <x:f>(180*(Ventas!AE111*0.9644) - IF(K109&gt;0,K109,0))</x:f>
      </x:c>
      <x:c r="T109" s="47">
        <x:f>IF(S109&gt;0,S109,0)</x:f>
      </x:c>
      <x:c r="U109" s="51">
        <x:f>(180*(Ventas!AE516*0.9644) - IF(M109&gt;0,M109,0))</x:f>
      </x:c>
      <x:c r="V109" s="51">
        <x:f>IF(U109&gt;0,U109,0)</x:f>
      </x:c>
      <x:c r="W109" s="43"/>
      <x:c r="X109" s="43"/>
      <x:c r="Y109" s="47">
        <x:f>IF(K109&gt;0,K109+IF(T109&gt;0,T109,0),T109)</x:f>
      </x:c>
      <x:c r="Z109" s="51">
        <x:f>IF(M109&gt;0,M109+IF(V109&gt;0,V109,0),V109)</x:f>
      </x:c>
      <x:c r="AA109" s="43"/>
      <x:c r="AB109" s="50">
        <x:v>2.4</x:v>
      </x:c>
      <x:c r="AC109" s="8">
        <x:v>3016</x:v>
      </x:c>
      <x:c r="AD109" s="53">
        <x:v>2.4</x:v>
      </x:c>
      <x:c r="AE109" s="40"/>
      <x:c r="AF109" s="43"/>
      <x:c r="AG109" s="43"/>
      <x:c r="AH109" s="47">
        <x:f>(Y109-(90*Ventas!AE111*0.9644))</x:f>
      </x:c>
      <x:c r="AI109" s="49">
        <x:f>(AH109/(Ventas!AE111*0.9644)/80)</x:f>
      </x:c>
      <x:c r="AJ109" s="51">
        <x:f>(Z109-(90*Ventas!AE516*0.9644))</x:f>
      </x:c>
      <x:c r="AK109" s="52">
        <x:f>(AJ109/(Ventas!AE516*0.9644)/85)</x:f>
      </x:c>
      <x:c r="AL109" s="43"/>
      <x:c r="AM109" s="43"/>
      <x:c r="AN109" s="55">
        <x:f>(IF(AH109&gt;0,AH109,0)+IF(AJ109&gt;0,AJ109,0)+IF(AL109&gt;0,AL109,0))</x:f>
      </x:c>
      <x:c r="AO109" s="56">
        <x:f>(((AI109*7)+(AK109*1)+(AM109*1))/8)</x:f>
      </x:c>
      <x:c r="AP109" s="4" t="s">
        <x:v>35</x:v>
      </x:c>
    </x:row>
    <x:row r="110">
      <x:c r="A110" s="4" t="s">
        <x:v>359</x:v>
      </x:c>
      <x:c r="B110" s="4" t="s">
        <x:v>358</x:v>
      </x:c>
      <x:c r="C110" s="38" t="s">
        <x:v>357</x:v>
      </x:c>
      <x:c r="D110" s="41" t="s">
        <x:v>1548</x:v>
      </x:c>
      <x:c r="E110" s="44"/>
      <x:c r="F110" s="8">
        <x:v>9</x:v>
      </x:c>
      <x:c r="G110" s="40"/>
      <x:c r="H110" s="43"/>
      <x:c r="I110" s="45">
        <x:v>46313</x:v>
      </x:c>
      <x:c r="J110" s="46">
        <x:v>81</x:v>
      </x:c>
      <x:c r="K110" s="47">
        <x:f>(F110-(0)+0-(J110*Ventas!AE112*1.0556))</x:f>
      </x:c>
      <x:c r="L110" s="49">
        <x:f>(K110/(Ventas!AE112*1.0556)/80)</x:f>
      </x:c>
      <x:c r="M110" s="51">
        <x:f>(G110-(0)+0-(J110*Ventas!AE517*1.0556))</x:f>
      </x:c>
      <x:c r="N110" s="40"/>
      <x:c r="O110" s="54">
        <x:f>(H110+0)</x:f>
      </x:c>
      <x:c r="P110" s="43"/>
      <x:c r="Q110" s="55">
        <x:f>(K110+M110+O110)</x:f>
      </x:c>
      <x:c r="R110" s="56">
        <x:f>(((L110*7)+(N110*1)+(P110*0))/8)</x:f>
      </x:c>
      <x:c r="S110" s="47">
        <x:f>(180*(Ventas!AE112*0.9644) - IF(K110&gt;0,K110,0))</x:f>
      </x:c>
      <x:c r="T110" s="47">
        <x:f>IF(S110&gt;0,S110,0)</x:f>
      </x:c>
      <x:c r="U110" s="51">
        <x:f>(180*(Ventas!AE517*0.9644) - IF(M110&gt;0,M110,0))</x:f>
      </x:c>
      <x:c r="V110" s="51">
        <x:f>IF(U110&gt;0,U110,0)</x:f>
      </x:c>
      <x:c r="W110" s="43"/>
      <x:c r="X110" s="43"/>
      <x:c r="Y110" s="47">
        <x:f>IF(K110&gt;0,K110+IF(T110&gt;0,T110,0),T110)</x:f>
      </x:c>
      <x:c r="Z110" s="51">
        <x:f>IF(M110&gt;0,M110+IF(V110&gt;0,V110,0),V110)</x:f>
      </x:c>
      <x:c r="AA110" s="43"/>
      <x:c r="AB110" s="50">
        <x:v>5.5</x:v>
      </x:c>
      <x:c r="AC110" s="8">
        <x:v>3016</x:v>
      </x:c>
      <x:c r="AD110" s="53">
        <x:v>6.41</x:v>
      </x:c>
      <x:c r="AE110" s="40"/>
      <x:c r="AF110" s="43"/>
      <x:c r="AG110" s="43"/>
      <x:c r="AH110" s="47">
        <x:f>(Y110-(90*Ventas!AE112*0.9644))</x:f>
      </x:c>
      <x:c r="AI110" s="49">
        <x:f>(AH110/(Ventas!AE112*0.9644)/80)</x:f>
      </x:c>
      <x:c r="AJ110" s="40"/>
      <x:c r="AK110" s="40"/>
      <x:c r="AL110" s="43"/>
      <x:c r="AM110" s="43"/>
      <x:c r="AN110" s="55">
        <x:f>(IF(AH110&gt;0,AH110,0)+IF(AJ110&gt;0,AJ110,0)+IF(AL110&gt;0,AL110,0))</x:f>
      </x:c>
      <x:c r="AO110" s="56">
        <x:f>(((AI110*7)+(AK110*1)+(AM110*1))/8)</x:f>
      </x:c>
      <x:c r="AP110" s="4" t="s">
        <x:v>35</x:v>
      </x:c>
    </x:row>
    <x:row r="111">
      <x:c r="A111" s="4" t="s">
        <x:v>362</x:v>
      </x:c>
      <x:c r="B111" s="4" t="s">
        <x:v>361</x:v>
      </x:c>
      <x:c r="C111" s="38" t="s">
        <x:v>360</x:v>
      </x:c>
      <x:c r="D111" s="41"/>
      <x:c r="E111" s="44"/>
      <x:c r="F111" s="8">
        <x:v>6</x:v>
      </x:c>
      <x:c r="G111" s="40"/>
      <x:c r="H111" s="43"/>
      <x:c r="I111" s="45">
        <x:v>46313</x:v>
      </x:c>
      <x:c r="J111" s="46">
        <x:v>81</x:v>
      </x:c>
      <x:c r="K111" s="47">
        <x:f>(F111-(0)+0-(J111*Ventas!AE113*1.0556))</x:f>
      </x:c>
      <x:c r="L111" s="49">
        <x:f>(K111/(Ventas!AE113*1.0556)/80)</x:f>
      </x:c>
      <x:c r="M111" s="51">
        <x:f>(G111+0)</x:f>
      </x:c>
      <x:c r="N111" s="40"/>
      <x:c r="O111" s="54">
        <x:f>(H111+0)</x:f>
      </x:c>
      <x:c r="P111" s="43"/>
      <x:c r="Q111" s="55">
        <x:f>(K111+M111+O111)</x:f>
      </x:c>
      <x:c r="R111" s="56">
        <x:f>(((L111*7)+(N111*1)+(P111*0))/8)</x:f>
      </x:c>
      <x:c r="S111" s="47">
        <x:f>(180*(Ventas!AE113*0.9644) - IF(K111&gt;0,K111,0))</x:f>
      </x:c>
      <x:c r="T111" s="47">
        <x:f>IF(S111&gt;0,S111,0)</x:f>
      </x:c>
      <x:c r="U111" s="40"/>
      <x:c r="V111" s="40"/>
      <x:c r="W111" s="43"/>
      <x:c r="X111" s="43"/>
      <x:c r="Y111" s="47">
        <x:f>IF(K111&gt;0,K111+IF(T111&gt;0,T111,0),T111)</x:f>
      </x:c>
      <x:c r="Z111" s="40"/>
      <x:c r="AA111" s="43"/>
      <x:c r="AB111" s="50">
        <x:v>4.4</x:v>
      </x:c>
      <x:c r="AC111" s="8">
        <x:v>3016</x:v>
      </x:c>
      <x:c r="AD111" s="40"/>
      <x:c r="AE111" s="40"/>
      <x:c r="AF111" s="43"/>
      <x:c r="AG111" s="43"/>
      <x:c r="AH111" s="47">
        <x:f>(Y111-(90*Ventas!AE113*0.9644))</x:f>
      </x:c>
      <x:c r="AI111" s="49">
        <x:f>(AH111/(Ventas!AE113*0.9644)/80)</x:f>
      </x:c>
      <x:c r="AJ111" s="40"/>
      <x:c r="AK111" s="40"/>
      <x:c r="AL111" s="43"/>
      <x:c r="AM111" s="43"/>
      <x:c r="AN111" s="55">
        <x:f>(IF(AH111&gt;0,AH111,0)+IF(AJ111&gt;0,AJ111,0)+IF(AL111&gt;0,AL111,0))</x:f>
      </x:c>
      <x:c r="AO111" s="56">
        <x:f>(((AI111*7)+(AK111*1)+(AM111*1))/8)</x:f>
      </x:c>
      <x:c r="AP111" s="4" t="s">
        <x:v>35</x:v>
      </x:c>
    </x:row>
    <x:row r="112">
      <x:c r="A112" s="4"/>
      <x:c r="B112" s="4" t="s">
        <x:v>364</x:v>
      </x:c>
      <x:c r="C112" s="38" t="s">
        <x:v>363</x:v>
      </x:c>
      <x:c r="D112" s="41"/>
      <x:c r="E112" s="44"/>
      <x:c r="F112" s="6"/>
      <x:c r="G112" s="40"/>
      <x:c r="H112" s="43"/>
      <x:c r="I112" s="45">
        <x:v>46313</x:v>
      </x:c>
      <x:c r="J112" s="46">
        <x:v>81</x:v>
      </x:c>
      <x:c r="K112" s="47">
        <x:f>(F112-(0)+0-(J112*Ventas!AE114*1.0556))</x:f>
      </x:c>
      <x:c r="L112" s="6"/>
      <x:c r="M112" s="51">
        <x:f>(G112+0)</x:f>
      </x:c>
      <x:c r="N112" s="40"/>
      <x:c r="O112" s="54">
        <x:f>(H112+0)</x:f>
      </x:c>
      <x:c r="P112" s="43"/>
      <x:c r="Q112" s="55">
        <x:f>(K112+M112+O112)</x:f>
      </x:c>
      <x:c r="R112" s="56">
        <x:f>(((L112*7)+(N112*1)+(P112*0))/8)</x:f>
      </x:c>
      <x:c r="S112" s="47">
        <x:f>(180*(Ventas!AE114*0.9644) - IF(K112&gt;0,K112,0))</x:f>
      </x:c>
      <x:c r="T112" s="47">
        <x:f>IF(S112&gt;0,S112,0)</x:f>
      </x:c>
      <x:c r="U112" s="40"/>
      <x:c r="V112" s="40"/>
      <x:c r="W112" s="43"/>
      <x:c r="X112" s="43"/>
      <x:c r="Y112" s="47">
        <x:f>IF(K112&gt;0,K112+IF(T112&gt;0,T112,0),T112)</x:f>
      </x:c>
      <x:c r="Z112" s="40"/>
      <x:c r="AA112" s="43"/>
      <x:c r="AB112" s="50">
        <x:v>8.91</x:v>
      </x:c>
      <x:c r="AC112" s="8">
        <x:v>2998</x:v>
      </x:c>
      <x:c r="AD112" s="40"/>
      <x:c r="AE112" s="40"/>
      <x:c r="AF112" s="43"/>
      <x:c r="AG112" s="43"/>
      <x:c r="AH112" s="6"/>
      <x:c r="AI112" s="6"/>
      <x:c r="AJ112" s="40"/>
      <x:c r="AK112" s="40"/>
      <x:c r="AL112" s="43"/>
      <x:c r="AM112" s="43"/>
      <x:c r="AN112" s="55">
        <x:f>(IF(AH112&gt;0,AH112,0)+IF(AJ112&gt;0,AJ112,0)+IF(AL112&gt;0,AL112,0))</x:f>
      </x:c>
      <x:c r="AO112" s="56">
        <x:f>(((AI112*7)+(AK112*1)+(AM112*1))/8)</x:f>
      </x:c>
      <x:c r="AP112" s="4" t="s">
        <x:v>51</x:v>
      </x:c>
    </x:row>
    <x:row r="113">
      <x:c r="A113" s="4" t="s">
        <x:v>367</x:v>
      </x:c>
      <x:c r="B113" s="4" t="s">
        <x:v>366</x:v>
      </x:c>
      <x:c r="C113" s="38" t="s">
        <x:v>365</x:v>
      </x:c>
      <x:c r="D113" s="41"/>
      <x:c r="E113" s="44"/>
      <x:c r="F113" s="6"/>
      <x:c r="G113" s="40"/>
      <x:c r="H113" s="43"/>
      <x:c r="I113" s="45">
        <x:v>46313</x:v>
      </x:c>
      <x:c r="J113" s="46">
        <x:v>81</x:v>
      </x:c>
      <x:c r="K113" s="47">
        <x:f>(F113-(0)+0-(J113*Ventas!AE115*1.0556))</x:f>
      </x:c>
      <x:c r="L113" s="6"/>
      <x:c r="M113" s="51">
        <x:f>(G113+0)</x:f>
      </x:c>
      <x:c r="N113" s="40"/>
      <x:c r="O113" s="54">
        <x:f>(H113+0)</x:f>
      </x:c>
      <x:c r="P113" s="43"/>
      <x:c r="Q113" s="55">
        <x:f>(K113+M113+O113)</x:f>
      </x:c>
      <x:c r="R113" s="56">
        <x:f>(((L113*7)+(N113*1)+(P113*0))/8)</x:f>
      </x:c>
      <x:c r="S113" s="47">
        <x:f>(180*(Ventas!AE115*0.9644) - IF(K113&gt;0,K113,0))</x:f>
      </x:c>
      <x:c r="T113" s="47">
        <x:f>IF(S113&gt;0,S113,0)</x:f>
      </x:c>
      <x:c r="U113" s="40"/>
      <x:c r="V113" s="40"/>
      <x:c r="W113" s="43"/>
      <x:c r="X113" s="43"/>
      <x:c r="Y113" s="47">
        <x:f>IF(K113&gt;0,K113+IF(T113&gt;0,T113,0),T113)</x:f>
      </x:c>
      <x:c r="Z113" s="40"/>
      <x:c r="AA113" s="43"/>
      <x:c r="AB113" s="50">
        <x:v>3.83</x:v>
      </x:c>
      <x:c r="AC113" s="8">
        <x:v>3006</x:v>
      </x:c>
      <x:c r="AD113" s="40"/>
      <x:c r="AE113" s="40"/>
      <x:c r="AF113" s="43"/>
      <x:c r="AG113" s="43"/>
      <x:c r="AH113" s="6"/>
      <x:c r="AI113" s="6"/>
      <x:c r="AJ113" s="40"/>
      <x:c r="AK113" s="40"/>
      <x:c r="AL113" s="43"/>
      <x:c r="AM113" s="43"/>
      <x:c r="AN113" s="55">
        <x:f>(IF(AH113&gt;0,AH113,0)+IF(AJ113&gt;0,AJ113,0)+IF(AL113&gt;0,AL113,0))</x:f>
      </x:c>
      <x:c r="AO113" s="56">
        <x:f>(((AI113*7)+(AK113*1)+(AM113*1))/8)</x:f>
      </x:c>
      <x:c r="AP113" s="4" t="s">
        <x:v>35</x:v>
      </x:c>
    </x:row>
    <x:row r="114">
      <x:c r="A114" s="4" t="s">
        <x:v>370</x:v>
      </x:c>
      <x:c r="B114" s="4" t="s">
        <x:v>369</x:v>
      </x:c>
      <x:c r="C114" s="38" t="s">
        <x:v>368</x:v>
      </x:c>
      <x:c r="D114" s="41"/>
      <x:c r="E114" s="44"/>
      <x:c r="F114" s="8">
        <x:v>30</x:v>
      </x:c>
      <x:c r="G114" s="40"/>
      <x:c r="H114" s="43"/>
      <x:c r="I114" s="45">
        <x:v>46313</x:v>
      </x:c>
      <x:c r="J114" s="46">
        <x:v>81</x:v>
      </x:c>
      <x:c r="K114" s="47">
        <x:f>(F114-(0)+0-(J114*Ventas!AE116*1.0556))</x:f>
      </x:c>
      <x:c r="L114" s="49">
        <x:f>(K114/(Ventas!AE116*1.0556)/80)</x:f>
      </x:c>
      <x:c r="M114" s="51">
        <x:f>(G114+0)</x:f>
      </x:c>
      <x:c r="N114" s="40"/>
      <x:c r="O114" s="54">
        <x:f>(H114+0)</x:f>
      </x:c>
      <x:c r="P114" s="43"/>
      <x:c r="Q114" s="55">
        <x:f>(K114+M114+O114)</x:f>
      </x:c>
      <x:c r="R114" s="56">
        <x:f>(((L114*7)+(N114*1)+(P114*0))/8)</x:f>
      </x:c>
      <x:c r="S114" s="47">
        <x:f>(180*(Ventas!AE116*0.9644) - IF(K114&gt;0,K114,0))</x:f>
      </x:c>
      <x:c r="T114" s="47">
        <x:f>IF(S114&gt;0,S114,0)</x:f>
      </x:c>
      <x:c r="U114" s="40"/>
      <x:c r="V114" s="40"/>
      <x:c r="W114" s="43"/>
      <x:c r="X114" s="43"/>
      <x:c r="Y114" s="47">
        <x:f>IF(K114&gt;0,K114+IF(T114&gt;0,T114,0),T114)</x:f>
      </x:c>
      <x:c r="Z114" s="40"/>
      <x:c r="AA114" s="43"/>
      <x:c r="AB114" s="50">
        <x:v>1.92</x:v>
      </x:c>
      <x:c r="AC114" s="8">
        <x:v>3016</x:v>
      </x:c>
      <x:c r="AD114" s="40"/>
      <x:c r="AE114" s="40"/>
      <x:c r="AF114" s="43"/>
      <x:c r="AG114" s="43"/>
      <x:c r="AH114" s="47">
        <x:f>(Y114-(90*Ventas!AE116*0.9644))</x:f>
      </x:c>
      <x:c r="AI114" s="49">
        <x:f>(AH114/(Ventas!AE116*0.9644)/80)</x:f>
      </x:c>
      <x:c r="AJ114" s="40"/>
      <x:c r="AK114" s="40"/>
      <x:c r="AL114" s="43"/>
      <x:c r="AM114" s="43"/>
      <x:c r="AN114" s="55">
        <x:f>(IF(AH114&gt;0,AH114,0)+IF(AJ114&gt;0,AJ114,0)+IF(AL114&gt;0,AL114,0))</x:f>
      </x:c>
      <x:c r="AO114" s="56">
        <x:f>(((AI114*7)+(AK114*1)+(AM114*1))/8)</x:f>
      </x:c>
      <x:c r="AP114" s="4" t="s">
        <x:v>35</x:v>
      </x:c>
    </x:row>
    <x:row r="115">
      <x:c r="A115" s="4" t="s">
        <x:v>373</x:v>
      </x:c>
      <x:c r="B115" s="4" t="s">
        <x:v>372</x:v>
      </x:c>
      <x:c r="C115" s="38" t="s">
        <x:v>371</x:v>
      </x:c>
      <x:c r="D115" s="41"/>
      <x:c r="E115" s="44"/>
      <x:c r="F115" s="6"/>
      <x:c r="G115" s="40"/>
      <x:c r="H115" s="43"/>
      <x:c r="I115" s="45">
        <x:v>46313</x:v>
      </x:c>
      <x:c r="J115" s="46">
        <x:v>81</x:v>
      </x:c>
      <x:c r="K115" s="47">
        <x:f>(F115-(0)+0-(J115*Ventas!AE117*1.0556))</x:f>
      </x:c>
      <x:c r="L115" s="6"/>
      <x:c r="M115" s="51">
        <x:f>(G115+0)</x:f>
      </x:c>
      <x:c r="N115" s="40"/>
      <x:c r="O115" s="54">
        <x:f>(H115+0)</x:f>
      </x:c>
      <x:c r="P115" s="43"/>
      <x:c r="Q115" s="55">
        <x:f>(K115+M115+O115)</x:f>
      </x:c>
      <x:c r="R115" s="56">
        <x:f>(((L115*7)+(N115*1)+(P115*0))/8)</x:f>
      </x:c>
      <x:c r="S115" s="47">
        <x:f>(180*(Ventas!AE117*0.9644) - IF(K115&gt;0,K115,0))</x:f>
      </x:c>
      <x:c r="T115" s="47">
        <x:f>IF(S115&gt;0,S115,0)</x:f>
      </x:c>
      <x:c r="U115" s="40"/>
      <x:c r="V115" s="40"/>
      <x:c r="W115" s="43"/>
      <x:c r="X115" s="43"/>
      <x:c r="Y115" s="47">
        <x:f>IF(K115&gt;0,K115+IF(T115&gt;0,T115,0),T115)</x:f>
      </x:c>
      <x:c r="Z115" s="40"/>
      <x:c r="AA115" s="43"/>
      <x:c r="AB115" s="50">
        <x:v>1.764</x:v>
      </x:c>
      <x:c r="AC115" s="8">
        <x:v>3022</x:v>
      </x:c>
      <x:c r="AD115" s="40"/>
      <x:c r="AE115" s="40"/>
      <x:c r="AF115" s="43"/>
      <x:c r="AG115" s="43"/>
      <x:c r="AH115" s="6"/>
      <x:c r="AI115" s="6"/>
      <x:c r="AJ115" s="40"/>
      <x:c r="AK115" s="40"/>
      <x:c r="AL115" s="43"/>
      <x:c r="AM115" s="43"/>
      <x:c r="AN115" s="55">
        <x:f>(IF(AH115&gt;0,AH115,0)+IF(AJ115&gt;0,AJ115,0)+IF(AL115&gt;0,AL115,0))</x:f>
      </x:c>
      <x:c r="AO115" s="56">
        <x:f>(((AI115*7)+(AK115*1)+(AM115*1))/8)</x:f>
      </x:c>
      <x:c r="AP115" s="4" t="s">
        <x:v>35</x:v>
      </x:c>
    </x:row>
    <x:row r="116">
      <x:c r="A116" s="4" t="s">
        <x:v>376</x:v>
      </x:c>
      <x:c r="B116" s="4" t="s">
        <x:v>375</x:v>
      </x:c>
      <x:c r="C116" s="38" t="s">
        <x:v>374</x:v>
      </x:c>
      <x:c r="D116" s="41"/>
      <x:c r="E116" s="44"/>
      <x:c r="F116" s="6"/>
      <x:c r="G116" s="40"/>
      <x:c r="H116" s="43"/>
      <x:c r="I116" s="45">
        <x:v>46313</x:v>
      </x:c>
      <x:c r="J116" s="46">
        <x:v>81</x:v>
      </x:c>
      <x:c r="K116" s="47">
        <x:f>(F116-(0)+0-(J116*Ventas!AE118*1.0556))</x:f>
      </x:c>
      <x:c r="L116" s="6"/>
      <x:c r="M116" s="51">
        <x:f>(G116+0)</x:f>
      </x:c>
      <x:c r="N116" s="40"/>
      <x:c r="O116" s="54">
        <x:f>(H116+0)</x:f>
      </x:c>
      <x:c r="P116" s="43"/>
      <x:c r="Q116" s="55">
        <x:f>(K116+M116+O116)</x:f>
      </x:c>
      <x:c r="R116" s="56">
        <x:f>(((L116*7)+(N116*1)+(P116*0))/8)</x:f>
      </x:c>
      <x:c r="S116" s="47">
        <x:f>(180*(Ventas!AE118*0.9644) - IF(K116&gt;0,K116,0))</x:f>
      </x:c>
      <x:c r="T116" s="47">
        <x:f>IF(S116&gt;0,S116,0)</x:f>
      </x:c>
      <x:c r="U116" s="40"/>
      <x:c r="V116" s="40"/>
      <x:c r="W116" s="43"/>
      <x:c r="X116" s="43"/>
      <x:c r="Y116" s="47">
        <x:f>IF(K116&gt;0,K116+IF(T116&gt;0,T116,0),T116)</x:f>
      </x:c>
      <x:c r="Z116" s="40"/>
      <x:c r="AA116" s="43"/>
      <x:c r="AB116" s="50">
        <x:v>2.4</x:v>
      </x:c>
      <x:c r="AC116" s="8">
        <x:v>3016</x:v>
      </x:c>
      <x:c r="AD116" s="40"/>
      <x:c r="AE116" s="40"/>
      <x:c r="AF116" s="43"/>
      <x:c r="AG116" s="43"/>
      <x:c r="AH116" s="6"/>
      <x:c r="AI116" s="6"/>
      <x:c r="AJ116" s="40"/>
      <x:c r="AK116" s="40"/>
      <x:c r="AL116" s="43"/>
      <x:c r="AM116" s="43"/>
      <x:c r="AN116" s="55">
        <x:f>(IF(AH116&gt;0,AH116,0)+IF(AJ116&gt;0,AJ116,0)+IF(AL116&gt;0,AL116,0))</x:f>
      </x:c>
      <x:c r="AO116" s="56">
        <x:f>(((AI116*7)+(AK116*1)+(AM116*1))/8)</x:f>
      </x:c>
      <x:c r="AP116" s="4" t="s">
        <x:v>35</x:v>
      </x:c>
    </x:row>
    <x:row r="117">
      <x:c r="A117" s="4" t="s">
        <x:v>379</x:v>
      </x:c>
      <x:c r="B117" s="4" t="s">
        <x:v>378</x:v>
      </x:c>
      <x:c r="C117" s="38" t="s">
        <x:v>377</x:v>
      </x:c>
      <x:c r="D117" s="41"/>
      <x:c r="E117" s="44"/>
      <x:c r="F117" s="6"/>
      <x:c r="G117" s="40"/>
      <x:c r="H117" s="43"/>
      <x:c r="I117" s="45">
        <x:v>46313</x:v>
      </x:c>
      <x:c r="J117" s="46">
        <x:v>81</x:v>
      </x:c>
      <x:c r="K117" s="47">
        <x:f>(F117-(0)+0-(J117*Ventas!AE119*1.0556))</x:f>
      </x:c>
      <x:c r="L117" s="6"/>
      <x:c r="M117" s="51">
        <x:f>(G117+0)</x:f>
      </x:c>
      <x:c r="N117" s="40"/>
      <x:c r="O117" s="54">
        <x:f>(H117+0)</x:f>
      </x:c>
      <x:c r="P117" s="43"/>
      <x:c r="Q117" s="55">
        <x:f>(K117+M117+O117)</x:f>
      </x:c>
      <x:c r="R117" s="56">
        <x:f>(((L117*7)+(N117*1)+(P117*0))/8)</x:f>
      </x:c>
      <x:c r="S117" s="47">
        <x:f>(180*(Ventas!AE119*0.9644) - IF(K117&gt;0,K117,0))</x:f>
      </x:c>
      <x:c r="T117" s="47">
        <x:f>IF(S117&gt;0,S117,0)</x:f>
      </x:c>
      <x:c r="U117" s="40"/>
      <x:c r="V117" s="40"/>
      <x:c r="W117" s="43"/>
      <x:c r="X117" s="43"/>
      <x:c r="Y117" s="47">
        <x:f>IF(K117&gt;0,K117+IF(T117&gt;0,T117,0),T117)</x:f>
      </x:c>
      <x:c r="Z117" s="40"/>
      <x:c r="AA117" s="43"/>
      <x:c r="AB117" s="50">
        <x:v>1.8538</x:v>
      </x:c>
      <x:c r="AC117" s="8">
        <x:v>3022</x:v>
      </x:c>
      <x:c r="AD117" s="40"/>
      <x:c r="AE117" s="40"/>
      <x:c r="AF117" s="43"/>
      <x:c r="AG117" s="43"/>
      <x:c r="AH117" s="6"/>
      <x:c r="AI117" s="6"/>
      <x:c r="AJ117" s="40"/>
      <x:c r="AK117" s="40"/>
      <x:c r="AL117" s="43"/>
      <x:c r="AM117" s="43"/>
      <x:c r="AN117" s="55">
        <x:f>(IF(AH117&gt;0,AH117,0)+IF(AJ117&gt;0,AJ117,0)+IF(AL117&gt;0,AL117,0))</x:f>
      </x:c>
      <x:c r="AO117" s="56">
        <x:f>(((AI117*7)+(AK117*1)+(AM117*1))/8)</x:f>
      </x:c>
      <x:c r="AP117" s="4" t="s">
        <x:v>35</x:v>
      </x:c>
    </x:row>
    <x:row r="118">
      <x:c r="A118" s="4" t="s">
        <x:v>382</x:v>
      </x:c>
      <x:c r="B118" s="4" t="s">
        <x:v>381</x:v>
      </x:c>
      <x:c r="C118" s="38" t="s">
        <x:v>380</x:v>
      </x:c>
      <x:c r="D118" s="41" t="s">
        <x:v>1551</x:v>
      </x:c>
      <x:c r="E118" s="44"/>
      <x:c r="F118" s="6"/>
      <x:c r="G118" s="40"/>
      <x:c r="H118" s="43"/>
      <x:c r="I118" s="45">
        <x:v>46313</x:v>
      </x:c>
      <x:c r="J118" s="46">
        <x:v>81</x:v>
      </x:c>
      <x:c r="K118" s="47">
        <x:f>(F118-(0)+0-(J118*Ventas!AE120*1.0556))</x:f>
      </x:c>
      <x:c r="L118" s="6"/>
      <x:c r="M118" s="51">
        <x:f>(G118-(0)+0-(J118*Ventas!AE518*1.0556))</x:f>
      </x:c>
      <x:c r="N118" s="40"/>
      <x:c r="O118" s="54">
        <x:f>(H118+0)</x:f>
      </x:c>
      <x:c r="P118" s="43"/>
      <x:c r="Q118" s="55">
        <x:f>(K118+M118+O118)</x:f>
      </x:c>
      <x:c r="R118" s="56">
        <x:f>(((L118*7)+(N118*1)+(P118*0))/8)</x:f>
      </x:c>
      <x:c r="S118" s="47">
        <x:f>(180*(Ventas!AE120*0.9644) - IF(K118&gt;0,K118,0))</x:f>
      </x:c>
      <x:c r="T118" s="47">
        <x:f>IF(S118&gt;0,S118,0)</x:f>
      </x:c>
      <x:c r="U118" s="51">
        <x:f>(180*(Ventas!AE518*0.9644) - IF(M118&gt;0,M118,0))</x:f>
      </x:c>
      <x:c r="V118" s="51">
        <x:f>IF(U118&gt;0,U118,0)</x:f>
      </x:c>
      <x:c r="W118" s="43"/>
      <x:c r="X118" s="43"/>
      <x:c r="Y118" s="47">
        <x:f>IF(K118&gt;0,K118+IF(T118&gt;0,T118,0),T118)</x:f>
      </x:c>
      <x:c r="Z118" s="51">
        <x:f>IF(M118&gt;0,M118+IF(V118&gt;0,V118,0),V118)</x:f>
      </x:c>
      <x:c r="AA118" s="43"/>
      <x:c r="AB118" s="50">
        <x:v>8</x:v>
      </x:c>
      <x:c r="AC118" s="8">
        <x:v>3022</x:v>
      </x:c>
      <x:c r="AD118" s="40"/>
      <x:c r="AE118" s="40"/>
      <x:c r="AF118" s="43"/>
      <x:c r="AG118" s="43"/>
      <x:c r="AH118" s="6"/>
      <x:c r="AI118" s="6"/>
      <x:c r="AJ118" s="40"/>
      <x:c r="AK118" s="40"/>
      <x:c r="AL118" s="43"/>
      <x:c r="AM118" s="43"/>
      <x:c r="AN118" s="55">
        <x:f>(IF(AH118&gt;0,AH118,0)+IF(AJ118&gt;0,AJ118,0)+IF(AL118&gt;0,AL118,0))</x:f>
      </x:c>
      <x:c r="AO118" s="56">
        <x:f>(((AI118*7)+(AK118*1)+(AM118*1))/8)</x:f>
      </x:c>
      <x:c r="AP118" s="4" t="s">
        <x:v>51</x:v>
      </x:c>
    </x:row>
    <x:row r="119">
      <x:c r="A119" s="4" t="s">
        <x:v>385</x:v>
      </x:c>
      <x:c r="B119" s="4" t="s">
        <x:v>384</x:v>
      </x:c>
      <x:c r="C119" s="38" t="s">
        <x:v>383</x:v>
      </x:c>
      <x:c r="D119" s="41"/>
      <x:c r="E119" s="44"/>
      <x:c r="F119" s="8">
        <x:v>6</x:v>
      </x:c>
      <x:c r="G119" s="40"/>
      <x:c r="H119" s="43"/>
      <x:c r="I119" s="45">
        <x:v>46313</x:v>
      </x:c>
      <x:c r="J119" s="46">
        <x:v>81</x:v>
      </x:c>
      <x:c r="K119" s="47">
        <x:f>(F119-(0)+0-(J119*Ventas!AE121*1.0556))</x:f>
      </x:c>
      <x:c r="L119" s="6"/>
      <x:c r="M119" s="51">
        <x:f>(G119+0)</x:f>
      </x:c>
      <x:c r="N119" s="40"/>
      <x:c r="O119" s="54">
        <x:f>(H119+0)</x:f>
      </x:c>
      <x:c r="P119" s="43"/>
      <x:c r="Q119" s="55">
        <x:f>(K119+M119+O119)</x:f>
      </x:c>
      <x:c r="R119" s="56">
        <x:f>(((L119*7)+(N119*1)+(P119*0))/8)</x:f>
      </x:c>
      <x:c r="S119" s="47">
        <x:f>(180*(Ventas!AE121*0.9644) - IF(K119&gt;0,K119,0))</x:f>
      </x:c>
      <x:c r="T119" s="47">
        <x:f>IF(S119&gt;0,S119,0)</x:f>
      </x:c>
      <x:c r="U119" s="40"/>
      <x:c r="V119" s="40"/>
      <x:c r="W119" s="43"/>
      <x:c r="X119" s="43"/>
      <x:c r="Y119" s="47">
        <x:f>IF(K119&gt;0,K119+IF(T119&gt;0,T119,0),T119)</x:f>
      </x:c>
      <x:c r="Z119" s="40"/>
      <x:c r="AA119" s="43"/>
      <x:c r="AB119" s="50">
        <x:v>4.2226</x:v>
      </x:c>
      <x:c r="AC119" s="8">
        <x:v>3016</x:v>
      </x:c>
      <x:c r="AD119" s="40"/>
      <x:c r="AE119" s="40"/>
      <x:c r="AF119" s="43"/>
      <x:c r="AG119" s="43"/>
      <x:c r="AH119" s="6"/>
      <x:c r="AI119" s="6"/>
      <x:c r="AJ119" s="40"/>
      <x:c r="AK119" s="40"/>
      <x:c r="AL119" s="43"/>
      <x:c r="AM119" s="43"/>
      <x:c r="AN119" s="55">
        <x:f>(IF(AH119&gt;0,AH119,0)+IF(AJ119&gt;0,AJ119,0)+IF(AL119&gt;0,AL119,0))</x:f>
      </x:c>
      <x:c r="AO119" s="56">
        <x:f>(((AI119*7)+(AK119*1)+(AM119*1))/8)</x:f>
      </x:c>
      <x:c r="AP119" s="4" t="s">
        <x:v>35</x:v>
      </x:c>
    </x:row>
    <x:row r="120">
      <x:c r="A120" s="4" t="s">
        <x:v>388</x:v>
      </x:c>
      <x:c r="B120" s="4" t="s">
        <x:v>387</x:v>
      </x:c>
      <x:c r="C120" s="38" t="s">
        <x:v>386</x:v>
      </x:c>
      <x:c r="D120" s="41"/>
      <x:c r="E120" s="44"/>
      <x:c r="F120" s="6"/>
      <x:c r="G120" s="40"/>
      <x:c r="H120" s="43"/>
      <x:c r="I120" s="45">
        <x:v>46313</x:v>
      </x:c>
      <x:c r="J120" s="46">
        <x:v>81</x:v>
      </x:c>
      <x:c r="K120" s="47">
        <x:f>(F120-(0)+0-(J120*Ventas!AE122*1.0556))</x:f>
      </x:c>
      <x:c r="L120" s="6"/>
      <x:c r="M120" s="51">
        <x:f>(G120+0)</x:f>
      </x:c>
      <x:c r="N120" s="40"/>
      <x:c r="O120" s="54">
        <x:f>(H120+0)</x:f>
      </x:c>
      <x:c r="P120" s="43"/>
      <x:c r="Q120" s="55">
        <x:f>(K120+M120+O120)</x:f>
      </x:c>
      <x:c r="R120" s="56">
        <x:f>(((L120*7)+(N120*1)+(P120*0))/8)</x:f>
      </x:c>
      <x:c r="S120" s="47">
        <x:f>(180*(Ventas!AE122*0.9644) - IF(K120&gt;0,K120,0))</x:f>
      </x:c>
      <x:c r="T120" s="47">
        <x:f>IF(S120&gt;0,S120,0)</x:f>
      </x:c>
      <x:c r="U120" s="40"/>
      <x:c r="V120" s="40"/>
      <x:c r="W120" s="43"/>
      <x:c r="X120" s="43"/>
      <x:c r="Y120" s="47">
        <x:f>IF(K120&gt;0,K120+IF(T120&gt;0,T120,0),T120)</x:f>
      </x:c>
      <x:c r="Z120" s="40"/>
      <x:c r="AA120" s="43"/>
      <x:c r="AB120" s="6"/>
      <x:c r="AC120" s="6"/>
      <x:c r="AD120" s="40"/>
      <x:c r="AE120" s="40"/>
      <x:c r="AF120" s="43"/>
      <x:c r="AG120" s="43"/>
      <x:c r="AH120" s="6"/>
      <x:c r="AI120" s="6"/>
      <x:c r="AJ120" s="40"/>
      <x:c r="AK120" s="40"/>
      <x:c r="AL120" s="43"/>
      <x:c r="AM120" s="43"/>
      <x:c r="AN120" s="55">
        <x:f>(IF(AH120&gt;0,AH120,0)+IF(AJ120&gt;0,AJ120,0)+IF(AL120&gt;0,AL120,0))</x:f>
      </x:c>
      <x:c r="AO120" s="56">
        <x:f>(((AI120*7)+(AK120*1)+(AM120*1))/8)</x:f>
      </x:c>
      <x:c r="AP120" s="4" t="s">
        <x:v>51</x:v>
      </x:c>
    </x:row>
    <x:row r="121">
      <x:c r="A121" s="4" t="s">
        <x:v>391</x:v>
      </x:c>
      <x:c r="B121" s="4" t="s">
        <x:v>390</x:v>
      </x:c>
      <x:c r="C121" s="38" t="s">
        <x:v>389</x:v>
      </x:c>
      <x:c r="D121" s="41"/>
      <x:c r="E121" s="44"/>
      <x:c r="F121" s="6"/>
      <x:c r="G121" s="40"/>
      <x:c r="H121" s="43"/>
      <x:c r="I121" s="45">
        <x:v>46313</x:v>
      </x:c>
      <x:c r="J121" s="46">
        <x:v>81</x:v>
      </x:c>
      <x:c r="K121" s="47">
        <x:f>(F121-(0)+0-(J121*Ventas!AE123*1.0556))</x:f>
      </x:c>
      <x:c r="L121" s="6"/>
      <x:c r="M121" s="51">
        <x:f>(G121+0)</x:f>
      </x:c>
      <x:c r="N121" s="40"/>
      <x:c r="O121" s="54">
        <x:f>(H121+0)</x:f>
      </x:c>
      <x:c r="P121" s="43"/>
      <x:c r="Q121" s="55">
        <x:f>(K121+M121+O121)</x:f>
      </x:c>
      <x:c r="R121" s="56">
        <x:f>(((L121*7)+(N121*1)+(P121*0))/8)</x:f>
      </x:c>
      <x:c r="S121" s="47">
        <x:f>(180*(Ventas!AE123*0.9644) - IF(K121&gt;0,K121,0))</x:f>
      </x:c>
      <x:c r="T121" s="47">
        <x:f>IF(S121&gt;0,S121,0)</x:f>
      </x:c>
      <x:c r="U121" s="40"/>
      <x:c r="V121" s="40"/>
      <x:c r="W121" s="43"/>
      <x:c r="X121" s="43"/>
      <x:c r="Y121" s="47">
        <x:f>IF(K121&gt;0,K121+IF(T121&gt;0,T121,0),T121)</x:f>
      </x:c>
      <x:c r="Z121" s="40"/>
      <x:c r="AA121" s="43"/>
      <x:c r="AB121" s="6"/>
      <x:c r="AC121" s="6"/>
      <x:c r="AD121" s="40"/>
      <x:c r="AE121" s="40"/>
      <x:c r="AF121" s="43"/>
      <x:c r="AG121" s="43"/>
      <x:c r="AH121" s="6"/>
      <x:c r="AI121" s="6"/>
      <x:c r="AJ121" s="40"/>
      <x:c r="AK121" s="40"/>
      <x:c r="AL121" s="43"/>
      <x:c r="AM121" s="43"/>
      <x:c r="AN121" s="55">
        <x:f>(IF(AH121&gt;0,AH121,0)+IF(AJ121&gt;0,AJ121,0)+IF(AL121&gt;0,AL121,0))</x:f>
      </x:c>
      <x:c r="AO121" s="56">
        <x:f>(((AI121*7)+(AK121*1)+(AM121*1))/8)</x:f>
      </x:c>
      <x:c r="AP121" s="4" t="s">
        <x:v>51</x:v>
      </x:c>
    </x:row>
    <x:row r="122">
      <x:c r="A122" s="4" t="s">
        <x:v>394</x:v>
      </x:c>
      <x:c r="B122" s="4" t="s">
        <x:v>393</x:v>
      </x:c>
      <x:c r="C122" s="38" t="s">
        <x:v>392</x:v>
      </x:c>
      <x:c r="D122" s="41" t="s">
        <x:v>1553</x:v>
      </x:c>
      <x:c r="E122" s="44"/>
      <x:c r="F122" s="6"/>
      <x:c r="G122" s="40"/>
      <x:c r="H122" s="43"/>
      <x:c r="I122" s="45">
        <x:v>46313</x:v>
      </x:c>
      <x:c r="J122" s="46">
        <x:v>81</x:v>
      </x:c>
      <x:c r="K122" s="47">
        <x:f>(F122-(0)+0-(J122*Ventas!AE124*1.0556))</x:f>
      </x:c>
      <x:c r="L122" s="6"/>
      <x:c r="M122" s="51">
        <x:f>(G122-(0)+0-(J122*Ventas!AE519*1.0556))</x:f>
      </x:c>
      <x:c r="N122" s="40"/>
      <x:c r="O122" s="54">
        <x:f>(H122+0)</x:f>
      </x:c>
      <x:c r="P122" s="43"/>
      <x:c r="Q122" s="55">
        <x:f>(K122+M122+O122)</x:f>
      </x:c>
      <x:c r="R122" s="56">
        <x:f>(((L122*7)+(N122*1)+(P122*0))/8)</x:f>
      </x:c>
      <x:c r="S122" s="47">
        <x:f>(180*(Ventas!AE124*0.9644) - IF(K122&gt;0,K122,0))</x:f>
      </x:c>
      <x:c r="T122" s="47">
        <x:f>IF(S122&gt;0,S122,0)</x:f>
      </x:c>
      <x:c r="U122" s="51">
        <x:f>(180*(Ventas!AE519*0.9644) - IF(M122&gt;0,M122,0))</x:f>
      </x:c>
      <x:c r="V122" s="51">
        <x:f>IF(U122&gt;0,U122,0)</x:f>
      </x:c>
      <x:c r="W122" s="43"/>
      <x:c r="X122" s="43"/>
      <x:c r="Y122" s="47">
        <x:f>IF(K122&gt;0,K122+IF(T122&gt;0,T122,0),T122)</x:f>
      </x:c>
      <x:c r="Z122" s="51">
        <x:f>IF(M122&gt;0,M122+IF(V122&gt;0,V122,0),V122)</x:f>
      </x:c>
      <x:c r="AA122" s="43"/>
      <x:c r="AB122" s="50">
        <x:v>7.36</x:v>
      </x:c>
      <x:c r="AC122" s="8">
        <x:v>3013</x:v>
      </x:c>
      <x:c r="AD122" s="40"/>
      <x:c r="AE122" s="40"/>
      <x:c r="AF122" s="43"/>
      <x:c r="AG122" s="43"/>
      <x:c r="AH122" s="6"/>
      <x:c r="AI122" s="6"/>
      <x:c r="AJ122" s="40"/>
      <x:c r="AK122" s="40"/>
      <x:c r="AL122" s="43"/>
      <x:c r="AM122" s="43"/>
      <x:c r="AN122" s="55">
        <x:f>(IF(AH122&gt;0,AH122,0)+IF(AJ122&gt;0,AJ122,0)+IF(AL122&gt;0,AL122,0))</x:f>
      </x:c>
      <x:c r="AO122" s="56">
        <x:f>(((AI122*7)+(AK122*1)+(AM122*1))/8)</x:f>
      </x:c>
      <x:c r="AP122" s="4" t="s">
        <x:v>51</x:v>
      </x:c>
    </x:row>
    <x:row r="123">
      <x:c r="A123" s="4" t="s">
        <x:v>400</x:v>
      </x:c>
      <x:c r="B123" s="4" t="s">
        <x:v>399</x:v>
      </x:c>
      <x:c r="C123" s="38" t="s">
        <x:v>398</x:v>
      </x:c>
      <x:c r="D123" s="41" t="s">
        <x:v>1558</x:v>
      </x:c>
      <x:c r="E123" s="44"/>
      <x:c r="F123" s="8">
        <x:v>98</x:v>
      </x:c>
      <x:c r="G123" s="57">
        <x:v>5</x:v>
      </x:c>
      <x:c r="H123" s="43"/>
      <x:c r="I123" s="45">
        <x:v>46313</x:v>
      </x:c>
      <x:c r="J123" s="46">
        <x:v>81</x:v>
      </x:c>
      <x:c r="K123" s="47">
        <x:f>(F123-(0)+0-(J123*Ventas!AE126*1.0556))</x:f>
      </x:c>
      <x:c r="L123" s="49">
        <x:f>(K123/(Ventas!AE126*1.0556)/80)</x:f>
      </x:c>
      <x:c r="M123" s="51">
        <x:f>(G123-(0)+0-(J123*Ventas!AE521*1.0556))</x:f>
      </x:c>
      <x:c r="N123" s="52">
        <x:f>(M123/(Ventas!AE521*1.0556)/85)</x:f>
      </x:c>
      <x:c r="O123" s="54">
        <x:f>(H123+0)</x:f>
      </x:c>
      <x:c r="P123" s="43"/>
      <x:c r="Q123" s="55">
        <x:f>(K123+M123+O123)</x:f>
      </x:c>
      <x:c r="R123" s="56">
        <x:f>(((L123*7)+(N123*1)+(P123*0))/8)</x:f>
      </x:c>
      <x:c r="S123" s="47">
        <x:f>(180*(Ventas!AE126*0.9644) - IF(K123&gt;0,K123,0))</x:f>
      </x:c>
      <x:c r="T123" s="47">
        <x:f>IF(S123&gt;0,S123,0)</x:f>
      </x:c>
      <x:c r="U123" s="51">
        <x:f>(180*(Ventas!AE521*0.9644) - IF(M123&gt;0,M123,0))</x:f>
      </x:c>
      <x:c r="V123" s="51">
        <x:f>IF(U123&gt;0,U123,0)</x:f>
      </x:c>
      <x:c r="W123" s="43"/>
      <x:c r="X123" s="43"/>
      <x:c r="Y123" s="47">
        <x:f>IF(K123&gt;0,K123+IF(T123&gt;0,T123,0),T123)</x:f>
      </x:c>
      <x:c r="Z123" s="51">
        <x:f>IF(M123&gt;0,M123+IF(V123&gt;0,V123,0),V123)</x:f>
      </x:c>
      <x:c r="AA123" s="43"/>
      <x:c r="AB123" s="50">
        <x:v>2.25</x:v>
      </x:c>
      <x:c r="AC123" s="8">
        <x:v>3016</x:v>
      </x:c>
      <x:c r="AD123" s="53">
        <x:v>2.45</x:v>
      </x:c>
      <x:c r="AE123" s="40"/>
      <x:c r="AF123" s="43"/>
      <x:c r="AG123" s="43"/>
      <x:c r="AH123" s="47">
        <x:f>(Y123-(90*Ventas!AE126*0.9644))</x:f>
      </x:c>
      <x:c r="AI123" s="49">
        <x:f>(AH123/(Ventas!AE126*0.9644)/80)</x:f>
      </x:c>
      <x:c r="AJ123" s="51">
        <x:f>(Z123-(90*Ventas!AE521*0.9644))</x:f>
      </x:c>
      <x:c r="AK123" s="52">
        <x:f>(AJ123/(Ventas!AE521*0.9644)/85)</x:f>
      </x:c>
      <x:c r="AL123" s="43"/>
      <x:c r="AM123" s="43"/>
      <x:c r="AN123" s="55">
        <x:f>(IF(AH123&gt;0,AH123,0)+IF(AJ123&gt;0,AJ123,0)+IF(AL123&gt;0,AL123,0))</x:f>
      </x:c>
      <x:c r="AO123" s="56">
        <x:f>(((AI123*7)+(AK123*1)+(AM123*1))/8)</x:f>
      </x:c>
      <x:c r="AP123" s="4" t="s">
        <x:v>35</x:v>
      </x:c>
    </x:row>
    <x:row r="124">
      <x:c r="A124" s="4"/>
      <x:c r="B124" s="4" t="s">
        <x:v>402</x:v>
      </x:c>
      <x:c r="C124" s="38" t="s">
        <x:v>401</x:v>
      </x:c>
      <x:c r="D124" s="41"/>
      <x:c r="E124" s="44"/>
      <x:c r="F124" s="6"/>
      <x:c r="G124" s="40"/>
      <x:c r="H124" s="43"/>
      <x:c r="I124" s="45">
        <x:v>46313</x:v>
      </x:c>
      <x:c r="J124" s="46">
        <x:v>81</x:v>
      </x:c>
      <x:c r="K124" s="47">
        <x:f>(F124-(0)+0-(J124*Ventas!AE127*1.0556))</x:f>
      </x:c>
      <x:c r="L124" s="6"/>
      <x:c r="M124" s="51">
        <x:f>(G124+0)</x:f>
      </x:c>
      <x:c r="N124" s="40"/>
      <x:c r="O124" s="54">
        <x:f>(H124+0)</x:f>
      </x:c>
      <x:c r="P124" s="43"/>
      <x:c r="Q124" s="55">
        <x:f>(K124+M124+O124)</x:f>
      </x:c>
      <x:c r="R124" s="56">
        <x:f>(((L124*7)+(N124*1)+(P124*0))/8)</x:f>
      </x:c>
      <x:c r="S124" s="47">
        <x:f>(180*(Ventas!AE127*0.9644) - IF(K124&gt;0,K124,0))</x:f>
      </x:c>
      <x:c r="T124" s="47">
        <x:f>IF(S124&gt;0,S124,0)</x:f>
      </x:c>
      <x:c r="U124" s="40"/>
      <x:c r="V124" s="40"/>
      <x:c r="W124" s="43"/>
      <x:c r="X124" s="43"/>
      <x:c r="Y124" s="47">
        <x:f>IF(K124&gt;0,K124+IF(T124&gt;0,T124,0),T124)</x:f>
      </x:c>
      <x:c r="Z124" s="40"/>
      <x:c r="AA124" s="43"/>
      <x:c r="AB124" s="6"/>
      <x:c r="AC124" s="6"/>
      <x:c r="AD124" s="40"/>
      <x:c r="AE124" s="40"/>
      <x:c r="AF124" s="43"/>
      <x:c r="AG124" s="43"/>
      <x:c r="AH124" s="6"/>
      <x:c r="AI124" s="6"/>
      <x:c r="AJ124" s="40"/>
      <x:c r="AK124" s="40"/>
      <x:c r="AL124" s="43"/>
      <x:c r="AM124" s="43"/>
      <x:c r="AN124" s="55">
        <x:f>(IF(AH124&gt;0,AH124,0)+IF(AJ124&gt;0,AJ124,0)+IF(AL124&gt;0,AL124,0))</x:f>
      </x:c>
      <x:c r="AO124" s="56">
        <x:f>(((AI124*7)+(AK124*1)+(AM124*1))/8)</x:f>
      </x:c>
      <x:c r="AP124" s="4" t="s">
        <x:v>51</x:v>
      </x:c>
    </x:row>
    <x:row r="125">
      <x:c r="A125" s="4" t="s">
        <x:v>405</x:v>
      </x:c>
      <x:c r="B125" s="4" t="s">
        <x:v>404</x:v>
      </x:c>
      <x:c r="C125" s="38" t="s">
        <x:v>403</x:v>
      </x:c>
      <x:c r="D125" s="41"/>
      <x:c r="E125" s="44"/>
      <x:c r="F125" s="6"/>
      <x:c r="G125" s="40"/>
      <x:c r="H125" s="43"/>
      <x:c r="I125" s="45">
        <x:v>46313</x:v>
      </x:c>
      <x:c r="J125" s="46">
        <x:v>81</x:v>
      </x:c>
      <x:c r="K125" s="47">
        <x:f>(F125-(0)+0-(J125*Ventas!AE128*1.0556))</x:f>
      </x:c>
      <x:c r="L125" s="6"/>
      <x:c r="M125" s="51">
        <x:f>(G125+0)</x:f>
      </x:c>
      <x:c r="N125" s="40"/>
      <x:c r="O125" s="54">
        <x:f>(H125+0)</x:f>
      </x:c>
      <x:c r="P125" s="43"/>
      <x:c r="Q125" s="55">
        <x:f>(K125+M125+O125)</x:f>
      </x:c>
      <x:c r="R125" s="56">
        <x:f>(((L125*7)+(N125*1)+(P125*0))/8)</x:f>
      </x:c>
      <x:c r="S125" s="47">
        <x:f>(180*(Ventas!AE128*0.9644) - IF(K125&gt;0,K125,0))</x:f>
      </x:c>
      <x:c r="T125" s="47">
        <x:f>IF(S125&gt;0,S125,0)</x:f>
      </x:c>
      <x:c r="U125" s="40"/>
      <x:c r="V125" s="40"/>
      <x:c r="W125" s="43"/>
      <x:c r="X125" s="43"/>
      <x:c r="Y125" s="47">
        <x:f>IF(K125&gt;0,K125+IF(T125&gt;0,T125,0),T125)</x:f>
      </x:c>
      <x:c r="Z125" s="40"/>
      <x:c r="AA125" s="43"/>
      <x:c r="AB125" s="50">
        <x:v>9.05</x:v>
      </x:c>
      <x:c r="AC125" s="8">
        <x:v>3006</x:v>
      </x:c>
      <x:c r="AD125" s="40"/>
      <x:c r="AE125" s="40"/>
      <x:c r="AF125" s="43"/>
      <x:c r="AG125" s="43"/>
      <x:c r="AH125" s="6"/>
      <x:c r="AI125" s="6"/>
      <x:c r="AJ125" s="40"/>
      <x:c r="AK125" s="40"/>
      <x:c r="AL125" s="43"/>
      <x:c r="AM125" s="43"/>
      <x:c r="AN125" s="55">
        <x:f>(IF(AH125&gt;0,AH125,0)+IF(AJ125&gt;0,AJ125,0)+IF(AL125&gt;0,AL125,0))</x:f>
      </x:c>
      <x:c r="AO125" s="56">
        <x:f>(((AI125*7)+(AK125*1)+(AM125*1))/8)</x:f>
      </x:c>
      <x:c r="AP125" s="4" t="s">
        <x:v>51</x:v>
      </x:c>
    </x:row>
    <x:row r="126">
      <x:c r="A126" s="4" t="s">
        <x:v>408</x:v>
      </x:c>
      <x:c r="B126" s="4" t="s">
        <x:v>407</x:v>
      </x:c>
      <x:c r="C126" s="38" t="s">
        <x:v>406</x:v>
      </x:c>
      <x:c r="D126" s="41"/>
      <x:c r="E126" s="44"/>
      <x:c r="F126" s="8">
        <x:v>14</x:v>
      </x:c>
      <x:c r="G126" s="40"/>
      <x:c r="H126" s="43"/>
      <x:c r="I126" s="45">
        <x:v>46313</x:v>
      </x:c>
      <x:c r="J126" s="46">
        <x:v>81</x:v>
      </x:c>
      <x:c r="K126" s="47">
        <x:f>(F126-(0)+0-(J126*Ventas!AE129*1.0556))</x:f>
      </x:c>
      <x:c r="L126" s="49">
        <x:f>(K126/(Ventas!AE129*1.0556)/80)</x:f>
      </x:c>
      <x:c r="M126" s="51">
        <x:f>(G126+0)</x:f>
      </x:c>
      <x:c r="N126" s="40"/>
      <x:c r="O126" s="54">
        <x:f>(H126+0)</x:f>
      </x:c>
      <x:c r="P126" s="43"/>
      <x:c r="Q126" s="55">
        <x:f>(K126+M126+O126)</x:f>
      </x:c>
      <x:c r="R126" s="56">
        <x:f>(((L126*7)+(N126*1)+(P126*0))/8)</x:f>
      </x:c>
      <x:c r="S126" s="47">
        <x:f>(180*(Ventas!AE129*0.9644) - IF(K126&gt;0,K126,0))</x:f>
      </x:c>
      <x:c r="T126" s="47">
        <x:f>IF(S126&gt;0,S126,0)</x:f>
      </x:c>
      <x:c r="U126" s="40"/>
      <x:c r="V126" s="40"/>
      <x:c r="W126" s="43"/>
      <x:c r="X126" s="43"/>
      <x:c r="Y126" s="47">
        <x:f>IF(K126&gt;0,K126+IF(T126&gt;0,T126,0),T126)</x:f>
      </x:c>
      <x:c r="Z126" s="40"/>
      <x:c r="AA126" s="43"/>
      <x:c r="AB126" s="50">
        <x:v>6</x:v>
      </x:c>
      <x:c r="AC126" s="8">
        <x:v>3016</x:v>
      </x:c>
      <x:c r="AD126" s="40"/>
      <x:c r="AE126" s="40"/>
      <x:c r="AF126" s="43"/>
      <x:c r="AG126" s="43"/>
      <x:c r="AH126" s="47">
        <x:f>(Y126-(90*Ventas!AE129*0.9644))</x:f>
      </x:c>
      <x:c r="AI126" s="49">
        <x:f>(AH126/(Ventas!AE129*0.9644)/80)</x:f>
      </x:c>
      <x:c r="AJ126" s="40"/>
      <x:c r="AK126" s="40"/>
      <x:c r="AL126" s="43"/>
      <x:c r="AM126" s="43"/>
      <x:c r="AN126" s="55">
        <x:f>(IF(AH126&gt;0,AH126,0)+IF(AJ126&gt;0,AJ126,0)+IF(AL126&gt;0,AL126,0))</x:f>
      </x:c>
      <x:c r="AO126" s="56">
        <x:f>(((AI126*7)+(AK126*1)+(AM126*1))/8)</x:f>
      </x:c>
      <x:c r="AP126" s="4" t="s">
        <x:v>35</x:v>
      </x:c>
    </x:row>
    <x:row r="127">
      <x:c r="A127" s="4" t="s">
        <x:v>411</x:v>
      </x:c>
      <x:c r="B127" s="4" t="s">
        <x:v>410</x:v>
      </x:c>
      <x:c r="C127" s="38" t="s">
        <x:v>409</x:v>
      </x:c>
      <x:c r="D127" s="41"/>
      <x:c r="E127" s="44"/>
      <x:c r="F127" s="6"/>
      <x:c r="G127" s="40"/>
      <x:c r="H127" s="43"/>
      <x:c r="I127" s="45">
        <x:v>46313</x:v>
      </x:c>
      <x:c r="J127" s="46">
        <x:v>81</x:v>
      </x:c>
      <x:c r="K127" s="47">
        <x:f>(F127-(0)+0-(J127*Ventas!AE130*1.0556))</x:f>
      </x:c>
      <x:c r="L127" s="6"/>
      <x:c r="M127" s="51">
        <x:f>(G127+0)</x:f>
      </x:c>
      <x:c r="N127" s="40"/>
      <x:c r="O127" s="54">
        <x:f>(H127+0)</x:f>
      </x:c>
      <x:c r="P127" s="43"/>
      <x:c r="Q127" s="55">
        <x:f>(K127+M127+O127)</x:f>
      </x:c>
      <x:c r="R127" s="56">
        <x:f>(((L127*7)+(N127*1)+(P127*0))/8)</x:f>
      </x:c>
      <x:c r="S127" s="47">
        <x:f>(180*(Ventas!AE130*0.9644) - IF(K127&gt;0,K127,0))</x:f>
      </x:c>
      <x:c r="T127" s="47">
        <x:f>IF(S127&gt;0,S127,0)</x:f>
      </x:c>
      <x:c r="U127" s="40"/>
      <x:c r="V127" s="40"/>
      <x:c r="W127" s="43"/>
      <x:c r="X127" s="43"/>
      <x:c r="Y127" s="47">
        <x:f>IF(K127&gt;0,K127+IF(T127&gt;0,T127,0),T127)</x:f>
      </x:c>
      <x:c r="Z127" s="40"/>
      <x:c r="AA127" s="43"/>
      <x:c r="AB127" s="50">
        <x:v>7.54</x:v>
      </x:c>
      <x:c r="AC127" s="8">
        <x:v>3013</x:v>
      </x:c>
      <x:c r="AD127" s="40"/>
      <x:c r="AE127" s="40"/>
      <x:c r="AF127" s="43"/>
      <x:c r="AG127" s="43"/>
      <x:c r="AH127" s="6"/>
      <x:c r="AI127" s="6"/>
      <x:c r="AJ127" s="40"/>
      <x:c r="AK127" s="40"/>
      <x:c r="AL127" s="43"/>
      <x:c r="AM127" s="43"/>
      <x:c r="AN127" s="55">
        <x:f>(IF(AH127&gt;0,AH127,0)+IF(AJ127&gt;0,AJ127,0)+IF(AL127&gt;0,AL127,0))</x:f>
      </x:c>
      <x:c r="AO127" s="56">
        <x:f>(((AI127*7)+(AK127*1)+(AM127*1))/8)</x:f>
      </x:c>
      <x:c r="AP127" s="4" t="s">
        <x:v>51</x:v>
      </x:c>
    </x:row>
    <x:row r="128">
      <x:c r="A128" s="4" t="s">
        <x:v>414</x:v>
      </x:c>
      <x:c r="B128" s="4" t="s">
        <x:v>413</x:v>
      </x:c>
      <x:c r="C128" s="38" t="s">
        <x:v>412</x:v>
      </x:c>
      <x:c r="D128" s="41" t="s">
        <x:v>1560</x:v>
      </x:c>
      <x:c r="E128" s="44"/>
      <x:c r="F128" s="8">
        <x:v>77</x:v>
      </x:c>
      <x:c r="G128" s="40"/>
      <x:c r="H128" s="43"/>
      <x:c r="I128" s="45">
        <x:v>46313</x:v>
      </x:c>
      <x:c r="J128" s="46">
        <x:v>81</x:v>
      </x:c>
      <x:c r="K128" s="47">
        <x:f>(F128-(0)+0-(J128*Ventas!AE131*1.0556))</x:f>
      </x:c>
      <x:c r="L128" s="49">
        <x:f>(K128/(Ventas!AE131*1.0556)/80)</x:f>
      </x:c>
      <x:c r="M128" s="51">
        <x:f>(G128-(0)+0-(J128*Ventas!AE522*1.0556))</x:f>
      </x:c>
      <x:c r="N128" s="40"/>
      <x:c r="O128" s="54">
        <x:f>(H128+0)</x:f>
      </x:c>
      <x:c r="P128" s="43"/>
      <x:c r="Q128" s="55">
        <x:f>(K128+M128+O128)</x:f>
      </x:c>
      <x:c r="R128" s="56">
        <x:f>(((L128*7)+(N128*1)+(P128*0))/8)</x:f>
      </x:c>
      <x:c r="S128" s="47">
        <x:f>(180*(Ventas!AE131*0.9644) - IF(K128&gt;0,K128,0))</x:f>
      </x:c>
      <x:c r="T128" s="47">
        <x:f>IF(S128&gt;0,S128,0)</x:f>
      </x:c>
      <x:c r="U128" s="51">
        <x:f>(180*(Ventas!AE522*0.9644) - IF(M128&gt;0,M128,0))</x:f>
      </x:c>
      <x:c r="V128" s="51">
        <x:f>IF(U128&gt;0,U128,0)</x:f>
      </x:c>
      <x:c r="W128" s="43"/>
      <x:c r="X128" s="43"/>
      <x:c r="Y128" s="47">
        <x:f>IF(K128&gt;0,K128+IF(T128&gt;0,T128,0),T128)</x:f>
      </x:c>
      <x:c r="Z128" s="51">
        <x:f>IF(M128&gt;0,M128+IF(V128&gt;0,V128,0),V128)</x:f>
      </x:c>
      <x:c r="AA128" s="43"/>
      <x:c r="AB128" s="50">
        <x:v>4.25</x:v>
      </x:c>
      <x:c r="AC128" s="8">
        <x:v>3016</x:v>
      </x:c>
      <x:c r="AD128" s="40"/>
      <x:c r="AE128" s="40"/>
      <x:c r="AF128" s="43"/>
      <x:c r="AG128" s="43"/>
      <x:c r="AH128" s="47">
        <x:f>(Y128-(90*Ventas!AE131*0.9644))</x:f>
      </x:c>
      <x:c r="AI128" s="49">
        <x:f>(AH128/(Ventas!AE131*0.9644)/80)</x:f>
      </x:c>
      <x:c r="AJ128" s="40"/>
      <x:c r="AK128" s="40"/>
      <x:c r="AL128" s="43"/>
      <x:c r="AM128" s="43"/>
      <x:c r="AN128" s="55">
        <x:f>(IF(AH128&gt;0,AH128,0)+IF(AJ128&gt;0,AJ128,0)+IF(AL128&gt;0,AL128,0))</x:f>
      </x:c>
      <x:c r="AO128" s="56">
        <x:f>(((AI128*7)+(AK128*1)+(AM128*1))/8)</x:f>
      </x:c>
      <x:c r="AP128" s="4" t="s">
        <x:v>35</x:v>
      </x:c>
    </x:row>
    <x:row r="129">
      <x:c r="A129" s="4" t="s">
        <x:v>417</x:v>
      </x:c>
      <x:c r="B129" s="4" t="s">
        <x:v>416</x:v>
      </x:c>
      <x:c r="C129" s="38" t="s">
        <x:v>415</x:v>
      </x:c>
      <x:c r="D129" s="41"/>
      <x:c r="E129" s="44"/>
      <x:c r="F129" s="6"/>
      <x:c r="G129" s="40"/>
      <x:c r="H129" s="43"/>
      <x:c r="I129" s="45">
        <x:v>46313</x:v>
      </x:c>
      <x:c r="J129" s="46">
        <x:v>81</x:v>
      </x:c>
      <x:c r="K129" s="47">
        <x:f>(F129-(0)+0-(J129*Ventas!AE132*1.0556))</x:f>
      </x:c>
      <x:c r="L129" s="6"/>
      <x:c r="M129" s="51">
        <x:f>(G129+0)</x:f>
      </x:c>
      <x:c r="N129" s="40"/>
      <x:c r="O129" s="54">
        <x:f>(H129+0)</x:f>
      </x:c>
      <x:c r="P129" s="43"/>
      <x:c r="Q129" s="55">
        <x:f>(K129+M129+O129)</x:f>
      </x:c>
      <x:c r="R129" s="56">
        <x:f>(((L129*7)+(N129*1)+(P129*0))/8)</x:f>
      </x:c>
      <x:c r="S129" s="47">
        <x:f>(180*(Ventas!AE132*0.9644) - IF(K129&gt;0,K129,0))</x:f>
      </x:c>
      <x:c r="T129" s="47">
        <x:f>IF(S129&gt;0,S129,0)</x:f>
      </x:c>
      <x:c r="U129" s="40"/>
      <x:c r="V129" s="40"/>
      <x:c r="W129" s="43"/>
      <x:c r="X129" s="43"/>
      <x:c r="Y129" s="47">
        <x:f>IF(K129&gt;0,K129+IF(T129&gt;0,T129,0),T129)</x:f>
      </x:c>
      <x:c r="Z129" s="40"/>
      <x:c r="AA129" s="43"/>
      <x:c r="AB129" s="50">
        <x:v>6.84</x:v>
      </x:c>
      <x:c r="AC129" s="8">
        <x:v>3022</x:v>
      </x:c>
      <x:c r="AD129" s="40"/>
      <x:c r="AE129" s="40"/>
      <x:c r="AF129" s="43"/>
      <x:c r="AG129" s="43"/>
      <x:c r="AH129" s="6"/>
      <x:c r="AI129" s="6"/>
      <x:c r="AJ129" s="40"/>
      <x:c r="AK129" s="40"/>
      <x:c r="AL129" s="43"/>
      <x:c r="AM129" s="43"/>
      <x:c r="AN129" s="55">
        <x:f>(IF(AH129&gt;0,AH129,0)+IF(AJ129&gt;0,AJ129,0)+IF(AL129&gt;0,AL129,0))</x:f>
      </x:c>
      <x:c r="AO129" s="56">
        <x:f>(((AI129*7)+(AK129*1)+(AM129*1))/8)</x:f>
      </x:c>
      <x:c r="AP129" s="4" t="s">
        <x:v>35</x:v>
      </x:c>
    </x:row>
    <x:row r="130">
      <x:c r="A130" s="4" t="s">
        <x:v>420</x:v>
      </x:c>
      <x:c r="B130" s="4" t="s">
        <x:v>419</x:v>
      </x:c>
      <x:c r="C130" s="38" t="s">
        <x:v>418</x:v>
      </x:c>
      <x:c r="D130" s="41" t="s">
        <x:v>1563</x:v>
      </x:c>
      <x:c r="E130" s="44"/>
      <x:c r="F130" s="8">
        <x:v>479</x:v>
      </x:c>
      <x:c r="G130" s="40"/>
      <x:c r="H130" s="43"/>
      <x:c r="I130" s="45">
        <x:v>46313</x:v>
      </x:c>
      <x:c r="J130" s="46">
        <x:v>81</x:v>
      </x:c>
      <x:c r="K130" s="47">
        <x:f>(F130-(0)+0-(J130*Ventas!AE133*1.0556))</x:f>
      </x:c>
      <x:c r="L130" s="49">
        <x:f>(K130/(Ventas!AE133*1.0556)/80)</x:f>
      </x:c>
      <x:c r="M130" s="51">
        <x:f>(G130-(0)+0-(J130*Ventas!AE523*1.0556))</x:f>
      </x:c>
      <x:c r="N130" s="40"/>
      <x:c r="O130" s="54">
        <x:f>(H130+0)</x:f>
      </x:c>
      <x:c r="P130" s="43"/>
      <x:c r="Q130" s="55">
        <x:f>(K130+M130+O130)</x:f>
      </x:c>
      <x:c r="R130" s="56">
        <x:f>(((L130*7)+(N130*1)+(P130*0))/8)</x:f>
      </x:c>
      <x:c r="S130" s="47">
        <x:f>(180*(Ventas!AE133*0.9644) - IF(K130&gt;0,K130,0))</x:f>
      </x:c>
      <x:c r="T130" s="47">
        <x:f>IF(S130&gt;0,S130,0)</x:f>
      </x:c>
      <x:c r="U130" s="51">
        <x:f>(180*(Ventas!AE523*0.9644) - IF(M130&gt;0,M130,0))</x:f>
      </x:c>
      <x:c r="V130" s="51">
        <x:f>IF(U130&gt;0,U130,0)</x:f>
      </x:c>
      <x:c r="W130" s="43"/>
      <x:c r="X130" s="43"/>
      <x:c r="Y130" s="47">
        <x:f>IF(K130&gt;0,K130+IF(T130&gt;0,T130,0),T130)</x:f>
      </x:c>
      <x:c r="Z130" s="51">
        <x:f>IF(M130&gt;0,M130+IF(V130&gt;0,V130,0),V130)</x:f>
      </x:c>
      <x:c r="AA130" s="43"/>
      <x:c r="AB130" s="50">
        <x:v>2.7</x:v>
      </x:c>
      <x:c r="AC130" s="8">
        <x:v>3016</x:v>
      </x:c>
      <x:c r="AD130" s="53">
        <x:v>4.3</x:v>
      </x:c>
      <x:c r="AE130" s="40"/>
      <x:c r="AF130" s="43"/>
      <x:c r="AG130" s="43"/>
      <x:c r="AH130" s="47">
        <x:f>(Y130-(90*Ventas!AE133*0.9644))</x:f>
      </x:c>
      <x:c r="AI130" s="49">
        <x:f>(AH130/(Ventas!AE133*0.9644)/80)</x:f>
      </x:c>
      <x:c r="AJ130" s="40"/>
      <x:c r="AK130" s="40"/>
      <x:c r="AL130" s="43"/>
      <x:c r="AM130" s="43"/>
      <x:c r="AN130" s="55">
        <x:f>(IF(AH130&gt;0,AH130,0)+IF(AJ130&gt;0,AJ130,0)+IF(AL130&gt;0,AL130,0))</x:f>
      </x:c>
      <x:c r="AO130" s="56">
        <x:f>(((AI130*7)+(AK130*1)+(AM130*1))/8)</x:f>
      </x:c>
      <x:c r="AP130" s="4" t="s">
        <x:v>35</x:v>
      </x:c>
    </x:row>
    <x:row r="131">
      <x:c r="A131" s="4" t="s">
        <x:v>423</x:v>
      </x:c>
      <x:c r="B131" s="4" t="s">
        <x:v>422</x:v>
      </x:c>
      <x:c r="C131" s="38" t="s">
        <x:v>421</x:v>
      </x:c>
      <x:c r="D131" s="41"/>
      <x:c r="E131" s="44"/>
      <x:c r="F131" s="6"/>
      <x:c r="G131" s="40"/>
      <x:c r="H131" s="43"/>
      <x:c r="I131" s="45">
        <x:v>46313</x:v>
      </x:c>
      <x:c r="J131" s="46">
        <x:v>81</x:v>
      </x:c>
      <x:c r="K131" s="47">
        <x:f>(F131-(0)+0-(J131*Ventas!AE134*1.0556))</x:f>
      </x:c>
      <x:c r="L131" s="6"/>
      <x:c r="M131" s="51">
        <x:f>(G131+0)</x:f>
      </x:c>
      <x:c r="N131" s="40"/>
      <x:c r="O131" s="54">
        <x:f>(H131+0)</x:f>
      </x:c>
      <x:c r="P131" s="43"/>
      <x:c r="Q131" s="55">
        <x:f>(K131+M131+O131)</x:f>
      </x:c>
      <x:c r="R131" s="56">
        <x:f>(((L131*7)+(N131*1)+(P131*0))/8)</x:f>
      </x:c>
      <x:c r="S131" s="47">
        <x:f>(180*(Ventas!AE134*0.9644) - IF(K131&gt;0,K131,0))</x:f>
      </x:c>
      <x:c r="T131" s="47">
        <x:f>IF(S131&gt;0,S131,0)</x:f>
      </x:c>
      <x:c r="U131" s="40"/>
      <x:c r="V131" s="40"/>
      <x:c r="W131" s="43"/>
      <x:c r="X131" s="43"/>
      <x:c r="Y131" s="47">
        <x:f>IF(K131&gt;0,K131+IF(T131&gt;0,T131,0),T131)</x:f>
      </x:c>
      <x:c r="Z131" s="40"/>
      <x:c r="AA131" s="43"/>
      <x:c r="AB131" s="50">
        <x:v>5.56</x:v>
      </x:c>
      <x:c r="AC131" s="8">
        <x:v>3006</x:v>
      </x:c>
      <x:c r="AD131" s="40"/>
      <x:c r="AE131" s="40"/>
      <x:c r="AF131" s="43"/>
      <x:c r="AG131" s="43"/>
      <x:c r="AH131" s="6"/>
      <x:c r="AI131" s="6"/>
      <x:c r="AJ131" s="40"/>
      <x:c r="AK131" s="40"/>
      <x:c r="AL131" s="43"/>
      <x:c r="AM131" s="43"/>
      <x:c r="AN131" s="55">
        <x:f>(IF(AH131&gt;0,AH131,0)+IF(AJ131&gt;0,AJ131,0)+IF(AL131&gt;0,AL131,0))</x:f>
      </x:c>
      <x:c r="AO131" s="56">
        <x:f>(((AI131*7)+(AK131*1)+(AM131*1))/8)</x:f>
      </x:c>
      <x:c r="AP131" s="4" t="s">
        <x:v>51</x:v>
      </x:c>
    </x:row>
    <x:row r="132">
      <x:c r="A132" s="4" t="s">
        <x:v>426</x:v>
      </x:c>
      <x:c r="B132" s="4" t="s">
        <x:v>425</x:v>
      </x:c>
      <x:c r="C132" s="38" t="s">
        <x:v>424</x:v>
      </x:c>
      <x:c r="D132" s="41"/>
      <x:c r="E132" s="44"/>
      <x:c r="F132" s="6"/>
      <x:c r="G132" s="40"/>
      <x:c r="H132" s="43"/>
      <x:c r="I132" s="45">
        <x:v>46313</x:v>
      </x:c>
      <x:c r="J132" s="46">
        <x:v>81</x:v>
      </x:c>
      <x:c r="K132" s="47">
        <x:f>(F132-(0)+0-(J132*Ventas!AE135*1.0556))</x:f>
      </x:c>
      <x:c r="L132" s="6"/>
      <x:c r="M132" s="51">
        <x:f>(G132+0)</x:f>
      </x:c>
      <x:c r="N132" s="40"/>
      <x:c r="O132" s="54">
        <x:f>(H132+0)</x:f>
      </x:c>
      <x:c r="P132" s="43"/>
      <x:c r="Q132" s="55">
        <x:f>(K132+M132+O132)</x:f>
      </x:c>
      <x:c r="R132" s="56">
        <x:f>(((L132*7)+(N132*1)+(P132*0))/8)</x:f>
      </x:c>
      <x:c r="S132" s="47">
        <x:f>(180*(Ventas!AE135*0.9644) - IF(K132&gt;0,K132,0))</x:f>
      </x:c>
      <x:c r="T132" s="47">
        <x:f>IF(S132&gt;0,S132,0)</x:f>
      </x:c>
      <x:c r="U132" s="40"/>
      <x:c r="V132" s="40"/>
      <x:c r="W132" s="43"/>
      <x:c r="X132" s="43"/>
      <x:c r="Y132" s="47">
        <x:f>IF(K132&gt;0,K132+IF(T132&gt;0,T132,0),T132)</x:f>
      </x:c>
      <x:c r="Z132" s="40"/>
      <x:c r="AA132" s="43"/>
      <x:c r="AB132" s="50">
        <x:v>7.9</x:v>
      </x:c>
      <x:c r="AC132" s="8">
        <x:v>2998</x:v>
      </x:c>
      <x:c r="AD132" s="40"/>
      <x:c r="AE132" s="40"/>
      <x:c r="AF132" s="43"/>
      <x:c r="AG132" s="43"/>
      <x:c r="AH132" s="6"/>
      <x:c r="AI132" s="6"/>
      <x:c r="AJ132" s="40"/>
      <x:c r="AK132" s="40"/>
      <x:c r="AL132" s="43"/>
      <x:c r="AM132" s="43"/>
      <x:c r="AN132" s="55">
        <x:f>(IF(AH132&gt;0,AH132,0)+IF(AJ132&gt;0,AJ132,0)+IF(AL132&gt;0,AL132,0))</x:f>
      </x:c>
      <x:c r="AO132" s="56">
        <x:f>(((AI132*7)+(AK132*1)+(AM132*1))/8)</x:f>
      </x:c>
      <x:c r="AP132" s="4" t="s">
        <x:v>51</x:v>
      </x:c>
    </x:row>
    <x:row r="133">
      <x:c r="A133" s="4" t="s">
        <x:v>429</x:v>
      </x:c>
      <x:c r="B133" s="4" t="s">
        <x:v>428</x:v>
      </x:c>
      <x:c r="C133" s="38" t="s">
        <x:v>427</x:v>
      </x:c>
      <x:c r="D133" s="41"/>
      <x:c r="E133" s="44"/>
      <x:c r="F133" s="8">
        <x:v>29</x:v>
      </x:c>
      <x:c r="G133" s="40"/>
      <x:c r="H133" s="43"/>
      <x:c r="I133" s="45">
        <x:v>46313</x:v>
      </x:c>
      <x:c r="J133" s="46">
        <x:v>81</x:v>
      </x:c>
      <x:c r="K133" s="47">
        <x:f>(F133-(0)+0-(J133*Ventas!AE136*1.0556))</x:f>
      </x:c>
      <x:c r="L133" s="49">
        <x:f>(K133/(Ventas!AE136*1.0556)/80)</x:f>
      </x:c>
      <x:c r="M133" s="51">
        <x:f>(G133+0)</x:f>
      </x:c>
      <x:c r="N133" s="40"/>
      <x:c r="O133" s="54">
        <x:f>(H133+0)</x:f>
      </x:c>
      <x:c r="P133" s="43"/>
      <x:c r="Q133" s="55">
        <x:f>(K133+M133+O133)</x:f>
      </x:c>
      <x:c r="R133" s="56">
        <x:f>(((L133*7)+(N133*1)+(P133*0))/8)</x:f>
      </x:c>
      <x:c r="S133" s="47">
        <x:f>(180*(Ventas!AE136*0.9644) - IF(K133&gt;0,K133,0))</x:f>
      </x:c>
      <x:c r="T133" s="47">
        <x:f>IF(S133&gt;0,S133,0)</x:f>
      </x:c>
      <x:c r="U133" s="40"/>
      <x:c r="V133" s="40"/>
      <x:c r="W133" s="43"/>
      <x:c r="X133" s="43"/>
      <x:c r="Y133" s="47">
        <x:f>IF(K133&gt;0,K133+IF(T133&gt;0,T133,0),T133)</x:f>
      </x:c>
      <x:c r="Z133" s="40"/>
      <x:c r="AA133" s="43"/>
      <x:c r="AB133" s="50">
        <x:v>4.4</x:v>
      </x:c>
      <x:c r="AC133" s="8">
        <x:v>3016</x:v>
      </x:c>
      <x:c r="AD133" s="40"/>
      <x:c r="AE133" s="40"/>
      <x:c r="AF133" s="43"/>
      <x:c r="AG133" s="43"/>
      <x:c r="AH133" s="47">
        <x:f>(Y133-(90*Ventas!AE136*0.9644))</x:f>
      </x:c>
      <x:c r="AI133" s="49">
        <x:f>(AH133/(Ventas!AE136*0.9644)/80)</x:f>
      </x:c>
      <x:c r="AJ133" s="40"/>
      <x:c r="AK133" s="40"/>
      <x:c r="AL133" s="43"/>
      <x:c r="AM133" s="43"/>
      <x:c r="AN133" s="55">
        <x:f>(IF(AH133&gt;0,AH133,0)+IF(AJ133&gt;0,AJ133,0)+IF(AL133&gt;0,AL133,0))</x:f>
      </x:c>
      <x:c r="AO133" s="56">
        <x:f>(((AI133*7)+(AK133*1)+(AM133*1))/8)</x:f>
      </x:c>
      <x:c r="AP133" s="4" t="s">
        <x:v>35</x:v>
      </x:c>
    </x:row>
    <x:row r="134">
      <x:c r="A134" s="4" t="s">
        <x:v>432</x:v>
      </x:c>
      <x:c r="B134" s="4" t="s">
        <x:v>431</x:v>
      </x:c>
      <x:c r="C134" s="38" t="s">
        <x:v>430</x:v>
      </x:c>
      <x:c r="D134" s="41"/>
      <x:c r="E134" s="44"/>
      <x:c r="F134" s="6"/>
      <x:c r="G134" s="40"/>
      <x:c r="H134" s="43"/>
      <x:c r="I134" s="45">
        <x:v>46313</x:v>
      </x:c>
      <x:c r="J134" s="46">
        <x:v>81</x:v>
      </x:c>
      <x:c r="K134" s="47">
        <x:f>(F134-(0)+0-(J134*Ventas!AE137*1.0556))</x:f>
      </x:c>
      <x:c r="L134" s="6"/>
      <x:c r="M134" s="51">
        <x:f>(G134+0)</x:f>
      </x:c>
      <x:c r="N134" s="40"/>
      <x:c r="O134" s="54">
        <x:f>(H134+0)</x:f>
      </x:c>
      <x:c r="P134" s="43"/>
      <x:c r="Q134" s="55">
        <x:f>(K134+M134+O134)</x:f>
      </x:c>
      <x:c r="R134" s="56">
        <x:f>(((L134*7)+(N134*1)+(P134*0))/8)</x:f>
      </x:c>
      <x:c r="S134" s="47">
        <x:f>(180*(Ventas!AE137*0.9644) - IF(K134&gt;0,K134,0))</x:f>
      </x:c>
      <x:c r="T134" s="47">
        <x:f>IF(S134&gt;0,S134,0)</x:f>
      </x:c>
      <x:c r="U134" s="40"/>
      <x:c r="V134" s="40"/>
      <x:c r="W134" s="43"/>
      <x:c r="X134" s="43"/>
      <x:c r="Y134" s="47">
        <x:f>IF(K134&gt;0,K134+IF(T134&gt;0,T134,0),T134)</x:f>
      </x:c>
      <x:c r="Z134" s="40"/>
      <x:c r="AA134" s="43"/>
      <x:c r="AB134" s="50">
        <x:v>5.0813</x:v>
      </x:c>
      <x:c r="AC134" s="8">
        <x:v>3022</x:v>
      </x:c>
      <x:c r="AD134" s="40"/>
      <x:c r="AE134" s="40"/>
      <x:c r="AF134" s="43"/>
      <x:c r="AG134" s="43"/>
      <x:c r="AH134" s="6"/>
      <x:c r="AI134" s="6"/>
      <x:c r="AJ134" s="40"/>
      <x:c r="AK134" s="40"/>
      <x:c r="AL134" s="43"/>
      <x:c r="AM134" s="43"/>
      <x:c r="AN134" s="55">
        <x:f>(IF(AH134&gt;0,AH134,0)+IF(AJ134&gt;0,AJ134,0)+IF(AL134&gt;0,AL134,0))</x:f>
      </x:c>
      <x:c r="AO134" s="56">
        <x:f>(((AI134*7)+(AK134*1)+(AM134*1))/8)</x:f>
      </x:c>
      <x:c r="AP134" s="4" t="s">
        <x:v>35</x:v>
      </x:c>
    </x:row>
    <x:row r="135">
      <x:c r="A135" s="4" t="s">
        <x:v>435</x:v>
      </x:c>
      <x:c r="B135" s="4" t="s">
        <x:v>434</x:v>
      </x:c>
      <x:c r="C135" s="38" t="s">
        <x:v>433</x:v>
      </x:c>
      <x:c r="D135" s="41"/>
      <x:c r="E135" s="44"/>
      <x:c r="F135" s="8">
        <x:v>18</x:v>
      </x:c>
      <x:c r="G135" s="40"/>
      <x:c r="H135" s="43"/>
      <x:c r="I135" s="45">
        <x:v>46313</x:v>
      </x:c>
      <x:c r="J135" s="46">
        <x:v>81</x:v>
      </x:c>
      <x:c r="K135" s="47">
        <x:f>(F135-(0)+0-(J135*Ventas!AE138*1.0556))</x:f>
      </x:c>
      <x:c r="L135" s="49">
        <x:f>(K135/(Ventas!AE138*1.0556)/80)</x:f>
      </x:c>
      <x:c r="M135" s="51">
        <x:f>(G135+0)</x:f>
      </x:c>
      <x:c r="N135" s="40"/>
      <x:c r="O135" s="54">
        <x:f>(H135+0)</x:f>
      </x:c>
      <x:c r="P135" s="43"/>
      <x:c r="Q135" s="55">
        <x:f>(K135+M135+O135)</x:f>
      </x:c>
      <x:c r="R135" s="56">
        <x:f>(((L135*7)+(N135*1)+(P135*0))/8)</x:f>
      </x:c>
      <x:c r="S135" s="47">
        <x:f>(180*(Ventas!AE138*0.9644) - IF(K135&gt;0,K135,0))</x:f>
      </x:c>
      <x:c r="T135" s="47">
        <x:f>IF(S135&gt;0,S135,0)</x:f>
      </x:c>
      <x:c r="U135" s="40"/>
      <x:c r="V135" s="40"/>
      <x:c r="W135" s="43"/>
      <x:c r="X135" s="43"/>
      <x:c r="Y135" s="47">
        <x:f>IF(K135&gt;0,K135+IF(T135&gt;0,T135,0),T135)</x:f>
      </x:c>
      <x:c r="Z135" s="40"/>
      <x:c r="AA135" s="43"/>
      <x:c r="AB135" s="50">
        <x:v>4.6</x:v>
      </x:c>
      <x:c r="AC135" s="8">
        <x:v>3016</x:v>
      </x:c>
      <x:c r="AD135" s="40"/>
      <x:c r="AE135" s="40"/>
      <x:c r="AF135" s="43"/>
      <x:c r="AG135" s="43"/>
      <x:c r="AH135" s="47">
        <x:f>(Y135-(90*Ventas!AE138*0.9644))</x:f>
      </x:c>
      <x:c r="AI135" s="49">
        <x:f>(AH135/(Ventas!AE138*0.9644)/80)</x:f>
      </x:c>
      <x:c r="AJ135" s="40"/>
      <x:c r="AK135" s="40"/>
      <x:c r="AL135" s="43"/>
      <x:c r="AM135" s="43"/>
      <x:c r="AN135" s="55">
        <x:f>(IF(AH135&gt;0,AH135,0)+IF(AJ135&gt;0,AJ135,0)+IF(AL135&gt;0,AL135,0))</x:f>
      </x:c>
      <x:c r="AO135" s="56">
        <x:f>(((AI135*7)+(AK135*1)+(AM135*1))/8)</x:f>
      </x:c>
      <x:c r="AP135" s="4" t="s">
        <x:v>35</x:v>
      </x:c>
    </x:row>
    <x:row r="136">
      <x:c r="A136" s="4" t="s">
        <x:v>438</x:v>
      </x:c>
      <x:c r="B136" s="4" t="s">
        <x:v>437</x:v>
      </x:c>
      <x:c r="C136" s="38" t="s">
        <x:v>436</x:v>
      </x:c>
      <x:c r="D136" s="41"/>
      <x:c r="E136" s="44"/>
      <x:c r="F136" s="8">
        <x:v>20</x:v>
      </x:c>
      <x:c r="G136" s="40"/>
      <x:c r="H136" s="43"/>
      <x:c r="I136" s="45">
        <x:v>46313</x:v>
      </x:c>
      <x:c r="J136" s="46">
        <x:v>81</x:v>
      </x:c>
      <x:c r="K136" s="47">
        <x:f>(F136-(0)+0-(J136*Ventas!AE139*1.0556))</x:f>
      </x:c>
      <x:c r="L136" s="49">
        <x:f>(K136/(Ventas!AE139*1.0556)/80)</x:f>
      </x:c>
      <x:c r="M136" s="51">
        <x:f>(G136+0)</x:f>
      </x:c>
      <x:c r="N136" s="40"/>
      <x:c r="O136" s="54">
        <x:f>(H136+0)</x:f>
      </x:c>
      <x:c r="P136" s="43"/>
      <x:c r="Q136" s="55">
        <x:f>(K136+M136+O136)</x:f>
      </x:c>
      <x:c r="R136" s="56">
        <x:f>(((L136*7)+(N136*1)+(P136*0))/8)</x:f>
      </x:c>
      <x:c r="S136" s="47">
        <x:f>(180*(Ventas!AE139*0.9644) - IF(K136&gt;0,K136,0))</x:f>
      </x:c>
      <x:c r="T136" s="47">
        <x:f>IF(S136&gt;0,S136,0)</x:f>
      </x:c>
      <x:c r="U136" s="40"/>
      <x:c r="V136" s="40"/>
      <x:c r="W136" s="43"/>
      <x:c r="X136" s="43"/>
      <x:c r="Y136" s="47">
        <x:f>IF(K136&gt;0,K136+IF(T136&gt;0,T136,0),T136)</x:f>
      </x:c>
      <x:c r="Z136" s="40"/>
      <x:c r="AA136" s="43"/>
      <x:c r="AB136" s="50">
        <x:v>2.6</x:v>
      </x:c>
      <x:c r="AC136" s="8">
        <x:v>3016</x:v>
      </x:c>
      <x:c r="AD136" s="40"/>
      <x:c r="AE136" s="40"/>
      <x:c r="AF136" s="43"/>
      <x:c r="AG136" s="43"/>
      <x:c r="AH136" s="47">
        <x:f>(Y136-(90*Ventas!AE139*0.9644))</x:f>
      </x:c>
      <x:c r="AI136" s="49">
        <x:f>(AH136/(Ventas!AE139*0.9644)/80)</x:f>
      </x:c>
      <x:c r="AJ136" s="40"/>
      <x:c r="AK136" s="40"/>
      <x:c r="AL136" s="43"/>
      <x:c r="AM136" s="43"/>
      <x:c r="AN136" s="55">
        <x:f>(IF(AH136&gt;0,AH136,0)+IF(AJ136&gt;0,AJ136,0)+IF(AL136&gt;0,AL136,0))</x:f>
      </x:c>
      <x:c r="AO136" s="56">
        <x:f>(((AI136*7)+(AK136*1)+(AM136*1))/8)</x:f>
      </x:c>
      <x:c r="AP136" s="4" t="s">
        <x:v>35</x:v>
      </x:c>
    </x:row>
    <x:row r="137">
      <x:c r="A137" s="4" t="s">
        <x:v>441</x:v>
      </x:c>
      <x:c r="B137" s="4" t="s">
        <x:v>440</x:v>
      </x:c>
      <x:c r="C137" s="38" t="s">
        <x:v>439</x:v>
      </x:c>
      <x:c r="D137" s="41"/>
      <x:c r="E137" s="44"/>
      <x:c r="F137" s="6"/>
      <x:c r="G137" s="40"/>
      <x:c r="H137" s="43"/>
      <x:c r="I137" s="45">
        <x:v>46313</x:v>
      </x:c>
      <x:c r="J137" s="46">
        <x:v>81</x:v>
      </x:c>
      <x:c r="K137" s="47">
        <x:f>(F137-(0)+0-(J137*Ventas!AE140*1.0556))</x:f>
      </x:c>
      <x:c r="L137" s="6"/>
      <x:c r="M137" s="51">
        <x:f>(G137+0)</x:f>
      </x:c>
      <x:c r="N137" s="40"/>
      <x:c r="O137" s="54">
        <x:f>(H137+0)</x:f>
      </x:c>
      <x:c r="P137" s="43"/>
      <x:c r="Q137" s="55">
        <x:f>(K137+M137+O137)</x:f>
      </x:c>
      <x:c r="R137" s="56">
        <x:f>(((L137*7)+(N137*1)+(P137*0))/8)</x:f>
      </x:c>
      <x:c r="S137" s="47">
        <x:f>(180*(Ventas!AE140*0.9644) - IF(K137&gt;0,K137,0))</x:f>
      </x:c>
      <x:c r="T137" s="47">
        <x:f>IF(S137&gt;0,S137,0)</x:f>
      </x:c>
      <x:c r="U137" s="40"/>
      <x:c r="V137" s="40"/>
      <x:c r="W137" s="43"/>
      <x:c r="X137" s="43"/>
      <x:c r="Y137" s="47">
        <x:f>IF(K137&gt;0,K137+IF(T137&gt;0,T137,0),T137)</x:f>
      </x:c>
      <x:c r="Z137" s="40"/>
      <x:c r="AA137" s="43"/>
      <x:c r="AB137" s="50">
        <x:v>9.14</x:v>
      </x:c>
      <x:c r="AC137" s="8">
        <x:v>3022</x:v>
      </x:c>
      <x:c r="AD137" s="40"/>
      <x:c r="AE137" s="40"/>
      <x:c r="AF137" s="43"/>
      <x:c r="AG137" s="43"/>
      <x:c r="AH137" s="6"/>
      <x:c r="AI137" s="6"/>
      <x:c r="AJ137" s="40"/>
      <x:c r="AK137" s="40"/>
      <x:c r="AL137" s="43"/>
      <x:c r="AM137" s="43"/>
      <x:c r="AN137" s="55">
        <x:f>(IF(AH137&gt;0,AH137,0)+IF(AJ137&gt;0,AJ137,0)+IF(AL137&gt;0,AL137,0))</x:f>
      </x:c>
      <x:c r="AO137" s="56">
        <x:f>(((AI137*7)+(AK137*1)+(AM137*1))/8)</x:f>
      </x:c>
      <x:c r="AP137" s="4" t="s">
        <x:v>35</x:v>
      </x:c>
    </x:row>
    <x:row r="138">
      <x:c r="A138" s="4" t="s">
        <x:v>444</x:v>
      </x:c>
      <x:c r="B138" s="4" t="s">
        <x:v>443</x:v>
      </x:c>
      <x:c r="C138" s="38" t="s">
        <x:v>442</x:v>
      </x:c>
      <x:c r="D138" s="41"/>
      <x:c r="E138" s="44"/>
      <x:c r="F138" s="8">
        <x:v>16</x:v>
      </x:c>
      <x:c r="G138" s="40"/>
      <x:c r="H138" s="43"/>
      <x:c r="I138" s="45">
        <x:v>46313</x:v>
      </x:c>
      <x:c r="J138" s="46">
        <x:v>81</x:v>
      </x:c>
      <x:c r="K138" s="47">
        <x:f>(F138-(0)+0-(J138*Ventas!AE141*1.0556))</x:f>
      </x:c>
      <x:c r="L138" s="49">
        <x:f>(K138/(Ventas!AE141*1.0556)/80)</x:f>
      </x:c>
      <x:c r="M138" s="51">
        <x:f>(G138+0)</x:f>
      </x:c>
      <x:c r="N138" s="40"/>
      <x:c r="O138" s="54">
        <x:f>(H138+0)</x:f>
      </x:c>
      <x:c r="P138" s="43"/>
      <x:c r="Q138" s="55">
        <x:f>(K138+M138+O138)</x:f>
      </x:c>
      <x:c r="R138" s="56">
        <x:f>(((L138*7)+(N138*1)+(P138*0))/8)</x:f>
      </x:c>
      <x:c r="S138" s="47">
        <x:f>(180*(Ventas!AE141*0.9644) - IF(K138&gt;0,K138,0))</x:f>
      </x:c>
      <x:c r="T138" s="47">
        <x:f>IF(S138&gt;0,S138,0)</x:f>
      </x:c>
      <x:c r="U138" s="40"/>
      <x:c r="V138" s="40"/>
      <x:c r="W138" s="43"/>
      <x:c r="X138" s="43"/>
      <x:c r="Y138" s="47">
        <x:f>IF(K138&gt;0,K138+IF(T138&gt;0,T138,0),T138)</x:f>
      </x:c>
      <x:c r="Z138" s="40"/>
      <x:c r="AA138" s="43"/>
      <x:c r="AB138" s="50">
        <x:v>10.67</x:v>
      </x:c>
      <x:c r="AC138" s="8">
        <x:v>3016</x:v>
      </x:c>
      <x:c r="AD138" s="40"/>
      <x:c r="AE138" s="40"/>
      <x:c r="AF138" s="43"/>
      <x:c r="AG138" s="43"/>
      <x:c r="AH138" s="47">
        <x:f>(Y138-(90*Ventas!AE141*0.9644))</x:f>
      </x:c>
      <x:c r="AI138" s="49">
        <x:f>(AH138/(Ventas!AE141*0.9644)/80)</x:f>
      </x:c>
      <x:c r="AJ138" s="40"/>
      <x:c r="AK138" s="40"/>
      <x:c r="AL138" s="43"/>
      <x:c r="AM138" s="43"/>
      <x:c r="AN138" s="55">
        <x:f>(IF(AH138&gt;0,AH138,0)+IF(AJ138&gt;0,AJ138,0)+IF(AL138&gt;0,AL138,0))</x:f>
      </x:c>
      <x:c r="AO138" s="56">
        <x:f>(((AI138*7)+(AK138*1)+(AM138*1))/8)</x:f>
      </x:c>
      <x:c r="AP138" s="4" t="s">
        <x:v>35</x:v>
      </x:c>
    </x:row>
    <x:row r="139">
      <x:c r="A139" s="4" t="s">
        <x:v>447</x:v>
      </x:c>
      <x:c r="B139" s="4" t="s">
        <x:v>446</x:v>
      </x:c>
      <x:c r="C139" s="38" t="s">
        <x:v>445</x:v>
      </x:c>
      <x:c r="D139" s="41"/>
      <x:c r="E139" s="44"/>
      <x:c r="F139" s="8">
        <x:v>103</x:v>
      </x:c>
      <x:c r="G139" s="40"/>
      <x:c r="H139" s="43"/>
      <x:c r="I139" s="45">
        <x:v>46313</x:v>
      </x:c>
      <x:c r="J139" s="46">
        <x:v>81</x:v>
      </x:c>
      <x:c r="K139" s="47">
        <x:f>(F139-(0)+0-(J139*Ventas!AE142*1.0556))</x:f>
      </x:c>
      <x:c r="L139" s="49">
        <x:f>(K139/(Ventas!AE142*1.0556)/80)</x:f>
      </x:c>
      <x:c r="M139" s="51">
        <x:f>(G139+0)</x:f>
      </x:c>
      <x:c r="N139" s="40"/>
      <x:c r="O139" s="54">
        <x:f>(H139+0)</x:f>
      </x:c>
      <x:c r="P139" s="43"/>
      <x:c r="Q139" s="55">
        <x:f>(K139+M139+O139)</x:f>
      </x:c>
      <x:c r="R139" s="56">
        <x:f>(((L139*7)+(N139*1)+(P139*0))/8)</x:f>
      </x:c>
      <x:c r="S139" s="47">
        <x:f>(180*(Ventas!AE142*0.9644) - IF(K139&gt;0,K139,0))</x:f>
      </x:c>
      <x:c r="T139" s="47">
        <x:f>IF(S139&gt;0,S139,0)</x:f>
      </x:c>
      <x:c r="U139" s="40"/>
      <x:c r="V139" s="40"/>
      <x:c r="W139" s="43"/>
      <x:c r="X139" s="43"/>
      <x:c r="Y139" s="47">
        <x:f>IF(K139&gt;0,K139+IF(T139&gt;0,T139,0),T139)</x:f>
      </x:c>
      <x:c r="Z139" s="40"/>
      <x:c r="AA139" s="43"/>
      <x:c r="AB139" s="50">
        <x:v>3.8</x:v>
      </x:c>
      <x:c r="AC139" s="8">
        <x:v>3016</x:v>
      </x:c>
      <x:c r="AD139" s="40"/>
      <x:c r="AE139" s="40"/>
      <x:c r="AF139" s="43"/>
      <x:c r="AG139" s="43"/>
      <x:c r="AH139" s="47">
        <x:f>(Y139-(90*Ventas!AE142*0.9644))</x:f>
      </x:c>
      <x:c r="AI139" s="49">
        <x:f>(AH139/(Ventas!AE142*0.9644)/80)</x:f>
      </x:c>
      <x:c r="AJ139" s="40"/>
      <x:c r="AK139" s="40"/>
      <x:c r="AL139" s="43"/>
      <x:c r="AM139" s="43"/>
      <x:c r="AN139" s="55">
        <x:f>(IF(AH139&gt;0,AH139,0)+IF(AJ139&gt;0,AJ139,0)+IF(AL139&gt;0,AL139,0))</x:f>
      </x:c>
      <x:c r="AO139" s="56">
        <x:f>(((AI139*7)+(AK139*1)+(AM139*1))/8)</x:f>
      </x:c>
      <x:c r="AP139" s="4" t="s">
        <x:v>35</x:v>
      </x:c>
    </x:row>
    <x:row r="140">
      <x:c r="A140" s="4" t="s">
        <x:v>450</x:v>
      </x:c>
      <x:c r="B140" s="4" t="s">
        <x:v>449</x:v>
      </x:c>
      <x:c r="C140" s="38" t="s">
        <x:v>448</x:v>
      </x:c>
      <x:c r="D140" s="41"/>
      <x:c r="E140" s="44"/>
      <x:c r="F140" s="6"/>
      <x:c r="G140" s="40"/>
      <x:c r="H140" s="43"/>
      <x:c r="I140" s="45">
        <x:v>46313</x:v>
      </x:c>
      <x:c r="J140" s="46">
        <x:v>81</x:v>
      </x:c>
      <x:c r="K140" s="47">
        <x:f>(F140-(0)+0-(J140*Ventas!AE143*1.0556))</x:f>
      </x:c>
      <x:c r="L140" s="6"/>
      <x:c r="M140" s="51">
        <x:f>(G140+0)</x:f>
      </x:c>
      <x:c r="N140" s="40"/>
      <x:c r="O140" s="54">
        <x:f>(H140+0)</x:f>
      </x:c>
      <x:c r="P140" s="43"/>
      <x:c r="Q140" s="55">
        <x:f>(K140+M140+O140)</x:f>
      </x:c>
      <x:c r="R140" s="56">
        <x:f>(((L140*7)+(N140*1)+(P140*0))/8)</x:f>
      </x:c>
      <x:c r="S140" s="47">
        <x:f>(180*(Ventas!AE143*0.9644) - IF(K140&gt;0,K140,0))</x:f>
      </x:c>
      <x:c r="T140" s="47">
        <x:f>IF(S140&gt;0,S140,0)</x:f>
      </x:c>
      <x:c r="U140" s="40"/>
      <x:c r="V140" s="40"/>
      <x:c r="W140" s="43"/>
      <x:c r="X140" s="43"/>
      <x:c r="Y140" s="47">
        <x:f>IF(K140&gt;0,K140+IF(T140&gt;0,T140,0),T140)</x:f>
      </x:c>
      <x:c r="Z140" s="40"/>
      <x:c r="AA140" s="43"/>
      <x:c r="AB140" s="6"/>
      <x:c r="AC140" s="6"/>
      <x:c r="AD140" s="40"/>
      <x:c r="AE140" s="40"/>
      <x:c r="AF140" s="43"/>
      <x:c r="AG140" s="43"/>
      <x:c r="AH140" s="6"/>
      <x:c r="AI140" s="6"/>
      <x:c r="AJ140" s="40"/>
      <x:c r="AK140" s="40"/>
      <x:c r="AL140" s="43"/>
      <x:c r="AM140" s="43"/>
      <x:c r="AN140" s="55">
        <x:f>(IF(AH140&gt;0,AH140,0)+IF(AJ140&gt;0,AJ140,0)+IF(AL140&gt;0,AL140,0))</x:f>
      </x:c>
      <x:c r="AO140" s="56">
        <x:f>(((AI140*7)+(AK140*1)+(AM140*1))/8)</x:f>
      </x:c>
      <x:c r="AP140" s="4" t="s">
        <x:v>35</x:v>
      </x:c>
    </x:row>
    <x:row r="141">
      <x:c r="A141" s="4" t="s">
        <x:v>453</x:v>
      </x:c>
      <x:c r="B141" s="4" t="s">
        <x:v>452</x:v>
      </x:c>
      <x:c r="C141" s="38" t="s">
        <x:v>451</x:v>
      </x:c>
      <x:c r="D141" s="41"/>
      <x:c r="E141" s="44"/>
      <x:c r="F141" s="6"/>
      <x:c r="G141" s="40"/>
      <x:c r="H141" s="43"/>
      <x:c r="I141" s="45">
        <x:v>46313</x:v>
      </x:c>
      <x:c r="J141" s="46">
        <x:v>81</x:v>
      </x:c>
      <x:c r="K141" s="47">
        <x:f>(F141-(0)+0-(J141*Ventas!AE144*1.0556))</x:f>
      </x:c>
      <x:c r="L141" s="6"/>
      <x:c r="M141" s="51">
        <x:f>(G141+0)</x:f>
      </x:c>
      <x:c r="N141" s="40"/>
      <x:c r="O141" s="54">
        <x:f>(H141+0)</x:f>
      </x:c>
      <x:c r="P141" s="43"/>
      <x:c r="Q141" s="55">
        <x:f>(K141+M141+O141)</x:f>
      </x:c>
      <x:c r="R141" s="56">
        <x:f>(((L141*7)+(N141*1)+(P141*0))/8)</x:f>
      </x:c>
      <x:c r="S141" s="47">
        <x:f>(180*(Ventas!AE144*0.9644) - IF(K141&gt;0,K141,0))</x:f>
      </x:c>
      <x:c r="T141" s="47">
        <x:f>IF(S141&gt;0,S141,0)</x:f>
      </x:c>
      <x:c r="U141" s="40"/>
      <x:c r="V141" s="40"/>
      <x:c r="W141" s="43"/>
      <x:c r="X141" s="43"/>
      <x:c r="Y141" s="47">
        <x:f>IF(K141&gt;0,K141+IF(T141&gt;0,T141,0),T141)</x:f>
      </x:c>
      <x:c r="Z141" s="40"/>
      <x:c r="AA141" s="43"/>
      <x:c r="AB141" s="6"/>
      <x:c r="AC141" s="6"/>
      <x:c r="AD141" s="40"/>
      <x:c r="AE141" s="40"/>
      <x:c r="AF141" s="43"/>
      <x:c r="AG141" s="43"/>
      <x:c r="AH141" s="6"/>
      <x:c r="AI141" s="6"/>
      <x:c r="AJ141" s="40"/>
      <x:c r="AK141" s="40"/>
      <x:c r="AL141" s="43"/>
      <x:c r="AM141" s="43"/>
      <x:c r="AN141" s="55">
        <x:f>(IF(AH141&gt;0,AH141,0)+IF(AJ141&gt;0,AJ141,0)+IF(AL141&gt;0,AL141,0))</x:f>
      </x:c>
      <x:c r="AO141" s="56">
        <x:f>(((AI141*7)+(AK141*1)+(AM141*1))/8)</x:f>
      </x:c>
      <x:c r="AP141" s="4" t="s">
        <x:v>51</x:v>
      </x:c>
    </x:row>
    <x:row r="142">
      <x:c r="A142" s="4" t="s">
        <x:v>456</x:v>
      </x:c>
      <x:c r="B142" s="4" t="s">
        <x:v>455</x:v>
      </x:c>
      <x:c r="C142" s="38" t="s">
        <x:v>454</x:v>
      </x:c>
      <x:c r="D142" s="41"/>
      <x:c r="E142" s="44"/>
      <x:c r="F142" s="6"/>
      <x:c r="G142" s="40"/>
      <x:c r="H142" s="43"/>
      <x:c r="I142" s="45">
        <x:v>46313</x:v>
      </x:c>
      <x:c r="J142" s="46">
        <x:v>81</x:v>
      </x:c>
      <x:c r="K142" s="47">
        <x:f>(F142-(0)+0-(J142*Ventas!AE145*1.0556))</x:f>
      </x:c>
      <x:c r="L142" s="6"/>
      <x:c r="M142" s="51">
        <x:f>(G142+0)</x:f>
      </x:c>
      <x:c r="N142" s="40"/>
      <x:c r="O142" s="54">
        <x:f>(H142+0)</x:f>
      </x:c>
      <x:c r="P142" s="43"/>
      <x:c r="Q142" s="55">
        <x:f>(K142+M142+O142)</x:f>
      </x:c>
      <x:c r="R142" s="56">
        <x:f>(((L142*7)+(N142*1)+(P142*0))/8)</x:f>
      </x:c>
      <x:c r="S142" s="47">
        <x:f>(180*(Ventas!AE145*0.9644) - IF(K142&gt;0,K142,0))</x:f>
      </x:c>
      <x:c r="T142" s="47">
        <x:f>IF(S142&gt;0,S142,0)</x:f>
      </x:c>
      <x:c r="U142" s="40"/>
      <x:c r="V142" s="40"/>
      <x:c r="W142" s="43"/>
      <x:c r="X142" s="43"/>
      <x:c r="Y142" s="47">
        <x:f>IF(K142&gt;0,K142+IF(T142&gt;0,T142,0),T142)</x:f>
      </x:c>
      <x:c r="Z142" s="40"/>
      <x:c r="AA142" s="43"/>
      <x:c r="AB142" s="6"/>
      <x:c r="AC142" s="6"/>
      <x:c r="AD142" s="40"/>
      <x:c r="AE142" s="40"/>
      <x:c r="AF142" s="43"/>
      <x:c r="AG142" s="43"/>
      <x:c r="AH142" s="6"/>
      <x:c r="AI142" s="6"/>
      <x:c r="AJ142" s="40"/>
      <x:c r="AK142" s="40"/>
      <x:c r="AL142" s="43"/>
      <x:c r="AM142" s="43"/>
      <x:c r="AN142" s="55">
        <x:f>(IF(AH142&gt;0,AH142,0)+IF(AJ142&gt;0,AJ142,0)+IF(AL142&gt;0,AL142,0))</x:f>
      </x:c>
      <x:c r="AO142" s="56">
        <x:f>(((AI142*7)+(AK142*1)+(AM142*1))/8)</x:f>
      </x:c>
      <x:c r="AP142" s="4" t="s">
        <x:v>51</x:v>
      </x:c>
    </x:row>
    <x:row r="143">
      <x:c r="A143" s="4" t="s">
        <x:v>459</x:v>
      </x:c>
      <x:c r="B143" s="4" t="s">
        <x:v>458</x:v>
      </x:c>
      <x:c r="C143" s="38" t="s">
        <x:v>457</x:v>
      </x:c>
      <x:c r="D143" s="41"/>
      <x:c r="E143" s="44"/>
      <x:c r="F143" s="6"/>
      <x:c r="G143" s="40"/>
      <x:c r="H143" s="43"/>
      <x:c r="I143" s="45">
        <x:v>46313</x:v>
      </x:c>
      <x:c r="J143" s="46">
        <x:v>81</x:v>
      </x:c>
      <x:c r="K143" s="47">
        <x:f>(F143-(0)+0-(J143*Ventas!AE146*1.0556))</x:f>
      </x:c>
      <x:c r="L143" s="6"/>
      <x:c r="M143" s="51">
        <x:f>(G143+0)</x:f>
      </x:c>
      <x:c r="N143" s="40"/>
      <x:c r="O143" s="54">
        <x:f>(H143+0)</x:f>
      </x:c>
      <x:c r="P143" s="43"/>
      <x:c r="Q143" s="55">
        <x:f>(K143+M143+O143)</x:f>
      </x:c>
      <x:c r="R143" s="56">
        <x:f>(((L143*7)+(N143*1)+(P143*0))/8)</x:f>
      </x:c>
      <x:c r="S143" s="47">
        <x:f>(180*(Ventas!AE146*0.9644) - IF(K143&gt;0,K143,0))</x:f>
      </x:c>
      <x:c r="T143" s="47">
        <x:f>IF(S143&gt;0,S143,0)</x:f>
      </x:c>
      <x:c r="U143" s="40"/>
      <x:c r="V143" s="40"/>
      <x:c r="W143" s="43"/>
      <x:c r="X143" s="43"/>
      <x:c r="Y143" s="47">
        <x:f>IF(K143&gt;0,K143+IF(T143&gt;0,T143,0),T143)</x:f>
      </x:c>
      <x:c r="Z143" s="40"/>
      <x:c r="AA143" s="43"/>
      <x:c r="AB143" s="6"/>
      <x:c r="AC143" s="6"/>
      <x:c r="AD143" s="40"/>
      <x:c r="AE143" s="40"/>
      <x:c r="AF143" s="43"/>
      <x:c r="AG143" s="43"/>
      <x:c r="AH143" s="6"/>
      <x:c r="AI143" s="6"/>
      <x:c r="AJ143" s="40"/>
      <x:c r="AK143" s="40"/>
      <x:c r="AL143" s="43"/>
      <x:c r="AM143" s="43"/>
      <x:c r="AN143" s="55">
        <x:f>(IF(AH143&gt;0,AH143,0)+IF(AJ143&gt;0,AJ143,0)+IF(AL143&gt;0,AL143,0))</x:f>
      </x:c>
      <x:c r="AO143" s="56">
        <x:f>(((AI143*7)+(AK143*1)+(AM143*1))/8)</x:f>
      </x:c>
      <x:c r="AP143" s="4" t="s">
        <x:v>51</x:v>
      </x:c>
    </x:row>
    <x:row r="144">
      <x:c r="A144" s="4" t="s">
        <x:v>462</x:v>
      </x:c>
      <x:c r="B144" s="4" t="s">
        <x:v>461</x:v>
      </x:c>
      <x:c r="C144" s="38" t="s">
        <x:v>460</x:v>
      </x:c>
      <x:c r="D144" s="41"/>
      <x:c r="E144" s="44"/>
      <x:c r="F144" s="8">
        <x:v>9</x:v>
      </x:c>
      <x:c r="G144" s="40"/>
      <x:c r="H144" s="43"/>
      <x:c r="I144" s="45">
        <x:v>46313</x:v>
      </x:c>
      <x:c r="J144" s="46">
        <x:v>81</x:v>
      </x:c>
      <x:c r="K144" s="47">
        <x:f>(F144-(0)+0-(J144*Ventas!AE147*1.0556))</x:f>
      </x:c>
      <x:c r="L144" s="49">
        <x:f>(K144/(Ventas!AE147*1.0556)/80)</x:f>
      </x:c>
      <x:c r="M144" s="51">
        <x:f>(G144+0)</x:f>
      </x:c>
      <x:c r="N144" s="40"/>
      <x:c r="O144" s="54">
        <x:f>(H144+0)</x:f>
      </x:c>
      <x:c r="P144" s="43"/>
      <x:c r="Q144" s="55">
        <x:f>(K144+M144+O144)</x:f>
      </x:c>
      <x:c r="R144" s="56">
        <x:f>(((L144*7)+(N144*1)+(P144*0))/8)</x:f>
      </x:c>
      <x:c r="S144" s="47">
        <x:f>(180*(Ventas!AE147*0.9644) - IF(K144&gt;0,K144,0))</x:f>
      </x:c>
      <x:c r="T144" s="47">
        <x:f>IF(S144&gt;0,S144,0)</x:f>
      </x:c>
      <x:c r="U144" s="40"/>
      <x:c r="V144" s="40"/>
      <x:c r="W144" s="43"/>
      <x:c r="X144" s="43"/>
      <x:c r="Y144" s="47">
        <x:f>IF(K144&gt;0,K144+IF(T144&gt;0,T144,0),T144)</x:f>
      </x:c>
      <x:c r="Z144" s="40"/>
      <x:c r="AA144" s="43"/>
      <x:c r="AB144" s="50">
        <x:v>10.6</x:v>
      </x:c>
      <x:c r="AC144" s="8">
        <x:v>3016</x:v>
      </x:c>
      <x:c r="AD144" s="40"/>
      <x:c r="AE144" s="40"/>
      <x:c r="AF144" s="43"/>
      <x:c r="AG144" s="43"/>
      <x:c r="AH144" s="47">
        <x:f>(Y144-(90*Ventas!AE147*0.9644))</x:f>
      </x:c>
      <x:c r="AI144" s="49">
        <x:f>(AH144/(Ventas!AE147*0.9644)/80)</x:f>
      </x:c>
      <x:c r="AJ144" s="40"/>
      <x:c r="AK144" s="40"/>
      <x:c r="AL144" s="43"/>
      <x:c r="AM144" s="43"/>
      <x:c r="AN144" s="55">
        <x:f>(IF(AH144&gt;0,AH144,0)+IF(AJ144&gt;0,AJ144,0)+IF(AL144&gt;0,AL144,0))</x:f>
      </x:c>
      <x:c r="AO144" s="56">
        <x:f>(((AI144*7)+(AK144*1)+(AM144*1))/8)</x:f>
      </x:c>
      <x:c r="AP144" s="4" t="s">
        <x:v>35</x:v>
      </x:c>
    </x:row>
    <x:row r="145">
      <x:c r="A145" s="4" t="s">
        <x:v>465</x:v>
      </x:c>
      <x:c r="B145" s="4" t="s">
        <x:v>464</x:v>
      </x:c>
      <x:c r="C145" s="38" t="s">
        <x:v>463</x:v>
      </x:c>
      <x:c r="D145" s="41"/>
      <x:c r="E145" s="44"/>
      <x:c r="F145" s="6"/>
      <x:c r="G145" s="40"/>
      <x:c r="H145" s="43"/>
      <x:c r="I145" s="45">
        <x:v>46313</x:v>
      </x:c>
      <x:c r="J145" s="46">
        <x:v>81</x:v>
      </x:c>
      <x:c r="K145" s="47">
        <x:f>(F145-(0)+0-(J145*Ventas!AE148*1.0556))</x:f>
      </x:c>
      <x:c r="L145" s="49">
        <x:f>(K145/(Ventas!AE148*1.0556)/80)</x:f>
      </x:c>
      <x:c r="M145" s="51">
        <x:f>(G145+0)</x:f>
      </x:c>
      <x:c r="N145" s="40"/>
      <x:c r="O145" s="54">
        <x:f>(H145+0)</x:f>
      </x:c>
      <x:c r="P145" s="43"/>
      <x:c r="Q145" s="55">
        <x:f>(K145+M145+O145)</x:f>
      </x:c>
      <x:c r="R145" s="56">
        <x:f>(((L145*7)+(N145*1)+(P145*0))/8)</x:f>
      </x:c>
      <x:c r="S145" s="47">
        <x:f>(180*(Ventas!AE148*0.9644) - IF(K145&gt;0,K145,0))</x:f>
      </x:c>
      <x:c r="T145" s="47">
        <x:f>IF(S145&gt;0,S145,0)</x:f>
      </x:c>
      <x:c r="U145" s="40"/>
      <x:c r="V145" s="40"/>
      <x:c r="W145" s="43"/>
      <x:c r="X145" s="43"/>
      <x:c r="Y145" s="47">
        <x:f>IF(K145&gt;0,K145+IF(T145&gt;0,T145,0),T145)</x:f>
      </x:c>
      <x:c r="Z145" s="40"/>
      <x:c r="AA145" s="43"/>
      <x:c r="AB145" s="50">
        <x:v>6.5794</x:v>
      </x:c>
      <x:c r="AC145" s="8">
        <x:v>3016</x:v>
      </x:c>
      <x:c r="AD145" s="40"/>
      <x:c r="AE145" s="40"/>
      <x:c r="AF145" s="43"/>
      <x:c r="AG145" s="43"/>
      <x:c r="AH145" s="47">
        <x:f>(Y145-(90*Ventas!AE148*0.9644))</x:f>
      </x:c>
      <x:c r="AI145" s="49">
        <x:f>(AH145/(Ventas!AE148*0.9644)/80)</x:f>
      </x:c>
      <x:c r="AJ145" s="40"/>
      <x:c r="AK145" s="40"/>
      <x:c r="AL145" s="43"/>
      <x:c r="AM145" s="43"/>
      <x:c r="AN145" s="55">
        <x:f>(IF(AH145&gt;0,AH145,0)+IF(AJ145&gt;0,AJ145,0)+IF(AL145&gt;0,AL145,0))</x:f>
      </x:c>
      <x:c r="AO145" s="56">
        <x:f>(((AI145*7)+(AK145*1)+(AM145*1))/8)</x:f>
      </x:c>
      <x:c r="AP145" s="4" t="s">
        <x:v>35</x:v>
      </x:c>
    </x:row>
    <x:row r="146">
      <x:c r="A146" s="4" t="s">
        <x:v>468</x:v>
      </x:c>
      <x:c r="B146" s="4" t="s">
        <x:v>467</x:v>
      </x:c>
      <x:c r="C146" s="38" t="s">
        <x:v>466</x:v>
      </x:c>
      <x:c r="D146" s="41"/>
      <x:c r="E146" s="44"/>
      <x:c r="F146" s="6"/>
      <x:c r="G146" s="40"/>
      <x:c r="H146" s="43"/>
      <x:c r="I146" s="45">
        <x:v>46313</x:v>
      </x:c>
      <x:c r="J146" s="46">
        <x:v>81</x:v>
      </x:c>
      <x:c r="K146" s="47">
        <x:f>(F146-(0)+0-(J146*Ventas!AE149*1.0556))</x:f>
      </x:c>
      <x:c r="L146" s="6"/>
      <x:c r="M146" s="51">
        <x:f>(G146+0)</x:f>
      </x:c>
      <x:c r="N146" s="40"/>
      <x:c r="O146" s="54">
        <x:f>(H146+0)</x:f>
      </x:c>
      <x:c r="P146" s="43"/>
      <x:c r="Q146" s="55">
        <x:f>(K146+M146+O146)</x:f>
      </x:c>
      <x:c r="R146" s="56">
        <x:f>(((L146*7)+(N146*1)+(P146*0))/8)</x:f>
      </x:c>
      <x:c r="S146" s="47">
        <x:f>(180*(Ventas!AE149*0.9644) - IF(K146&gt;0,K146,0))</x:f>
      </x:c>
      <x:c r="T146" s="47">
        <x:f>IF(S146&gt;0,S146,0)</x:f>
      </x:c>
      <x:c r="U146" s="40"/>
      <x:c r="V146" s="40"/>
      <x:c r="W146" s="43"/>
      <x:c r="X146" s="43"/>
      <x:c r="Y146" s="47">
        <x:f>IF(K146&gt;0,K146+IF(T146&gt;0,T146,0),T146)</x:f>
      </x:c>
      <x:c r="Z146" s="40"/>
      <x:c r="AA146" s="43"/>
      <x:c r="AB146" s="50">
        <x:v>7.5</x:v>
      </x:c>
      <x:c r="AC146" s="8">
        <x:v>3016</x:v>
      </x:c>
      <x:c r="AD146" s="40"/>
      <x:c r="AE146" s="40"/>
      <x:c r="AF146" s="43"/>
      <x:c r="AG146" s="43"/>
      <x:c r="AH146" s="6"/>
      <x:c r="AI146" s="6"/>
      <x:c r="AJ146" s="40"/>
      <x:c r="AK146" s="40"/>
      <x:c r="AL146" s="43"/>
      <x:c r="AM146" s="43"/>
      <x:c r="AN146" s="55">
        <x:f>(IF(AH146&gt;0,AH146,0)+IF(AJ146&gt;0,AJ146,0)+IF(AL146&gt;0,AL146,0))</x:f>
      </x:c>
      <x:c r="AO146" s="56">
        <x:f>(((AI146*7)+(AK146*1)+(AM146*1))/8)</x:f>
      </x:c>
      <x:c r="AP146" s="4" t="s">
        <x:v>35</x:v>
      </x:c>
    </x:row>
    <x:row r="147">
      <x:c r="A147" s="4" t="s">
        <x:v>471</x:v>
      </x:c>
      <x:c r="B147" s="4" t="s">
        <x:v>470</x:v>
      </x:c>
      <x:c r="C147" s="38" t="s">
        <x:v>469</x:v>
      </x:c>
      <x:c r="D147" s="41"/>
      <x:c r="E147" s="44"/>
      <x:c r="F147" s="8">
        <x:v>10</x:v>
      </x:c>
      <x:c r="G147" s="40"/>
      <x:c r="H147" s="43"/>
      <x:c r="I147" s="45">
        <x:v>46313</x:v>
      </x:c>
      <x:c r="J147" s="46">
        <x:v>81</x:v>
      </x:c>
      <x:c r="K147" s="47">
        <x:f>(F147-(0)+0-(J147*Ventas!AE150*1.0556))</x:f>
      </x:c>
      <x:c r="L147" s="6"/>
      <x:c r="M147" s="51">
        <x:f>(G147+0)</x:f>
      </x:c>
      <x:c r="N147" s="40"/>
      <x:c r="O147" s="54">
        <x:f>(H147+0)</x:f>
      </x:c>
      <x:c r="P147" s="43"/>
      <x:c r="Q147" s="55">
        <x:f>(K147+M147+O147)</x:f>
      </x:c>
      <x:c r="R147" s="56">
        <x:f>(((L147*7)+(N147*1)+(P147*0))/8)</x:f>
      </x:c>
      <x:c r="S147" s="47">
        <x:f>(180*(Ventas!AE150*0.9644) - IF(K147&gt;0,K147,0))</x:f>
      </x:c>
      <x:c r="T147" s="47">
        <x:f>IF(S147&gt;0,S147,0)</x:f>
      </x:c>
      <x:c r="U147" s="40"/>
      <x:c r="V147" s="40"/>
      <x:c r="W147" s="43"/>
      <x:c r="X147" s="43"/>
      <x:c r="Y147" s="47">
        <x:f>IF(K147&gt;0,K147+IF(T147&gt;0,T147,0),T147)</x:f>
      </x:c>
      <x:c r="Z147" s="40"/>
      <x:c r="AA147" s="43"/>
      <x:c r="AB147" s="50">
        <x:v>8.5</x:v>
      </x:c>
      <x:c r="AC147" s="8">
        <x:v>3016</x:v>
      </x:c>
      <x:c r="AD147" s="40"/>
      <x:c r="AE147" s="40"/>
      <x:c r="AF147" s="43"/>
      <x:c r="AG147" s="43"/>
      <x:c r="AH147" s="6"/>
      <x:c r="AI147" s="6"/>
      <x:c r="AJ147" s="40"/>
      <x:c r="AK147" s="40"/>
      <x:c r="AL147" s="43"/>
      <x:c r="AM147" s="43"/>
      <x:c r="AN147" s="55">
        <x:f>(IF(AH147&gt;0,AH147,0)+IF(AJ147&gt;0,AJ147,0)+IF(AL147&gt;0,AL147,0))</x:f>
      </x:c>
      <x:c r="AO147" s="56">
        <x:f>(((AI147*7)+(AK147*1)+(AM147*1))/8)</x:f>
      </x:c>
      <x:c r="AP147" s="4" t="s">
        <x:v>35</x:v>
      </x:c>
    </x:row>
    <x:row r="148">
      <x:c r="A148" s="4" t="s">
        <x:v>474</x:v>
      </x:c>
      <x:c r="B148" s="4" t="s">
        <x:v>473</x:v>
      </x:c>
      <x:c r="C148" s="38" t="s">
        <x:v>472</x:v>
      </x:c>
      <x:c r="D148" s="41"/>
      <x:c r="E148" s="44"/>
      <x:c r="F148" s="8">
        <x:v>1</x:v>
      </x:c>
      <x:c r="G148" s="40"/>
      <x:c r="H148" s="43"/>
      <x:c r="I148" s="45">
        <x:v>46313</x:v>
      </x:c>
      <x:c r="J148" s="46">
        <x:v>81</x:v>
      </x:c>
      <x:c r="K148" s="47">
        <x:f>(F148-(0)+0-(J148*Ventas!AE151*1.0556))</x:f>
      </x:c>
      <x:c r="L148" s="6"/>
      <x:c r="M148" s="51">
        <x:f>(G148+0)</x:f>
      </x:c>
      <x:c r="N148" s="40"/>
      <x:c r="O148" s="54">
        <x:f>(H148+0)</x:f>
      </x:c>
      <x:c r="P148" s="43"/>
      <x:c r="Q148" s="55">
        <x:f>(K148+M148+O148)</x:f>
      </x:c>
      <x:c r="R148" s="56">
        <x:f>(((L148*7)+(N148*1)+(P148*0))/8)</x:f>
      </x:c>
      <x:c r="S148" s="47">
        <x:f>(180*(Ventas!AE151*0.9644) - IF(K148&gt;0,K148,0))</x:f>
      </x:c>
      <x:c r="T148" s="47">
        <x:f>IF(S148&gt;0,S148,0)</x:f>
      </x:c>
      <x:c r="U148" s="40"/>
      <x:c r="V148" s="40"/>
      <x:c r="W148" s="43"/>
      <x:c r="X148" s="43"/>
      <x:c r="Y148" s="47">
        <x:f>IF(K148&gt;0,K148+IF(T148&gt;0,T148,0),T148)</x:f>
      </x:c>
      <x:c r="Z148" s="40"/>
      <x:c r="AA148" s="43"/>
      <x:c r="AB148" s="50">
        <x:v>8.34</x:v>
      </x:c>
      <x:c r="AC148" s="8">
        <x:v>3016</x:v>
      </x:c>
      <x:c r="AD148" s="40"/>
      <x:c r="AE148" s="40"/>
      <x:c r="AF148" s="43"/>
      <x:c r="AG148" s="43"/>
      <x:c r="AH148" s="6"/>
      <x:c r="AI148" s="6"/>
      <x:c r="AJ148" s="40"/>
      <x:c r="AK148" s="40"/>
      <x:c r="AL148" s="43"/>
      <x:c r="AM148" s="43"/>
      <x:c r="AN148" s="55">
        <x:f>(IF(AH148&gt;0,AH148,0)+IF(AJ148&gt;0,AJ148,0)+IF(AL148&gt;0,AL148,0))</x:f>
      </x:c>
      <x:c r="AO148" s="56">
        <x:f>(((AI148*7)+(AK148*1)+(AM148*1))/8)</x:f>
      </x:c>
      <x:c r="AP148" s="4" t="s">
        <x:v>35</x:v>
      </x:c>
    </x:row>
    <x:row r="149">
      <x:c r="A149" s="4" t="s">
        <x:v>477</x:v>
      </x:c>
      <x:c r="B149" s="4" t="s">
        <x:v>476</x:v>
      </x:c>
      <x:c r="C149" s="38" t="s">
        <x:v>475</x:v>
      </x:c>
      <x:c r="D149" s="41"/>
      <x:c r="E149" s="44"/>
      <x:c r="F149" s="8">
        <x:v>18</x:v>
      </x:c>
      <x:c r="G149" s="40"/>
      <x:c r="H149" s="43"/>
      <x:c r="I149" s="45">
        <x:v>46313</x:v>
      </x:c>
      <x:c r="J149" s="46">
        <x:v>81</x:v>
      </x:c>
      <x:c r="K149" s="47">
        <x:f>(F149-(0)+0-(J149*Ventas!AE152*1.0556))</x:f>
      </x:c>
      <x:c r="L149" s="49">
        <x:f>(K149/(Ventas!AE152*1.0556)/80)</x:f>
      </x:c>
      <x:c r="M149" s="51">
        <x:f>(G149+0)</x:f>
      </x:c>
      <x:c r="N149" s="40"/>
      <x:c r="O149" s="54">
        <x:f>(H149+0)</x:f>
      </x:c>
      <x:c r="P149" s="43"/>
      <x:c r="Q149" s="55">
        <x:f>(K149+M149+O149)</x:f>
      </x:c>
      <x:c r="R149" s="56">
        <x:f>(((L149*7)+(N149*1)+(P149*0))/8)</x:f>
      </x:c>
      <x:c r="S149" s="47">
        <x:f>(180*(Ventas!AE152*0.9644) - IF(K149&gt;0,K149,0))</x:f>
      </x:c>
      <x:c r="T149" s="47">
        <x:f>IF(S149&gt;0,S149,0)</x:f>
      </x:c>
      <x:c r="U149" s="40"/>
      <x:c r="V149" s="40"/>
      <x:c r="W149" s="43"/>
      <x:c r="X149" s="43"/>
      <x:c r="Y149" s="47">
        <x:f>IF(K149&gt;0,K149+IF(T149&gt;0,T149,0),T149)</x:f>
      </x:c>
      <x:c r="Z149" s="40"/>
      <x:c r="AA149" s="43"/>
      <x:c r="AB149" s="50">
        <x:v>2.5</x:v>
      </x:c>
      <x:c r="AC149" s="8">
        <x:v>3016</x:v>
      </x:c>
      <x:c r="AD149" s="40"/>
      <x:c r="AE149" s="40"/>
      <x:c r="AF149" s="43"/>
      <x:c r="AG149" s="43"/>
      <x:c r="AH149" s="47">
        <x:f>(Y149-(90*Ventas!AE152*0.9644))</x:f>
      </x:c>
      <x:c r="AI149" s="49">
        <x:f>(AH149/(Ventas!AE152*0.9644)/80)</x:f>
      </x:c>
      <x:c r="AJ149" s="40"/>
      <x:c r="AK149" s="40"/>
      <x:c r="AL149" s="43"/>
      <x:c r="AM149" s="43"/>
      <x:c r="AN149" s="55">
        <x:f>(IF(AH149&gt;0,AH149,0)+IF(AJ149&gt;0,AJ149,0)+IF(AL149&gt;0,AL149,0))</x:f>
      </x:c>
      <x:c r="AO149" s="56">
        <x:f>(((AI149*7)+(AK149*1)+(AM149*1))/8)</x:f>
      </x:c>
      <x:c r="AP149" s="4" t="s">
        <x:v>35</x:v>
      </x:c>
    </x:row>
    <x:row r="150">
      <x:c r="A150" s="4" t="s">
        <x:v>480</x:v>
      </x:c>
      <x:c r="B150" s="4" t="s">
        <x:v>479</x:v>
      </x:c>
      <x:c r="C150" s="38" t="s">
        <x:v>478</x:v>
      </x:c>
      <x:c r="D150" s="41"/>
      <x:c r="E150" s="44"/>
      <x:c r="F150" s="8">
        <x:v>117</x:v>
      </x:c>
      <x:c r="G150" s="40"/>
      <x:c r="H150" s="43"/>
      <x:c r="I150" s="45">
        <x:v>46313</x:v>
      </x:c>
      <x:c r="J150" s="46">
        <x:v>81</x:v>
      </x:c>
      <x:c r="K150" s="47">
        <x:f>(F150-(0)+0-(J150*Ventas!AE153*1.0556))</x:f>
      </x:c>
      <x:c r="L150" s="49">
        <x:f>(K150/(Ventas!AE153*1.0556)/80)</x:f>
      </x:c>
      <x:c r="M150" s="51">
        <x:f>(G150+0)</x:f>
      </x:c>
      <x:c r="N150" s="40"/>
      <x:c r="O150" s="54">
        <x:f>(H150+0)</x:f>
      </x:c>
      <x:c r="P150" s="43"/>
      <x:c r="Q150" s="55">
        <x:f>(K150+M150+O150)</x:f>
      </x:c>
      <x:c r="R150" s="56">
        <x:f>(((L150*7)+(N150*1)+(P150*0))/8)</x:f>
      </x:c>
      <x:c r="S150" s="47">
        <x:f>(180*(Ventas!AE153*0.9644) - IF(K150&gt;0,K150,0))</x:f>
      </x:c>
      <x:c r="T150" s="47">
        <x:f>IF(S150&gt;0,S150,0)</x:f>
      </x:c>
      <x:c r="U150" s="40"/>
      <x:c r="V150" s="40"/>
      <x:c r="W150" s="43"/>
      <x:c r="X150" s="43"/>
      <x:c r="Y150" s="47">
        <x:f>IF(K150&gt;0,K150+IF(T150&gt;0,T150,0),T150)</x:f>
      </x:c>
      <x:c r="Z150" s="40"/>
      <x:c r="AA150" s="43"/>
      <x:c r="AB150" s="50">
        <x:v>6.3</x:v>
      </x:c>
      <x:c r="AC150" s="8">
        <x:v>3016</x:v>
      </x:c>
      <x:c r="AD150" s="40"/>
      <x:c r="AE150" s="40"/>
      <x:c r="AF150" s="43"/>
      <x:c r="AG150" s="43"/>
      <x:c r="AH150" s="47">
        <x:f>(Y150-(90*Ventas!AE153*0.9644))</x:f>
      </x:c>
      <x:c r="AI150" s="49">
        <x:f>(AH150/(Ventas!AE153*0.9644)/80)</x:f>
      </x:c>
      <x:c r="AJ150" s="40"/>
      <x:c r="AK150" s="40"/>
      <x:c r="AL150" s="43"/>
      <x:c r="AM150" s="43"/>
      <x:c r="AN150" s="55">
        <x:f>(IF(AH150&gt;0,AH150,0)+IF(AJ150&gt;0,AJ150,0)+IF(AL150&gt;0,AL150,0))</x:f>
      </x:c>
      <x:c r="AO150" s="56">
        <x:f>(((AI150*7)+(AK150*1)+(AM150*1))/8)</x:f>
      </x:c>
      <x:c r="AP150" s="4" t="s">
        <x:v>35</x:v>
      </x:c>
    </x:row>
    <x:row r="151">
      <x:c r="A151" s="4" t="s">
        <x:v>483</x:v>
      </x:c>
      <x:c r="B151" s="4" t="s">
        <x:v>482</x:v>
      </x:c>
      <x:c r="C151" s="38" t="s">
        <x:v>481</x:v>
      </x:c>
      <x:c r="D151" s="41"/>
      <x:c r="E151" s="44"/>
      <x:c r="F151" s="6"/>
      <x:c r="G151" s="40"/>
      <x:c r="H151" s="43"/>
      <x:c r="I151" s="45">
        <x:v>46313</x:v>
      </x:c>
      <x:c r="J151" s="46">
        <x:v>81</x:v>
      </x:c>
      <x:c r="K151" s="47">
        <x:f>(F151-(0)+0-(J151*Ventas!AE154*1.0556))</x:f>
      </x:c>
      <x:c r="L151" s="6"/>
      <x:c r="M151" s="51">
        <x:f>(G151+0)</x:f>
      </x:c>
      <x:c r="N151" s="40"/>
      <x:c r="O151" s="54">
        <x:f>(H151+0)</x:f>
      </x:c>
      <x:c r="P151" s="43"/>
      <x:c r="Q151" s="55">
        <x:f>(K151+M151+O151)</x:f>
      </x:c>
      <x:c r="R151" s="56">
        <x:f>(((L151*7)+(N151*1)+(P151*0))/8)</x:f>
      </x:c>
      <x:c r="S151" s="47">
        <x:f>(180*(Ventas!AE154*0.9644) - IF(K151&gt;0,K151,0))</x:f>
      </x:c>
      <x:c r="T151" s="47">
        <x:f>IF(S151&gt;0,S151,0)</x:f>
      </x:c>
      <x:c r="U151" s="40"/>
      <x:c r="V151" s="40"/>
      <x:c r="W151" s="43"/>
      <x:c r="X151" s="43"/>
      <x:c r="Y151" s="47">
        <x:f>IF(K151&gt;0,K151+IF(T151&gt;0,T151,0),T151)</x:f>
      </x:c>
      <x:c r="Z151" s="40"/>
      <x:c r="AA151" s="43"/>
      <x:c r="AB151" s="6"/>
      <x:c r="AC151" s="6"/>
      <x:c r="AD151" s="40"/>
      <x:c r="AE151" s="40"/>
      <x:c r="AF151" s="43"/>
      <x:c r="AG151" s="43"/>
      <x:c r="AH151" s="6"/>
      <x:c r="AI151" s="6"/>
      <x:c r="AJ151" s="40"/>
      <x:c r="AK151" s="40"/>
      <x:c r="AL151" s="43"/>
      <x:c r="AM151" s="43"/>
      <x:c r="AN151" s="55">
        <x:f>(IF(AH151&gt;0,AH151,0)+IF(AJ151&gt;0,AJ151,0)+IF(AL151&gt;0,AL151,0))</x:f>
      </x:c>
      <x:c r="AO151" s="56">
        <x:f>(((AI151*7)+(AK151*1)+(AM151*1))/8)</x:f>
      </x:c>
      <x:c r="AP151" s="4" t="s">
        <x:v>51</x:v>
      </x:c>
    </x:row>
    <x:row r="152">
      <x:c r="A152" s="4" t="s">
        <x:v>486</x:v>
      </x:c>
      <x:c r="B152" s="4" t="s">
        <x:v>485</x:v>
      </x:c>
      <x:c r="C152" s="38" t="s">
        <x:v>484</x:v>
      </x:c>
      <x:c r="D152" s="41"/>
      <x:c r="E152" s="44"/>
      <x:c r="F152" s="6"/>
      <x:c r="G152" s="40"/>
      <x:c r="H152" s="43"/>
      <x:c r="I152" s="45">
        <x:v>46313</x:v>
      </x:c>
      <x:c r="J152" s="46">
        <x:v>81</x:v>
      </x:c>
      <x:c r="K152" s="47">
        <x:f>(F152-(0)+0-(J152*Ventas!AE155*1.0556))</x:f>
      </x:c>
      <x:c r="L152" s="6"/>
      <x:c r="M152" s="51">
        <x:f>(G152+0)</x:f>
      </x:c>
      <x:c r="N152" s="40"/>
      <x:c r="O152" s="54">
        <x:f>(H152+0)</x:f>
      </x:c>
      <x:c r="P152" s="43"/>
      <x:c r="Q152" s="55">
        <x:f>(K152+M152+O152)</x:f>
      </x:c>
      <x:c r="R152" s="56">
        <x:f>(((L152*7)+(N152*1)+(P152*0))/8)</x:f>
      </x:c>
      <x:c r="S152" s="47">
        <x:f>(180*(Ventas!AE155*0.9644) - IF(K152&gt;0,K152,0))</x:f>
      </x:c>
      <x:c r="T152" s="47">
        <x:f>IF(S152&gt;0,S152,0)</x:f>
      </x:c>
      <x:c r="U152" s="40"/>
      <x:c r="V152" s="40"/>
      <x:c r="W152" s="43"/>
      <x:c r="X152" s="43"/>
      <x:c r="Y152" s="47">
        <x:f>IF(K152&gt;0,K152+IF(T152&gt;0,T152,0),T152)</x:f>
      </x:c>
      <x:c r="Z152" s="40"/>
      <x:c r="AA152" s="43"/>
      <x:c r="AB152" s="6"/>
      <x:c r="AC152" s="6"/>
      <x:c r="AD152" s="40"/>
      <x:c r="AE152" s="40"/>
      <x:c r="AF152" s="43"/>
      <x:c r="AG152" s="43"/>
      <x:c r="AH152" s="6"/>
      <x:c r="AI152" s="6"/>
      <x:c r="AJ152" s="40"/>
      <x:c r="AK152" s="40"/>
      <x:c r="AL152" s="43"/>
      <x:c r="AM152" s="43"/>
      <x:c r="AN152" s="55">
        <x:f>(IF(AH152&gt;0,AH152,0)+IF(AJ152&gt;0,AJ152,0)+IF(AL152&gt;0,AL152,0))</x:f>
      </x:c>
      <x:c r="AO152" s="56">
        <x:f>(((AI152*7)+(AK152*1)+(AM152*1))/8)</x:f>
      </x:c>
      <x:c r="AP152" s="4" t="s">
        <x:v>51</x:v>
      </x:c>
    </x:row>
    <x:row r="153">
      <x:c r="A153" s="4" t="s">
        <x:v>489</x:v>
      </x:c>
      <x:c r="B153" s="4" t="s">
        <x:v>488</x:v>
      </x:c>
      <x:c r="C153" s="38" t="s">
        <x:v>487</x:v>
      </x:c>
      <x:c r="D153" s="41"/>
      <x:c r="E153" s="44"/>
      <x:c r="F153" s="6"/>
      <x:c r="G153" s="40"/>
      <x:c r="H153" s="43"/>
      <x:c r="I153" s="45">
        <x:v>46313</x:v>
      </x:c>
      <x:c r="J153" s="46">
        <x:v>81</x:v>
      </x:c>
      <x:c r="K153" s="47">
        <x:f>(F153-(0)+0-(J153*Ventas!AE156*1.0556))</x:f>
      </x:c>
      <x:c r="L153" s="6"/>
      <x:c r="M153" s="51">
        <x:f>(G153+0)</x:f>
      </x:c>
      <x:c r="N153" s="40"/>
      <x:c r="O153" s="54">
        <x:f>(H153+0)</x:f>
      </x:c>
      <x:c r="P153" s="43"/>
      <x:c r="Q153" s="55">
        <x:f>(K153+M153+O153)</x:f>
      </x:c>
      <x:c r="R153" s="56">
        <x:f>(((L153*7)+(N153*1)+(P153*0))/8)</x:f>
      </x:c>
      <x:c r="S153" s="47">
        <x:f>(180*(Ventas!AE156*0.9644) - IF(K153&gt;0,K153,0))</x:f>
      </x:c>
      <x:c r="T153" s="47">
        <x:f>IF(S153&gt;0,S153,0)</x:f>
      </x:c>
      <x:c r="U153" s="40"/>
      <x:c r="V153" s="40"/>
      <x:c r="W153" s="43"/>
      <x:c r="X153" s="43"/>
      <x:c r="Y153" s="47">
        <x:f>IF(K153&gt;0,K153+IF(T153&gt;0,T153,0),T153)</x:f>
      </x:c>
      <x:c r="Z153" s="40"/>
      <x:c r="AA153" s="43"/>
      <x:c r="AB153" s="6"/>
      <x:c r="AC153" s="6"/>
      <x:c r="AD153" s="40"/>
      <x:c r="AE153" s="40"/>
      <x:c r="AF153" s="43"/>
      <x:c r="AG153" s="43"/>
      <x:c r="AH153" s="6"/>
      <x:c r="AI153" s="6"/>
      <x:c r="AJ153" s="40"/>
      <x:c r="AK153" s="40"/>
      <x:c r="AL153" s="43"/>
      <x:c r="AM153" s="43"/>
      <x:c r="AN153" s="55">
        <x:f>(IF(AH153&gt;0,AH153,0)+IF(AJ153&gt;0,AJ153,0)+IF(AL153&gt;0,AL153,0))</x:f>
      </x:c>
      <x:c r="AO153" s="56">
        <x:f>(((AI153*7)+(AK153*1)+(AM153*1))/8)</x:f>
      </x:c>
      <x:c r="AP153" s="4" t="s">
        <x:v>35</x:v>
      </x:c>
    </x:row>
    <x:row r="154">
      <x:c r="A154" s="4" t="s">
        <x:v>492</x:v>
      </x:c>
      <x:c r="B154" s="4" t="s">
        <x:v>491</x:v>
      </x:c>
      <x:c r="C154" s="38" t="s">
        <x:v>490</x:v>
      </x:c>
      <x:c r="D154" s="41"/>
      <x:c r="E154" s="44"/>
      <x:c r="F154" s="6"/>
      <x:c r="G154" s="40"/>
      <x:c r="H154" s="43"/>
      <x:c r="I154" s="45">
        <x:v>46313</x:v>
      </x:c>
      <x:c r="J154" s="46">
        <x:v>81</x:v>
      </x:c>
      <x:c r="K154" s="47">
        <x:f>(F154-(0)+0-(J154*Ventas!AE157*1.0556))</x:f>
      </x:c>
      <x:c r="L154" s="6"/>
      <x:c r="M154" s="51">
        <x:f>(G154+0)</x:f>
      </x:c>
      <x:c r="N154" s="40"/>
      <x:c r="O154" s="54">
        <x:f>(H154+0)</x:f>
      </x:c>
      <x:c r="P154" s="43"/>
      <x:c r="Q154" s="55">
        <x:f>(K154+M154+O154)</x:f>
      </x:c>
      <x:c r="R154" s="56">
        <x:f>(((L154*7)+(N154*1)+(P154*0))/8)</x:f>
      </x:c>
      <x:c r="S154" s="47">
        <x:f>(180*(Ventas!AE157*0.9644) - IF(K154&gt;0,K154,0))</x:f>
      </x:c>
      <x:c r="T154" s="47">
        <x:f>IF(S154&gt;0,S154,0)</x:f>
      </x:c>
      <x:c r="U154" s="40"/>
      <x:c r="V154" s="40"/>
      <x:c r="W154" s="43"/>
      <x:c r="X154" s="43"/>
      <x:c r="Y154" s="47">
        <x:f>IF(K154&gt;0,K154+IF(T154&gt;0,T154,0),T154)</x:f>
      </x:c>
      <x:c r="Z154" s="40"/>
      <x:c r="AA154" s="43"/>
      <x:c r="AB154" s="50">
        <x:v>5.04</x:v>
      </x:c>
      <x:c r="AC154" s="8">
        <x:v>3022</x:v>
      </x:c>
      <x:c r="AD154" s="40"/>
      <x:c r="AE154" s="40"/>
      <x:c r="AF154" s="43"/>
      <x:c r="AG154" s="43"/>
      <x:c r="AH154" s="6"/>
      <x:c r="AI154" s="6"/>
      <x:c r="AJ154" s="40"/>
      <x:c r="AK154" s="40"/>
      <x:c r="AL154" s="43"/>
      <x:c r="AM154" s="43"/>
      <x:c r="AN154" s="55">
        <x:f>(IF(AH154&gt;0,AH154,0)+IF(AJ154&gt;0,AJ154,0)+IF(AL154&gt;0,AL154,0))</x:f>
      </x:c>
      <x:c r="AO154" s="56">
        <x:f>(((AI154*7)+(AK154*1)+(AM154*1))/8)</x:f>
      </x:c>
      <x:c r="AP154" s="4" t="s">
        <x:v>35</x:v>
      </x:c>
    </x:row>
    <x:row r="155">
      <x:c r="A155" s="4"/>
      <x:c r="B155" s="4" t="s">
        <x:v>494</x:v>
      </x:c>
      <x:c r="C155" s="38" t="s">
        <x:v>493</x:v>
      </x:c>
      <x:c r="D155" s="41"/>
      <x:c r="E155" s="44"/>
      <x:c r="F155" s="6"/>
      <x:c r="G155" s="40"/>
      <x:c r="H155" s="43"/>
      <x:c r="I155" s="45">
        <x:v>46313</x:v>
      </x:c>
      <x:c r="J155" s="46">
        <x:v>81</x:v>
      </x:c>
      <x:c r="K155" s="47">
        <x:f>(F155-(0)+0-(J155*Ventas!AE158*1.0556))</x:f>
      </x:c>
      <x:c r="L155" s="6"/>
      <x:c r="M155" s="51">
        <x:f>(G155+0)</x:f>
      </x:c>
      <x:c r="N155" s="40"/>
      <x:c r="O155" s="54">
        <x:f>(H155+0)</x:f>
      </x:c>
      <x:c r="P155" s="43"/>
      <x:c r="Q155" s="55">
        <x:f>(K155+M155+O155)</x:f>
      </x:c>
      <x:c r="R155" s="56">
        <x:f>(((L155*7)+(N155*1)+(P155*0))/8)</x:f>
      </x:c>
      <x:c r="S155" s="47">
        <x:f>(180*(Ventas!AE158*0.9644) - IF(K155&gt;0,K155,0))</x:f>
      </x:c>
      <x:c r="T155" s="47">
        <x:f>IF(S155&gt;0,S155,0)</x:f>
      </x:c>
      <x:c r="U155" s="40"/>
      <x:c r="V155" s="40"/>
      <x:c r="W155" s="43"/>
      <x:c r="X155" s="43"/>
      <x:c r="Y155" s="47">
        <x:f>IF(K155&gt;0,K155+IF(T155&gt;0,T155,0),T155)</x:f>
      </x:c>
      <x:c r="Z155" s="40"/>
      <x:c r="AA155" s="43"/>
      <x:c r="AB155" s="6"/>
      <x:c r="AC155" s="6"/>
      <x:c r="AD155" s="40"/>
      <x:c r="AE155" s="40"/>
      <x:c r="AF155" s="43"/>
      <x:c r="AG155" s="43"/>
      <x:c r="AH155" s="6"/>
      <x:c r="AI155" s="6"/>
      <x:c r="AJ155" s="40"/>
      <x:c r="AK155" s="40"/>
      <x:c r="AL155" s="43"/>
      <x:c r="AM155" s="43"/>
      <x:c r="AN155" s="55">
        <x:f>(IF(AH155&gt;0,AH155,0)+IF(AJ155&gt;0,AJ155,0)+IF(AL155&gt;0,AL155,0))</x:f>
      </x:c>
      <x:c r="AO155" s="56">
        <x:f>(((AI155*7)+(AK155*1)+(AM155*1))/8)</x:f>
      </x:c>
      <x:c r="AP155" s="4" t="s">
        <x:v>51</x:v>
      </x:c>
    </x:row>
    <x:row r="156">
      <x:c r="A156" s="4" t="s">
        <x:v>497</x:v>
      </x:c>
      <x:c r="B156" s="4" t="s">
        <x:v>496</x:v>
      </x:c>
      <x:c r="C156" s="38" t="s">
        <x:v>495</x:v>
      </x:c>
      <x:c r="D156" s="41"/>
      <x:c r="E156" s="44"/>
      <x:c r="F156" s="8">
        <x:v>53</x:v>
      </x:c>
      <x:c r="G156" s="40"/>
      <x:c r="H156" s="43"/>
      <x:c r="I156" s="45">
        <x:v>46313</x:v>
      </x:c>
      <x:c r="J156" s="46">
        <x:v>81</x:v>
      </x:c>
      <x:c r="K156" s="47">
        <x:f>(F156-(0)+0-(J156*Ventas!AE159*1.0556))</x:f>
      </x:c>
      <x:c r="L156" s="49">
        <x:f>(K156/(Ventas!AE159*1.0556)/80)</x:f>
      </x:c>
      <x:c r="M156" s="51">
        <x:f>(G156+0)</x:f>
      </x:c>
      <x:c r="N156" s="40"/>
      <x:c r="O156" s="54">
        <x:f>(H156+0)</x:f>
      </x:c>
      <x:c r="P156" s="43"/>
      <x:c r="Q156" s="55">
        <x:f>(K156+M156+O156)</x:f>
      </x:c>
      <x:c r="R156" s="56">
        <x:f>(((L156*7)+(N156*1)+(P156*0))/8)</x:f>
      </x:c>
      <x:c r="S156" s="47">
        <x:f>(180*(Ventas!AE159*0.9644) - IF(K156&gt;0,K156,0))</x:f>
      </x:c>
      <x:c r="T156" s="47">
        <x:f>IF(S156&gt;0,S156,0)</x:f>
      </x:c>
      <x:c r="U156" s="40"/>
      <x:c r="V156" s="40"/>
      <x:c r="W156" s="43"/>
      <x:c r="X156" s="43"/>
      <x:c r="Y156" s="47">
        <x:f>IF(K156&gt;0,K156+IF(T156&gt;0,T156,0),T156)</x:f>
      </x:c>
      <x:c r="Z156" s="40"/>
      <x:c r="AA156" s="43"/>
      <x:c r="AB156" s="50">
        <x:v>2.8478</x:v>
      </x:c>
      <x:c r="AC156" s="8">
        <x:v>3016</x:v>
      </x:c>
      <x:c r="AD156" s="40"/>
      <x:c r="AE156" s="40"/>
      <x:c r="AF156" s="43"/>
      <x:c r="AG156" s="43"/>
      <x:c r="AH156" s="47">
        <x:f>(Y156-(90*Ventas!AE159*0.9644))</x:f>
      </x:c>
      <x:c r="AI156" s="49">
        <x:f>(AH156/(Ventas!AE159*0.9644)/80)</x:f>
      </x:c>
      <x:c r="AJ156" s="40"/>
      <x:c r="AK156" s="40"/>
      <x:c r="AL156" s="43"/>
      <x:c r="AM156" s="43"/>
      <x:c r="AN156" s="55">
        <x:f>(IF(AH156&gt;0,AH156,0)+IF(AJ156&gt;0,AJ156,0)+IF(AL156&gt;0,AL156,0))</x:f>
      </x:c>
      <x:c r="AO156" s="56">
        <x:f>(((AI156*7)+(AK156*1)+(AM156*1))/8)</x:f>
      </x:c>
      <x:c r="AP156" s="4" t="s">
        <x:v>35</x:v>
      </x:c>
    </x:row>
    <x:row r="157">
      <x:c r="A157" s="4" t="s">
        <x:v>500</x:v>
      </x:c>
      <x:c r="B157" s="4" t="s">
        <x:v>499</x:v>
      </x:c>
      <x:c r="C157" s="38" t="s">
        <x:v>498</x:v>
      </x:c>
      <x:c r="D157" s="41"/>
      <x:c r="E157" s="44"/>
      <x:c r="F157" s="6"/>
      <x:c r="G157" s="40"/>
      <x:c r="H157" s="43"/>
      <x:c r="I157" s="45">
        <x:v>46313</x:v>
      </x:c>
      <x:c r="J157" s="46">
        <x:v>81</x:v>
      </x:c>
      <x:c r="K157" s="47">
        <x:f>(F157-(0)+0-(J157*Ventas!AE160*1.0556))</x:f>
      </x:c>
      <x:c r="L157" s="49">
        <x:f>(K157/(Ventas!AE160*1.0556)/80)</x:f>
      </x:c>
      <x:c r="M157" s="51">
        <x:f>(G157+0)</x:f>
      </x:c>
      <x:c r="N157" s="40"/>
      <x:c r="O157" s="54">
        <x:f>(H157+0)</x:f>
      </x:c>
      <x:c r="P157" s="43"/>
      <x:c r="Q157" s="55">
        <x:f>(K157+M157+O157)</x:f>
      </x:c>
      <x:c r="R157" s="56">
        <x:f>(((L157*7)+(N157*1)+(P157*0))/8)</x:f>
      </x:c>
      <x:c r="S157" s="47">
        <x:f>(180*(Ventas!AE160*0.9644) - IF(K157&gt;0,K157,0))</x:f>
      </x:c>
      <x:c r="T157" s="47">
        <x:f>IF(S157&gt;0,S157,0)</x:f>
      </x:c>
      <x:c r="U157" s="40"/>
      <x:c r="V157" s="40"/>
      <x:c r="W157" s="43"/>
      <x:c r="X157" s="43"/>
      <x:c r="Y157" s="47">
        <x:f>IF(K157&gt;0,K157+IF(T157&gt;0,T157,0),T157)</x:f>
      </x:c>
      <x:c r="Z157" s="40"/>
      <x:c r="AA157" s="43"/>
      <x:c r="AB157" s="50">
        <x:v>2.6514</x:v>
      </x:c>
      <x:c r="AC157" s="8">
        <x:v>3016</x:v>
      </x:c>
      <x:c r="AD157" s="40"/>
      <x:c r="AE157" s="40"/>
      <x:c r="AF157" s="43"/>
      <x:c r="AG157" s="43"/>
      <x:c r="AH157" s="47">
        <x:f>(Y157-(90*Ventas!AE160*0.9644))</x:f>
      </x:c>
      <x:c r="AI157" s="49">
        <x:f>(AH157/(Ventas!AE160*0.9644)/80)</x:f>
      </x:c>
      <x:c r="AJ157" s="40"/>
      <x:c r="AK157" s="40"/>
      <x:c r="AL157" s="43"/>
      <x:c r="AM157" s="43"/>
      <x:c r="AN157" s="55">
        <x:f>(IF(AH157&gt;0,AH157,0)+IF(AJ157&gt;0,AJ157,0)+IF(AL157&gt;0,AL157,0))</x:f>
      </x:c>
      <x:c r="AO157" s="56">
        <x:f>(((AI157*7)+(AK157*1)+(AM157*1))/8)</x:f>
      </x:c>
      <x:c r="AP157" s="4" t="s">
        <x:v>35</x:v>
      </x:c>
    </x:row>
    <x:row r="158">
      <x:c r="A158" s="4" t="s">
        <x:v>503</x:v>
      </x:c>
      <x:c r="B158" s="4" t="s">
        <x:v>502</x:v>
      </x:c>
      <x:c r="C158" s="38" t="s">
        <x:v>501</x:v>
      </x:c>
      <x:c r="D158" s="41"/>
      <x:c r="E158" s="44"/>
      <x:c r="F158" s="8">
        <x:v>16</x:v>
      </x:c>
      <x:c r="G158" s="40"/>
      <x:c r="H158" s="43"/>
      <x:c r="I158" s="45">
        <x:v>46313</x:v>
      </x:c>
      <x:c r="J158" s="46">
        <x:v>81</x:v>
      </x:c>
      <x:c r="K158" s="47">
        <x:f>(F158-(0)+0-(J158*Ventas!AE161*1.0556))</x:f>
      </x:c>
      <x:c r="L158" s="49">
        <x:f>(K158/(Ventas!AE161*1.0556)/80)</x:f>
      </x:c>
      <x:c r="M158" s="51">
        <x:f>(G158+0)</x:f>
      </x:c>
      <x:c r="N158" s="40"/>
      <x:c r="O158" s="54">
        <x:f>(H158+0)</x:f>
      </x:c>
      <x:c r="P158" s="43"/>
      <x:c r="Q158" s="55">
        <x:f>(K158+M158+O158)</x:f>
      </x:c>
      <x:c r="R158" s="56">
        <x:f>(((L158*7)+(N158*1)+(P158*0))/8)</x:f>
      </x:c>
      <x:c r="S158" s="47">
        <x:f>(180*(Ventas!AE161*0.9644) - IF(K158&gt;0,K158,0))</x:f>
      </x:c>
      <x:c r="T158" s="47">
        <x:f>IF(S158&gt;0,S158,0)</x:f>
      </x:c>
      <x:c r="U158" s="40"/>
      <x:c r="V158" s="40"/>
      <x:c r="W158" s="43"/>
      <x:c r="X158" s="43"/>
      <x:c r="Y158" s="47">
        <x:f>IF(K158&gt;0,K158+IF(T158&gt;0,T158,0),T158)</x:f>
      </x:c>
      <x:c r="Z158" s="40"/>
      <x:c r="AA158" s="43"/>
      <x:c r="AB158" s="50">
        <x:v>2.6514</x:v>
      </x:c>
      <x:c r="AC158" s="8">
        <x:v>3016</x:v>
      </x:c>
      <x:c r="AD158" s="40"/>
      <x:c r="AE158" s="40"/>
      <x:c r="AF158" s="43"/>
      <x:c r="AG158" s="43"/>
      <x:c r="AH158" s="47">
        <x:f>(Y158-(90*Ventas!AE161*0.9644))</x:f>
      </x:c>
      <x:c r="AI158" s="49">
        <x:f>(AH158/(Ventas!AE161*0.9644)/80)</x:f>
      </x:c>
      <x:c r="AJ158" s="40"/>
      <x:c r="AK158" s="40"/>
      <x:c r="AL158" s="43"/>
      <x:c r="AM158" s="43"/>
      <x:c r="AN158" s="55">
        <x:f>(IF(AH158&gt;0,AH158,0)+IF(AJ158&gt;0,AJ158,0)+IF(AL158&gt;0,AL158,0))</x:f>
      </x:c>
      <x:c r="AO158" s="56">
        <x:f>(((AI158*7)+(AK158*1)+(AM158*1))/8)</x:f>
      </x:c>
      <x:c r="AP158" s="4" t="s">
        <x:v>35</x:v>
      </x:c>
    </x:row>
    <x:row r="159">
      <x:c r="A159" s="4" t="s">
        <x:v>506</x:v>
      </x:c>
      <x:c r="B159" s="4" t="s">
        <x:v>505</x:v>
      </x:c>
      <x:c r="C159" s="38" t="s">
        <x:v>504</x:v>
      </x:c>
      <x:c r="D159" s="41"/>
      <x:c r="E159" s="44"/>
      <x:c r="F159" s="8">
        <x:v>7</x:v>
      </x:c>
      <x:c r="G159" s="40"/>
      <x:c r="H159" s="43"/>
      <x:c r="I159" s="45">
        <x:v>46313</x:v>
      </x:c>
      <x:c r="J159" s="46">
        <x:v>81</x:v>
      </x:c>
      <x:c r="K159" s="47">
        <x:f>(F159-(0)+0-(J159*Ventas!AE162*1.0556))</x:f>
      </x:c>
      <x:c r="L159" s="49">
        <x:f>(K159/(Ventas!AE162*1.0556)/80)</x:f>
      </x:c>
      <x:c r="M159" s="51">
        <x:f>(G159+0)</x:f>
      </x:c>
      <x:c r="N159" s="40"/>
      <x:c r="O159" s="54">
        <x:f>(H159+0)</x:f>
      </x:c>
      <x:c r="P159" s="43"/>
      <x:c r="Q159" s="55">
        <x:f>(K159+M159+O159)</x:f>
      </x:c>
      <x:c r="R159" s="56">
        <x:f>(((L159*7)+(N159*1)+(P159*0))/8)</x:f>
      </x:c>
      <x:c r="S159" s="47">
        <x:f>(180*(Ventas!AE162*0.9644) - IF(K159&gt;0,K159,0))</x:f>
      </x:c>
      <x:c r="T159" s="47">
        <x:f>IF(S159&gt;0,S159,0)</x:f>
      </x:c>
      <x:c r="U159" s="40"/>
      <x:c r="V159" s="40"/>
      <x:c r="W159" s="43"/>
      <x:c r="X159" s="43"/>
      <x:c r="Y159" s="47">
        <x:f>IF(K159&gt;0,K159+IF(T159&gt;0,T159,0),T159)</x:f>
      </x:c>
      <x:c r="Z159" s="40"/>
      <x:c r="AA159" s="43"/>
      <x:c r="AB159" s="50">
        <x:v>2.6514</x:v>
      </x:c>
      <x:c r="AC159" s="8">
        <x:v>3016</x:v>
      </x:c>
      <x:c r="AD159" s="40"/>
      <x:c r="AE159" s="40"/>
      <x:c r="AF159" s="43"/>
      <x:c r="AG159" s="43"/>
      <x:c r="AH159" s="47">
        <x:f>(Y159-(90*Ventas!AE162*0.9644))</x:f>
      </x:c>
      <x:c r="AI159" s="49">
        <x:f>(AH159/(Ventas!AE162*0.9644)/80)</x:f>
      </x:c>
      <x:c r="AJ159" s="40"/>
      <x:c r="AK159" s="40"/>
      <x:c r="AL159" s="43"/>
      <x:c r="AM159" s="43"/>
      <x:c r="AN159" s="55">
        <x:f>(IF(AH159&gt;0,AH159,0)+IF(AJ159&gt;0,AJ159,0)+IF(AL159&gt;0,AL159,0))</x:f>
      </x:c>
      <x:c r="AO159" s="56">
        <x:f>(((AI159*7)+(AK159*1)+(AM159*1))/8)</x:f>
      </x:c>
      <x:c r="AP159" s="4" t="s">
        <x:v>35</x:v>
      </x:c>
    </x:row>
    <x:row r="160">
      <x:c r="A160" s="4" t="s">
        <x:v>509</x:v>
      </x:c>
      <x:c r="B160" s="4" t="s">
        <x:v>508</x:v>
      </x:c>
      <x:c r="C160" s="38" t="s">
        <x:v>507</x:v>
      </x:c>
      <x:c r="D160" s="41"/>
      <x:c r="E160" s="44"/>
      <x:c r="F160" s="6"/>
      <x:c r="G160" s="40"/>
      <x:c r="H160" s="43"/>
      <x:c r="I160" s="45">
        <x:v>46313</x:v>
      </x:c>
      <x:c r="J160" s="46">
        <x:v>81</x:v>
      </x:c>
      <x:c r="K160" s="47">
        <x:f>(F160-(0)+0-(J160*Ventas!AE163*1.0556))</x:f>
      </x:c>
      <x:c r="L160" s="6"/>
      <x:c r="M160" s="51">
        <x:f>(G160+0)</x:f>
      </x:c>
      <x:c r="N160" s="40"/>
      <x:c r="O160" s="54">
        <x:f>(H160+0)</x:f>
      </x:c>
      <x:c r="P160" s="43"/>
      <x:c r="Q160" s="55">
        <x:f>(K160+M160+O160)</x:f>
      </x:c>
      <x:c r="R160" s="56">
        <x:f>(((L160*7)+(N160*1)+(P160*0))/8)</x:f>
      </x:c>
      <x:c r="S160" s="47">
        <x:f>(180*(Ventas!AE163*0.9644) - IF(K160&gt;0,K160,0))</x:f>
      </x:c>
      <x:c r="T160" s="47">
        <x:f>IF(S160&gt;0,S160,0)</x:f>
      </x:c>
      <x:c r="U160" s="40"/>
      <x:c r="V160" s="40"/>
      <x:c r="W160" s="43"/>
      <x:c r="X160" s="43"/>
      <x:c r="Y160" s="47">
        <x:f>IF(K160&gt;0,K160+IF(T160&gt;0,T160,0),T160)</x:f>
      </x:c>
      <x:c r="Z160" s="40"/>
      <x:c r="AA160" s="43"/>
      <x:c r="AB160" s="50">
        <x:v>12.6</x:v>
      </x:c>
      <x:c r="AC160" s="8">
        <x:v>3022</x:v>
      </x:c>
      <x:c r="AD160" s="40"/>
      <x:c r="AE160" s="40"/>
      <x:c r="AF160" s="43"/>
      <x:c r="AG160" s="43"/>
      <x:c r="AH160" s="6"/>
      <x:c r="AI160" s="6"/>
      <x:c r="AJ160" s="40"/>
      <x:c r="AK160" s="40"/>
      <x:c r="AL160" s="43"/>
      <x:c r="AM160" s="43"/>
      <x:c r="AN160" s="55">
        <x:f>(IF(AH160&gt;0,AH160,0)+IF(AJ160&gt;0,AJ160,0)+IF(AL160&gt;0,AL160,0))</x:f>
      </x:c>
      <x:c r="AO160" s="56">
        <x:f>(((AI160*7)+(AK160*1)+(AM160*1))/8)</x:f>
      </x:c>
      <x:c r="AP160" s="4" t="s">
        <x:v>35</x:v>
      </x:c>
    </x:row>
    <x:row r="161">
      <x:c r="A161" s="4"/>
      <x:c r="B161" s="4" t="s">
        <x:v>511</x:v>
      </x:c>
      <x:c r="C161" s="38" t="s">
        <x:v>510</x:v>
      </x:c>
      <x:c r="D161" s="41"/>
      <x:c r="E161" s="44"/>
      <x:c r="F161" s="6"/>
      <x:c r="G161" s="40"/>
      <x:c r="H161" s="43"/>
      <x:c r="I161" s="45">
        <x:v>46313</x:v>
      </x:c>
      <x:c r="J161" s="46">
        <x:v>81</x:v>
      </x:c>
      <x:c r="K161" s="47">
        <x:f>(F161-(0)+0-(J161*Ventas!AE164*1.0556))</x:f>
      </x:c>
      <x:c r="L161" s="6"/>
      <x:c r="M161" s="51">
        <x:f>(G161+0)</x:f>
      </x:c>
      <x:c r="N161" s="40"/>
      <x:c r="O161" s="54">
        <x:f>(H161+0)</x:f>
      </x:c>
      <x:c r="P161" s="43"/>
      <x:c r="Q161" s="55">
        <x:f>(K161+M161+O161)</x:f>
      </x:c>
      <x:c r="R161" s="56">
        <x:f>(((L161*7)+(N161*1)+(P161*0))/8)</x:f>
      </x:c>
      <x:c r="S161" s="47">
        <x:f>(180*(Ventas!AE164*0.9644) - IF(K161&gt;0,K161,0))</x:f>
      </x:c>
      <x:c r="T161" s="47">
        <x:f>IF(S161&gt;0,S161,0)</x:f>
      </x:c>
      <x:c r="U161" s="40"/>
      <x:c r="V161" s="40"/>
      <x:c r="W161" s="43"/>
      <x:c r="X161" s="43"/>
      <x:c r="Y161" s="47">
        <x:f>IF(K161&gt;0,K161+IF(T161&gt;0,T161,0),T161)</x:f>
      </x:c>
      <x:c r="Z161" s="40"/>
      <x:c r="AA161" s="43"/>
      <x:c r="AB161" s="6"/>
      <x:c r="AC161" s="6"/>
      <x:c r="AD161" s="40"/>
      <x:c r="AE161" s="40"/>
      <x:c r="AF161" s="43"/>
      <x:c r="AG161" s="43"/>
      <x:c r="AH161" s="6"/>
      <x:c r="AI161" s="6"/>
      <x:c r="AJ161" s="40"/>
      <x:c r="AK161" s="40"/>
      <x:c r="AL161" s="43"/>
      <x:c r="AM161" s="43"/>
      <x:c r="AN161" s="55">
        <x:f>(IF(AH161&gt;0,AH161,0)+IF(AJ161&gt;0,AJ161,0)+IF(AL161&gt;0,AL161,0))</x:f>
      </x:c>
      <x:c r="AO161" s="56">
        <x:f>(((AI161*7)+(AK161*1)+(AM161*1))/8)</x:f>
      </x:c>
      <x:c r="AP161" s="4" t="s">
        <x:v>51</x:v>
      </x:c>
    </x:row>
    <x:row r="162">
      <x:c r="A162" s="4" t="s">
        <x:v>514</x:v>
      </x:c>
      <x:c r="B162" s="4" t="s">
        <x:v>513</x:v>
      </x:c>
      <x:c r="C162" s="38" t="s">
        <x:v>512</x:v>
      </x:c>
      <x:c r="D162" s="41"/>
      <x:c r="E162" s="44"/>
      <x:c r="F162" s="8">
        <x:v>39</x:v>
      </x:c>
      <x:c r="G162" s="40"/>
      <x:c r="H162" s="43"/>
      <x:c r="I162" s="45">
        <x:v>46313</x:v>
      </x:c>
      <x:c r="J162" s="46">
        <x:v>81</x:v>
      </x:c>
      <x:c r="K162" s="47">
        <x:f>(F162-(0)+0-(J162*Ventas!AE165*1.0556))</x:f>
      </x:c>
      <x:c r="L162" s="49">
        <x:f>(K162/(Ventas!AE165*1.0556)/80)</x:f>
      </x:c>
      <x:c r="M162" s="51">
        <x:f>(G162+0)</x:f>
      </x:c>
      <x:c r="N162" s="40"/>
      <x:c r="O162" s="54">
        <x:f>(H162+0)</x:f>
      </x:c>
      <x:c r="P162" s="43"/>
      <x:c r="Q162" s="55">
        <x:f>(K162+M162+O162)</x:f>
      </x:c>
      <x:c r="R162" s="56">
        <x:f>(((L162*7)+(N162*1)+(P162*0))/8)</x:f>
      </x:c>
      <x:c r="S162" s="47">
        <x:f>(180*(Ventas!AE165*0.9644) - IF(K162&gt;0,K162,0))</x:f>
      </x:c>
      <x:c r="T162" s="47">
        <x:f>IF(S162&gt;0,S162,0)</x:f>
      </x:c>
      <x:c r="U162" s="40"/>
      <x:c r="V162" s="40"/>
      <x:c r="W162" s="43"/>
      <x:c r="X162" s="43"/>
      <x:c r="Y162" s="47">
        <x:f>IF(K162&gt;0,K162+IF(T162&gt;0,T162,0),T162)</x:f>
      </x:c>
      <x:c r="Z162" s="40"/>
      <x:c r="AA162" s="43"/>
      <x:c r="AB162" s="50">
        <x:v>2.4</x:v>
      </x:c>
      <x:c r="AC162" s="8">
        <x:v>3016</x:v>
      </x:c>
      <x:c r="AD162" s="40"/>
      <x:c r="AE162" s="40"/>
      <x:c r="AF162" s="43"/>
      <x:c r="AG162" s="43"/>
      <x:c r="AH162" s="47">
        <x:f>(Y162-(90*Ventas!AE165*0.9644))</x:f>
      </x:c>
      <x:c r="AI162" s="49">
        <x:f>(AH162/(Ventas!AE165*0.9644)/80)</x:f>
      </x:c>
      <x:c r="AJ162" s="40"/>
      <x:c r="AK162" s="40"/>
      <x:c r="AL162" s="43"/>
      <x:c r="AM162" s="43"/>
      <x:c r="AN162" s="55">
        <x:f>(IF(AH162&gt;0,AH162,0)+IF(AJ162&gt;0,AJ162,0)+IF(AL162&gt;0,AL162,0))</x:f>
      </x:c>
      <x:c r="AO162" s="56">
        <x:f>(((AI162*7)+(AK162*1)+(AM162*1))/8)</x:f>
      </x:c>
      <x:c r="AP162" s="4" t="s">
        <x:v>35</x:v>
      </x:c>
    </x:row>
    <x:row r="163">
      <x:c r="A163" s="4" t="s">
        <x:v>517</x:v>
      </x:c>
      <x:c r="B163" s="4" t="s">
        <x:v>516</x:v>
      </x:c>
      <x:c r="C163" s="38" t="s">
        <x:v>515</x:v>
      </x:c>
      <x:c r="D163" s="41"/>
      <x:c r="E163" s="44"/>
      <x:c r="F163" s="8">
        <x:v>11</x:v>
      </x:c>
      <x:c r="G163" s="40"/>
      <x:c r="H163" s="43"/>
      <x:c r="I163" s="45">
        <x:v>46313</x:v>
      </x:c>
      <x:c r="J163" s="46">
        <x:v>81</x:v>
      </x:c>
      <x:c r="K163" s="47">
        <x:f>(F163-(0)+0-(J163*Ventas!AE166*1.0556))</x:f>
      </x:c>
      <x:c r="L163" s="49">
        <x:f>(K163/(Ventas!AE166*1.0556)/80)</x:f>
      </x:c>
      <x:c r="M163" s="51">
        <x:f>(G163+0)</x:f>
      </x:c>
      <x:c r="N163" s="40"/>
      <x:c r="O163" s="54">
        <x:f>(H163+0)</x:f>
      </x:c>
      <x:c r="P163" s="43"/>
      <x:c r="Q163" s="55">
        <x:f>(K163+M163+O163)</x:f>
      </x:c>
      <x:c r="R163" s="56">
        <x:f>(((L163*7)+(N163*1)+(P163*0))/8)</x:f>
      </x:c>
      <x:c r="S163" s="47">
        <x:f>(180*(Ventas!AE166*0.9644) - IF(K163&gt;0,K163,0))</x:f>
      </x:c>
      <x:c r="T163" s="47">
        <x:f>IF(S163&gt;0,S163,0)</x:f>
      </x:c>
      <x:c r="U163" s="40"/>
      <x:c r="V163" s="40"/>
      <x:c r="W163" s="43"/>
      <x:c r="X163" s="43"/>
      <x:c r="Y163" s="47">
        <x:f>IF(K163&gt;0,K163+IF(T163&gt;0,T163,0),T163)</x:f>
      </x:c>
      <x:c r="Z163" s="40"/>
      <x:c r="AA163" s="43"/>
      <x:c r="AB163" s="50">
        <x:v>2.7</x:v>
      </x:c>
      <x:c r="AC163" s="8">
        <x:v>3016</x:v>
      </x:c>
      <x:c r="AD163" s="40"/>
      <x:c r="AE163" s="40"/>
      <x:c r="AF163" s="43"/>
      <x:c r="AG163" s="43"/>
      <x:c r="AH163" s="47">
        <x:f>(Y163-(90*Ventas!AE166*0.9644))</x:f>
      </x:c>
      <x:c r="AI163" s="49">
        <x:f>(AH163/(Ventas!AE166*0.9644)/80)</x:f>
      </x:c>
      <x:c r="AJ163" s="40"/>
      <x:c r="AK163" s="40"/>
      <x:c r="AL163" s="43"/>
      <x:c r="AM163" s="43"/>
      <x:c r="AN163" s="55">
        <x:f>(IF(AH163&gt;0,AH163,0)+IF(AJ163&gt;0,AJ163,0)+IF(AL163&gt;0,AL163,0))</x:f>
      </x:c>
      <x:c r="AO163" s="56">
        <x:f>(((AI163*7)+(AK163*1)+(AM163*1))/8)</x:f>
      </x:c>
      <x:c r="AP163" s="4" t="s">
        <x:v>35</x:v>
      </x:c>
    </x:row>
    <x:row r="164">
      <x:c r="A164" s="4" t="s">
        <x:v>520</x:v>
      </x:c>
      <x:c r="B164" s="4" t="s">
        <x:v>519</x:v>
      </x:c>
      <x:c r="C164" s="38" t="s">
        <x:v>518</x:v>
      </x:c>
      <x:c r="D164" s="41"/>
      <x:c r="E164" s="44"/>
      <x:c r="F164" s="8">
        <x:v>22</x:v>
      </x:c>
      <x:c r="G164" s="40"/>
      <x:c r="H164" s="43"/>
      <x:c r="I164" s="45">
        <x:v>46313</x:v>
      </x:c>
      <x:c r="J164" s="46">
        <x:v>81</x:v>
      </x:c>
      <x:c r="K164" s="47">
        <x:f>(F164-(0)+0-(J164*Ventas!AE167*1.0556))</x:f>
      </x:c>
      <x:c r="L164" s="49">
        <x:f>(K164/(Ventas!AE167*1.0556)/80)</x:f>
      </x:c>
      <x:c r="M164" s="51">
        <x:f>(G164+0)</x:f>
      </x:c>
      <x:c r="N164" s="40"/>
      <x:c r="O164" s="54">
        <x:f>(H164+0)</x:f>
      </x:c>
      <x:c r="P164" s="43"/>
      <x:c r="Q164" s="55">
        <x:f>(K164+M164+O164)</x:f>
      </x:c>
      <x:c r="R164" s="56">
        <x:f>(((L164*7)+(N164*1)+(P164*0))/8)</x:f>
      </x:c>
      <x:c r="S164" s="47">
        <x:f>(180*(Ventas!AE167*0.9644) - IF(K164&gt;0,K164,0))</x:f>
      </x:c>
      <x:c r="T164" s="47">
        <x:f>IF(S164&gt;0,S164,0)</x:f>
      </x:c>
      <x:c r="U164" s="40"/>
      <x:c r="V164" s="40"/>
      <x:c r="W164" s="43"/>
      <x:c r="X164" s="43"/>
      <x:c r="Y164" s="47">
        <x:f>IF(K164&gt;0,K164+IF(T164&gt;0,T164,0),T164)</x:f>
      </x:c>
      <x:c r="Z164" s="40"/>
      <x:c r="AA164" s="43"/>
      <x:c r="AB164" s="50">
        <x:v>2.7</x:v>
      </x:c>
      <x:c r="AC164" s="8">
        <x:v>3016</x:v>
      </x:c>
      <x:c r="AD164" s="40"/>
      <x:c r="AE164" s="40"/>
      <x:c r="AF164" s="43"/>
      <x:c r="AG164" s="43"/>
      <x:c r="AH164" s="47">
        <x:f>(Y164-(90*Ventas!AE167*0.9644))</x:f>
      </x:c>
      <x:c r="AI164" s="49">
        <x:f>(AH164/(Ventas!AE167*0.9644)/80)</x:f>
      </x:c>
      <x:c r="AJ164" s="40"/>
      <x:c r="AK164" s="40"/>
      <x:c r="AL164" s="43"/>
      <x:c r="AM164" s="43"/>
      <x:c r="AN164" s="55">
        <x:f>(IF(AH164&gt;0,AH164,0)+IF(AJ164&gt;0,AJ164,0)+IF(AL164&gt;0,AL164,0))</x:f>
      </x:c>
      <x:c r="AO164" s="56">
        <x:f>(((AI164*7)+(AK164*1)+(AM164*1))/8)</x:f>
      </x:c>
      <x:c r="AP164" s="4" t="s">
        <x:v>35</x:v>
      </x:c>
    </x:row>
    <x:row r="165">
      <x:c r="A165" s="4" t="s">
        <x:v>523</x:v>
      </x:c>
      <x:c r="B165" s="4" t="s">
        <x:v>522</x:v>
      </x:c>
      <x:c r="C165" s="38" t="s">
        <x:v>521</x:v>
      </x:c>
      <x:c r="D165" s="41"/>
      <x:c r="E165" s="44"/>
      <x:c r="F165" s="8">
        <x:v>10</x:v>
      </x:c>
      <x:c r="G165" s="40"/>
      <x:c r="H165" s="43"/>
      <x:c r="I165" s="45">
        <x:v>46313</x:v>
      </x:c>
      <x:c r="J165" s="46">
        <x:v>81</x:v>
      </x:c>
      <x:c r="K165" s="47">
        <x:f>(F165-(0)+0-(J165*Ventas!AE168*1.0556))</x:f>
      </x:c>
      <x:c r="L165" s="49">
        <x:f>(K165/(Ventas!AE168*1.0556)/80)</x:f>
      </x:c>
      <x:c r="M165" s="51">
        <x:f>(G165+0)</x:f>
      </x:c>
      <x:c r="N165" s="40"/>
      <x:c r="O165" s="54">
        <x:f>(H165+0)</x:f>
      </x:c>
      <x:c r="P165" s="43"/>
      <x:c r="Q165" s="55">
        <x:f>(K165+M165+O165)</x:f>
      </x:c>
      <x:c r="R165" s="56">
        <x:f>(((L165*7)+(N165*1)+(P165*0))/8)</x:f>
      </x:c>
      <x:c r="S165" s="47">
        <x:f>(180*(Ventas!AE168*0.9644) - IF(K165&gt;0,K165,0))</x:f>
      </x:c>
      <x:c r="T165" s="47">
        <x:f>IF(S165&gt;0,S165,0)</x:f>
      </x:c>
      <x:c r="U165" s="40"/>
      <x:c r="V165" s="40"/>
      <x:c r="W165" s="43"/>
      <x:c r="X165" s="43"/>
      <x:c r="Y165" s="47">
        <x:f>IF(K165&gt;0,K165+IF(T165&gt;0,T165,0),T165)</x:f>
      </x:c>
      <x:c r="Z165" s="40"/>
      <x:c r="AA165" s="43"/>
      <x:c r="AB165" s="50">
        <x:v>2.7</x:v>
      </x:c>
      <x:c r="AC165" s="8">
        <x:v>3016</x:v>
      </x:c>
      <x:c r="AD165" s="40"/>
      <x:c r="AE165" s="40"/>
      <x:c r="AF165" s="43"/>
      <x:c r="AG165" s="43"/>
      <x:c r="AH165" s="47">
        <x:f>(Y165-(90*Ventas!AE168*0.9644))</x:f>
      </x:c>
      <x:c r="AI165" s="49">
        <x:f>(AH165/(Ventas!AE168*0.9644)/80)</x:f>
      </x:c>
      <x:c r="AJ165" s="40"/>
      <x:c r="AK165" s="40"/>
      <x:c r="AL165" s="43"/>
      <x:c r="AM165" s="43"/>
      <x:c r="AN165" s="55">
        <x:f>(IF(AH165&gt;0,AH165,0)+IF(AJ165&gt;0,AJ165,0)+IF(AL165&gt;0,AL165,0))</x:f>
      </x:c>
      <x:c r="AO165" s="56">
        <x:f>(((AI165*7)+(AK165*1)+(AM165*1))/8)</x:f>
      </x:c>
      <x:c r="AP165" s="4" t="s">
        <x:v>35</x:v>
      </x:c>
    </x:row>
    <x:row r="166">
      <x:c r="A166" s="4" t="s">
        <x:v>526</x:v>
      </x:c>
      <x:c r="B166" s="4" t="s">
        <x:v>525</x:v>
      </x:c>
      <x:c r="C166" s="38" t="s">
        <x:v>524</x:v>
      </x:c>
      <x:c r="D166" s="41"/>
      <x:c r="E166" s="44"/>
      <x:c r="F166" s="8">
        <x:v>8</x:v>
      </x:c>
      <x:c r="G166" s="40"/>
      <x:c r="H166" s="43"/>
      <x:c r="I166" s="45">
        <x:v>46313</x:v>
      </x:c>
      <x:c r="J166" s="46">
        <x:v>81</x:v>
      </x:c>
      <x:c r="K166" s="47">
        <x:f>(F166-(0)+0-(J166*Ventas!AE169*1.0556))</x:f>
      </x:c>
      <x:c r="L166" s="49">
        <x:f>(K166/(Ventas!AE169*1.0556)/80)</x:f>
      </x:c>
      <x:c r="M166" s="51">
        <x:f>(G166+0)</x:f>
      </x:c>
      <x:c r="N166" s="40"/>
      <x:c r="O166" s="54">
        <x:f>(H166+0)</x:f>
      </x:c>
      <x:c r="P166" s="43"/>
      <x:c r="Q166" s="55">
        <x:f>(K166+M166+O166)</x:f>
      </x:c>
      <x:c r="R166" s="56">
        <x:f>(((L166*7)+(N166*1)+(P166*0))/8)</x:f>
      </x:c>
      <x:c r="S166" s="47">
        <x:f>(180*(Ventas!AE169*0.9644) - IF(K166&gt;0,K166,0))</x:f>
      </x:c>
      <x:c r="T166" s="47">
        <x:f>IF(S166&gt;0,S166,0)</x:f>
      </x:c>
      <x:c r="U166" s="40"/>
      <x:c r="V166" s="40"/>
      <x:c r="W166" s="43"/>
      <x:c r="X166" s="43"/>
      <x:c r="Y166" s="47">
        <x:f>IF(K166&gt;0,K166+IF(T166&gt;0,T166,0),T166)</x:f>
      </x:c>
      <x:c r="Z166" s="40"/>
      <x:c r="AA166" s="43"/>
      <x:c r="AB166" s="50">
        <x:v>2.8</x:v>
      </x:c>
      <x:c r="AC166" s="8">
        <x:v>3016</x:v>
      </x:c>
      <x:c r="AD166" s="40"/>
      <x:c r="AE166" s="40"/>
      <x:c r="AF166" s="43"/>
      <x:c r="AG166" s="43"/>
      <x:c r="AH166" s="47">
        <x:f>(Y166-(90*Ventas!AE169*0.9644))</x:f>
      </x:c>
      <x:c r="AI166" s="49">
        <x:f>(AH166/(Ventas!AE169*0.9644)/80)</x:f>
      </x:c>
      <x:c r="AJ166" s="40"/>
      <x:c r="AK166" s="40"/>
      <x:c r="AL166" s="43"/>
      <x:c r="AM166" s="43"/>
      <x:c r="AN166" s="55">
        <x:f>(IF(AH166&gt;0,AH166,0)+IF(AJ166&gt;0,AJ166,0)+IF(AL166&gt;0,AL166,0))</x:f>
      </x:c>
      <x:c r="AO166" s="56">
        <x:f>(((AI166*7)+(AK166*1)+(AM166*1))/8)</x:f>
      </x:c>
      <x:c r="AP166" s="4" t="s">
        <x:v>35</x:v>
      </x:c>
    </x:row>
    <x:row r="167">
      <x:c r="A167" s="4" t="s">
        <x:v>529</x:v>
      </x:c>
      <x:c r="B167" s="4" t="s">
        <x:v>528</x:v>
      </x:c>
      <x:c r="C167" s="38" t="s">
        <x:v>527</x:v>
      </x:c>
      <x:c r="D167" s="41"/>
      <x:c r="E167" s="44"/>
      <x:c r="F167" s="6"/>
      <x:c r="G167" s="40"/>
      <x:c r="H167" s="43"/>
      <x:c r="I167" s="45">
        <x:v>46313</x:v>
      </x:c>
      <x:c r="J167" s="46">
        <x:v>81</x:v>
      </x:c>
      <x:c r="K167" s="47">
        <x:f>(F167-(0)+0-(J167*Ventas!AE170*1.0556))</x:f>
      </x:c>
      <x:c r="L167" s="6"/>
      <x:c r="M167" s="51">
        <x:f>(G167+0)</x:f>
      </x:c>
      <x:c r="N167" s="40"/>
      <x:c r="O167" s="54">
        <x:f>(H167+0)</x:f>
      </x:c>
      <x:c r="P167" s="43"/>
      <x:c r="Q167" s="55">
        <x:f>(K167+M167+O167)</x:f>
      </x:c>
      <x:c r="R167" s="56">
        <x:f>(((L167*7)+(N167*1)+(P167*0))/8)</x:f>
      </x:c>
      <x:c r="S167" s="47">
        <x:f>(180*(Ventas!AE170*0.9644) - IF(K167&gt;0,K167,0))</x:f>
      </x:c>
      <x:c r="T167" s="47">
        <x:f>IF(S167&gt;0,S167,0)</x:f>
      </x:c>
      <x:c r="U167" s="40"/>
      <x:c r="V167" s="40"/>
      <x:c r="W167" s="43"/>
      <x:c r="X167" s="43"/>
      <x:c r="Y167" s="47">
        <x:f>IF(K167&gt;0,K167+IF(T167&gt;0,T167,0),T167)</x:f>
      </x:c>
      <x:c r="Z167" s="40"/>
      <x:c r="AA167" s="43"/>
      <x:c r="AB167" s="6"/>
      <x:c r="AC167" s="6"/>
      <x:c r="AD167" s="40"/>
      <x:c r="AE167" s="40"/>
      <x:c r="AF167" s="43"/>
      <x:c r="AG167" s="43"/>
      <x:c r="AH167" s="6"/>
      <x:c r="AI167" s="6"/>
      <x:c r="AJ167" s="40"/>
      <x:c r="AK167" s="40"/>
      <x:c r="AL167" s="43"/>
      <x:c r="AM167" s="43"/>
      <x:c r="AN167" s="55">
        <x:f>(IF(AH167&gt;0,AH167,0)+IF(AJ167&gt;0,AJ167,0)+IF(AL167&gt;0,AL167,0))</x:f>
      </x:c>
      <x:c r="AO167" s="56">
        <x:f>(((AI167*7)+(AK167*1)+(AM167*1))/8)</x:f>
      </x:c>
      <x:c r="AP167" s="4" t="s">
        <x:v>51</x:v>
      </x:c>
    </x:row>
    <x:row r="168">
      <x:c r="A168" s="4" t="s">
        <x:v>532</x:v>
      </x:c>
      <x:c r="B168" s="4" t="s">
        <x:v>531</x:v>
      </x:c>
      <x:c r="C168" s="38" t="s">
        <x:v>530</x:v>
      </x:c>
      <x:c r="D168" s="41"/>
      <x:c r="E168" s="44"/>
      <x:c r="F168" s="6"/>
      <x:c r="G168" s="40"/>
      <x:c r="H168" s="43"/>
      <x:c r="I168" s="45">
        <x:v>46313</x:v>
      </x:c>
      <x:c r="J168" s="46">
        <x:v>81</x:v>
      </x:c>
      <x:c r="K168" s="47">
        <x:f>(F168-(0)+0-(J168*Ventas!AE171*1.0556))</x:f>
      </x:c>
      <x:c r="L168" s="6"/>
      <x:c r="M168" s="51">
        <x:f>(G168+0)</x:f>
      </x:c>
      <x:c r="N168" s="40"/>
      <x:c r="O168" s="54">
        <x:f>(H168+0)</x:f>
      </x:c>
      <x:c r="P168" s="43"/>
      <x:c r="Q168" s="55">
        <x:f>(K168+M168+O168)</x:f>
      </x:c>
      <x:c r="R168" s="56">
        <x:f>(((L168*7)+(N168*1)+(P168*0))/8)</x:f>
      </x:c>
      <x:c r="S168" s="47">
        <x:f>(180*(Ventas!AE171*0.9644) - IF(K168&gt;0,K168,0))</x:f>
      </x:c>
      <x:c r="T168" s="47">
        <x:f>IF(S168&gt;0,S168,0)</x:f>
      </x:c>
      <x:c r="U168" s="40"/>
      <x:c r="V168" s="40"/>
      <x:c r="W168" s="43"/>
      <x:c r="X168" s="43"/>
      <x:c r="Y168" s="47">
        <x:f>IF(K168&gt;0,K168+IF(T168&gt;0,T168,0),T168)</x:f>
      </x:c>
      <x:c r="Z168" s="40"/>
      <x:c r="AA168" s="43"/>
      <x:c r="AB168" s="6"/>
      <x:c r="AC168" s="6"/>
      <x:c r="AD168" s="40"/>
      <x:c r="AE168" s="40"/>
      <x:c r="AF168" s="43"/>
      <x:c r="AG168" s="43"/>
      <x:c r="AH168" s="6"/>
      <x:c r="AI168" s="6"/>
      <x:c r="AJ168" s="40"/>
      <x:c r="AK168" s="40"/>
      <x:c r="AL168" s="43"/>
      <x:c r="AM168" s="43"/>
      <x:c r="AN168" s="55">
        <x:f>(IF(AH168&gt;0,AH168,0)+IF(AJ168&gt;0,AJ168,0)+IF(AL168&gt;0,AL168,0))</x:f>
      </x:c>
      <x:c r="AO168" s="56">
        <x:f>(((AI168*7)+(AK168*1)+(AM168*1))/8)</x:f>
      </x:c>
      <x:c r="AP168" s="4" t="s">
        <x:v>35</x:v>
      </x:c>
    </x:row>
    <x:row r="169">
      <x:c r="A169" s="4" t="s">
        <x:v>535</x:v>
      </x:c>
      <x:c r="B169" s="4" t="s">
        <x:v>534</x:v>
      </x:c>
      <x:c r="C169" s="38" t="s">
        <x:v>533</x:v>
      </x:c>
      <x:c r="D169" s="41"/>
      <x:c r="E169" s="44"/>
      <x:c r="F169" s="6"/>
      <x:c r="G169" s="40"/>
      <x:c r="H169" s="43"/>
      <x:c r="I169" s="45">
        <x:v>46313</x:v>
      </x:c>
      <x:c r="J169" s="46">
        <x:v>81</x:v>
      </x:c>
      <x:c r="K169" s="47">
        <x:f>(F169-(0)+0-(J169*Ventas!AE172*1.0556))</x:f>
      </x:c>
      <x:c r="L169" s="6"/>
      <x:c r="M169" s="51">
        <x:f>(G169+0)</x:f>
      </x:c>
      <x:c r="N169" s="40"/>
      <x:c r="O169" s="54">
        <x:f>(H169+0)</x:f>
      </x:c>
      <x:c r="P169" s="43"/>
      <x:c r="Q169" s="55">
        <x:f>(K169+M169+O169)</x:f>
      </x:c>
      <x:c r="R169" s="56">
        <x:f>(((L169*7)+(N169*1)+(P169*0))/8)</x:f>
      </x:c>
      <x:c r="S169" s="47">
        <x:f>(180*(Ventas!AE172*0.9644) - IF(K169&gt;0,K169,0))</x:f>
      </x:c>
      <x:c r="T169" s="47">
        <x:f>IF(S169&gt;0,S169,0)</x:f>
      </x:c>
      <x:c r="U169" s="40"/>
      <x:c r="V169" s="40"/>
      <x:c r="W169" s="43"/>
      <x:c r="X169" s="43"/>
      <x:c r="Y169" s="47">
        <x:f>IF(K169&gt;0,K169+IF(T169&gt;0,T169,0),T169)</x:f>
      </x:c>
      <x:c r="Z169" s="40"/>
      <x:c r="AA169" s="43"/>
      <x:c r="AB169" s="6"/>
      <x:c r="AC169" s="6"/>
      <x:c r="AD169" s="40"/>
      <x:c r="AE169" s="40"/>
      <x:c r="AF169" s="43"/>
      <x:c r="AG169" s="43"/>
      <x:c r="AH169" s="6"/>
      <x:c r="AI169" s="6"/>
      <x:c r="AJ169" s="40"/>
      <x:c r="AK169" s="40"/>
      <x:c r="AL169" s="43"/>
      <x:c r="AM169" s="43"/>
      <x:c r="AN169" s="55">
        <x:f>(IF(AH169&gt;0,AH169,0)+IF(AJ169&gt;0,AJ169,0)+IF(AL169&gt;0,AL169,0))</x:f>
      </x:c>
      <x:c r="AO169" s="56">
        <x:f>(((AI169*7)+(AK169*1)+(AM169*1))/8)</x:f>
      </x:c>
      <x:c r="AP169" s="4" t="s">
        <x:v>51</x:v>
      </x:c>
    </x:row>
    <x:row r="170">
      <x:c r="A170" s="4" t="s">
        <x:v>538</x:v>
      </x:c>
      <x:c r="B170" s="4" t="s">
        <x:v>537</x:v>
      </x:c>
      <x:c r="C170" s="38" t="s">
        <x:v>536</x:v>
      </x:c>
      <x:c r="D170" s="41"/>
      <x:c r="E170" s="44"/>
      <x:c r="F170" s="8">
        <x:v>10</x:v>
      </x:c>
      <x:c r="G170" s="40"/>
      <x:c r="H170" s="43"/>
      <x:c r="I170" s="45">
        <x:v>46313</x:v>
      </x:c>
      <x:c r="J170" s="46">
        <x:v>81</x:v>
      </x:c>
      <x:c r="K170" s="47">
        <x:f>(F170-(0)+0-(J170*Ventas!AE173*1.0556))</x:f>
      </x:c>
      <x:c r="L170" s="49">
        <x:f>(K170/(Ventas!AE173*1.0556)/80)</x:f>
      </x:c>
      <x:c r="M170" s="51">
        <x:f>(G170+0)</x:f>
      </x:c>
      <x:c r="N170" s="40"/>
      <x:c r="O170" s="54">
        <x:f>(H170+0)</x:f>
      </x:c>
      <x:c r="P170" s="43"/>
      <x:c r="Q170" s="55">
        <x:f>(K170+M170+O170)</x:f>
      </x:c>
      <x:c r="R170" s="56">
        <x:f>(((L170*7)+(N170*1)+(P170*0))/8)</x:f>
      </x:c>
      <x:c r="S170" s="47">
        <x:f>(180*(Ventas!AE173*0.9644) - IF(K170&gt;0,K170,0))</x:f>
      </x:c>
      <x:c r="T170" s="47">
        <x:f>IF(S170&gt;0,S170,0)</x:f>
      </x:c>
      <x:c r="U170" s="40"/>
      <x:c r="V170" s="40"/>
      <x:c r="W170" s="43"/>
      <x:c r="X170" s="43"/>
      <x:c r="Y170" s="47">
        <x:f>IF(K170&gt;0,K170+IF(T170&gt;0,T170,0),T170)</x:f>
      </x:c>
      <x:c r="Z170" s="40"/>
      <x:c r="AA170" s="43"/>
      <x:c r="AB170" s="50">
        <x:v>6.4</x:v>
      </x:c>
      <x:c r="AC170" s="8">
        <x:v>3016</x:v>
      </x:c>
      <x:c r="AD170" s="40"/>
      <x:c r="AE170" s="40"/>
      <x:c r="AF170" s="43"/>
      <x:c r="AG170" s="43"/>
      <x:c r="AH170" s="47">
        <x:f>(Y170-(90*Ventas!AE173*0.9644))</x:f>
      </x:c>
      <x:c r="AI170" s="49">
        <x:f>(AH170/(Ventas!AE173*0.9644)/80)</x:f>
      </x:c>
      <x:c r="AJ170" s="40"/>
      <x:c r="AK170" s="40"/>
      <x:c r="AL170" s="43"/>
      <x:c r="AM170" s="43"/>
      <x:c r="AN170" s="55">
        <x:f>(IF(AH170&gt;0,AH170,0)+IF(AJ170&gt;0,AJ170,0)+IF(AL170&gt;0,AL170,0))</x:f>
      </x:c>
      <x:c r="AO170" s="56">
        <x:f>(((AI170*7)+(AK170*1)+(AM170*1))/8)</x:f>
      </x:c>
      <x:c r="AP170" s="4" t="s">
        <x:v>35</x:v>
      </x:c>
    </x:row>
    <x:row r="171">
      <x:c r="A171" s="4" t="s">
        <x:v>541</x:v>
      </x:c>
      <x:c r="B171" s="4" t="s">
        <x:v>540</x:v>
      </x:c>
      <x:c r="C171" s="38" t="s">
        <x:v>539</x:v>
      </x:c>
      <x:c r="D171" s="41"/>
      <x:c r="E171" s="44"/>
      <x:c r="F171" s="6"/>
      <x:c r="G171" s="40"/>
      <x:c r="H171" s="43"/>
      <x:c r="I171" s="45">
        <x:v>46313</x:v>
      </x:c>
      <x:c r="J171" s="46">
        <x:v>81</x:v>
      </x:c>
      <x:c r="K171" s="47">
        <x:f>(F171-(0)+0-(J171*Ventas!AE174*1.0556))</x:f>
      </x:c>
      <x:c r="L171" s="6"/>
      <x:c r="M171" s="51">
        <x:f>(G171+0)</x:f>
      </x:c>
      <x:c r="N171" s="40"/>
      <x:c r="O171" s="54">
        <x:f>(H171+0)</x:f>
      </x:c>
      <x:c r="P171" s="43"/>
      <x:c r="Q171" s="55">
        <x:f>(K171+M171+O171)</x:f>
      </x:c>
      <x:c r="R171" s="56">
        <x:f>(((L171*7)+(N171*1)+(P171*0))/8)</x:f>
      </x:c>
      <x:c r="S171" s="47">
        <x:f>(180*(Ventas!AE174*0.9644) - IF(K171&gt;0,K171,0))</x:f>
      </x:c>
      <x:c r="T171" s="47">
        <x:f>IF(S171&gt;0,S171,0)</x:f>
      </x:c>
      <x:c r="U171" s="40"/>
      <x:c r="V171" s="40"/>
      <x:c r="W171" s="43"/>
      <x:c r="X171" s="43"/>
      <x:c r="Y171" s="47">
        <x:f>IF(K171&gt;0,K171+IF(T171&gt;0,T171,0),T171)</x:f>
      </x:c>
      <x:c r="Z171" s="40"/>
      <x:c r="AA171" s="43"/>
      <x:c r="AB171" s="50">
        <x:v>7.62</x:v>
      </x:c>
      <x:c r="AC171" s="8">
        <x:v>3013</x:v>
      </x:c>
      <x:c r="AD171" s="40"/>
      <x:c r="AE171" s="40"/>
      <x:c r="AF171" s="43"/>
      <x:c r="AG171" s="43"/>
      <x:c r="AH171" s="6"/>
      <x:c r="AI171" s="6"/>
      <x:c r="AJ171" s="40"/>
      <x:c r="AK171" s="40"/>
      <x:c r="AL171" s="43"/>
      <x:c r="AM171" s="43"/>
      <x:c r="AN171" s="55">
        <x:f>(IF(AH171&gt;0,AH171,0)+IF(AJ171&gt;0,AJ171,0)+IF(AL171&gt;0,AL171,0))</x:f>
      </x:c>
      <x:c r="AO171" s="56">
        <x:f>(((AI171*7)+(AK171*1)+(AM171*1))/8)</x:f>
      </x:c>
      <x:c r="AP171" s="4" t="s">
        <x:v>51</x:v>
      </x:c>
    </x:row>
    <x:row r="172">
      <x:c r="A172" s="4" t="s">
        <x:v>544</x:v>
      </x:c>
      <x:c r="B172" s="4" t="s">
        <x:v>543</x:v>
      </x:c>
      <x:c r="C172" s="38" t="s">
        <x:v>542</x:v>
      </x:c>
      <x:c r="D172" s="41"/>
      <x:c r="E172" s="44"/>
      <x:c r="F172" s="6"/>
      <x:c r="G172" s="40"/>
      <x:c r="H172" s="43"/>
      <x:c r="I172" s="45">
        <x:v>46313</x:v>
      </x:c>
      <x:c r="J172" s="46">
        <x:v>81</x:v>
      </x:c>
      <x:c r="K172" s="47">
        <x:f>(F172-(0)+0-(J172*Ventas!AE175*1.0556))</x:f>
      </x:c>
      <x:c r="L172" s="6"/>
      <x:c r="M172" s="51">
        <x:f>(G172+0)</x:f>
      </x:c>
      <x:c r="N172" s="40"/>
      <x:c r="O172" s="54">
        <x:f>(H172+0)</x:f>
      </x:c>
      <x:c r="P172" s="43"/>
      <x:c r="Q172" s="55">
        <x:f>(K172+M172+O172)</x:f>
      </x:c>
      <x:c r="R172" s="56">
        <x:f>(((L172*7)+(N172*1)+(P172*0))/8)</x:f>
      </x:c>
      <x:c r="S172" s="47">
        <x:f>(180*(Ventas!AE175*0.9644) - IF(K172&gt;0,K172,0))</x:f>
      </x:c>
      <x:c r="T172" s="47">
        <x:f>IF(S172&gt;0,S172,0)</x:f>
      </x:c>
      <x:c r="U172" s="40"/>
      <x:c r="V172" s="40"/>
      <x:c r="W172" s="43"/>
      <x:c r="X172" s="43"/>
      <x:c r="Y172" s="47">
        <x:f>IF(K172&gt;0,K172+IF(T172&gt;0,T172,0),T172)</x:f>
      </x:c>
      <x:c r="Z172" s="40"/>
      <x:c r="AA172" s="43"/>
      <x:c r="AB172" s="6"/>
      <x:c r="AC172" s="6"/>
      <x:c r="AD172" s="40"/>
      <x:c r="AE172" s="40"/>
      <x:c r="AF172" s="43"/>
      <x:c r="AG172" s="43"/>
      <x:c r="AH172" s="6"/>
      <x:c r="AI172" s="6"/>
      <x:c r="AJ172" s="40"/>
      <x:c r="AK172" s="40"/>
      <x:c r="AL172" s="43"/>
      <x:c r="AM172" s="43"/>
      <x:c r="AN172" s="55">
        <x:f>(IF(AH172&gt;0,AH172,0)+IF(AJ172&gt;0,AJ172,0)+IF(AL172&gt;0,AL172,0))</x:f>
      </x:c>
      <x:c r="AO172" s="56">
        <x:f>(((AI172*7)+(AK172*1)+(AM172*1))/8)</x:f>
      </x:c>
      <x:c r="AP172" s="4" t="s">
        <x:v>51</x:v>
      </x:c>
    </x:row>
    <x:row r="173">
      <x:c r="A173" s="4" t="s">
        <x:v>547</x:v>
      </x:c>
      <x:c r="B173" s="4" t="s">
        <x:v>546</x:v>
      </x:c>
      <x:c r="C173" s="38" t="s">
        <x:v>545</x:v>
      </x:c>
      <x:c r="D173" s="41"/>
      <x:c r="E173" s="44"/>
      <x:c r="F173" s="6"/>
      <x:c r="G173" s="40"/>
      <x:c r="H173" s="43"/>
      <x:c r="I173" s="45">
        <x:v>46313</x:v>
      </x:c>
      <x:c r="J173" s="46">
        <x:v>81</x:v>
      </x:c>
      <x:c r="K173" s="47">
        <x:f>(F173-(0)+0-(J173*Ventas!AE176*1.0556))</x:f>
      </x:c>
      <x:c r="L173" s="6"/>
      <x:c r="M173" s="51">
        <x:f>(G173+0)</x:f>
      </x:c>
      <x:c r="N173" s="40"/>
      <x:c r="O173" s="54">
        <x:f>(H173+0)</x:f>
      </x:c>
      <x:c r="P173" s="43"/>
      <x:c r="Q173" s="55">
        <x:f>(K173+M173+O173)</x:f>
      </x:c>
      <x:c r="R173" s="56">
        <x:f>(((L173*7)+(N173*1)+(P173*0))/8)</x:f>
      </x:c>
      <x:c r="S173" s="47">
        <x:f>(180*(Ventas!AE176*0.9644) - IF(K173&gt;0,K173,0))</x:f>
      </x:c>
      <x:c r="T173" s="47">
        <x:f>IF(S173&gt;0,S173,0)</x:f>
      </x:c>
      <x:c r="U173" s="40"/>
      <x:c r="V173" s="40"/>
      <x:c r="W173" s="43"/>
      <x:c r="X173" s="43"/>
      <x:c r="Y173" s="47">
        <x:f>IF(K173&gt;0,K173+IF(T173&gt;0,T173,0),T173)</x:f>
      </x:c>
      <x:c r="Z173" s="40"/>
      <x:c r="AA173" s="43"/>
      <x:c r="AB173" s="6"/>
      <x:c r="AC173" s="6"/>
      <x:c r="AD173" s="40"/>
      <x:c r="AE173" s="40"/>
      <x:c r="AF173" s="43"/>
      <x:c r="AG173" s="43"/>
      <x:c r="AH173" s="6"/>
      <x:c r="AI173" s="6"/>
      <x:c r="AJ173" s="40"/>
      <x:c r="AK173" s="40"/>
      <x:c r="AL173" s="43"/>
      <x:c r="AM173" s="43"/>
      <x:c r="AN173" s="55">
        <x:f>(IF(AH173&gt;0,AH173,0)+IF(AJ173&gt;0,AJ173,0)+IF(AL173&gt;0,AL173,0))</x:f>
      </x:c>
      <x:c r="AO173" s="56">
        <x:f>(((AI173*7)+(AK173*1)+(AM173*1))/8)</x:f>
      </x:c>
      <x:c r="AP173" s="4" t="s">
        <x:v>35</x:v>
      </x:c>
    </x:row>
    <x:row r="174">
      <x:c r="A174" s="4" t="s">
        <x:v>550</x:v>
      </x:c>
      <x:c r="B174" s="4" t="s">
        <x:v>549</x:v>
      </x:c>
      <x:c r="C174" s="38" t="s">
        <x:v>548</x:v>
      </x:c>
      <x:c r="D174" s="41"/>
      <x:c r="E174" s="44"/>
      <x:c r="F174" s="8">
        <x:v>1</x:v>
      </x:c>
      <x:c r="G174" s="40"/>
      <x:c r="H174" s="43"/>
      <x:c r="I174" s="45">
        <x:v>46313</x:v>
      </x:c>
      <x:c r="J174" s="46">
        <x:v>81</x:v>
      </x:c>
      <x:c r="K174" s="47">
        <x:f>(F174-(0)+0-(J174*Ventas!AE177*1.0556))</x:f>
      </x:c>
      <x:c r="L174" s="6"/>
      <x:c r="M174" s="51">
        <x:f>(G174+0)</x:f>
      </x:c>
      <x:c r="N174" s="40"/>
      <x:c r="O174" s="54">
        <x:f>(H174+0)</x:f>
      </x:c>
      <x:c r="P174" s="43"/>
      <x:c r="Q174" s="55">
        <x:f>(K174+M174+O174)</x:f>
      </x:c>
      <x:c r="R174" s="56">
        <x:f>(((L174*7)+(N174*1)+(P174*0))/8)</x:f>
      </x:c>
      <x:c r="S174" s="47">
        <x:f>(180*(Ventas!AE177*0.9644) - IF(K174&gt;0,K174,0))</x:f>
      </x:c>
      <x:c r="T174" s="47">
        <x:f>IF(S174&gt;0,S174,0)</x:f>
      </x:c>
      <x:c r="U174" s="40"/>
      <x:c r="V174" s="40"/>
      <x:c r="W174" s="43"/>
      <x:c r="X174" s="43"/>
      <x:c r="Y174" s="47">
        <x:f>IF(K174&gt;0,K174+IF(T174&gt;0,T174,0),T174)</x:f>
      </x:c>
      <x:c r="Z174" s="40"/>
      <x:c r="AA174" s="43"/>
      <x:c r="AB174" s="6"/>
      <x:c r="AC174" s="6"/>
      <x:c r="AD174" s="40"/>
      <x:c r="AE174" s="40"/>
      <x:c r="AF174" s="43"/>
      <x:c r="AG174" s="43"/>
      <x:c r="AH174" s="6"/>
      <x:c r="AI174" s="6"/>
      <x:c r="AJ174" s="40"/>
      <x:c r="AK174" s="40"/>
      <x:c r="AL174" s="43"/>
      <x:c r="AM174" s="43"/>
      <x:c r="AN174" s="55">
        <x:f>(IF(AH174&gt;0,AH174,0)+IF(AJ174&gt;0,AJ174,0)+IF(AL174&gt;0,AL174,0))</x:f>
      </x:c>
      <x:c r="AO174" s="56">
        <x:f>(((AI174*7)+(AK174*1)+(AM174*1))/8)</x:f>
      </x:c>
      <x:c r="AP174" s="4" t="s">
        <x:v>51</x:v>
      </x:c>
    </x:row>
    <x:row r="175">
      <x:c r="A175" s="4" t="s">
        <x:v>553</x:v>
      </x:c>
      <x:c r="B175" s="4" t="s">
        <x:v>552</x:v>
      </x:c>
      <x:c r="C175" s="38" t="s">
        <x:v>551</x:v>
      </x:c>
      <x:c r="D175" s="41"/>
      <x:c r="E175" s="44"/>
      <x:c r="F175" s="6"/>
      <x:c r="G175" s="40"/>
      <x:c r="H175" s="43"/>
      <x:c r="I175" s="45">
        <x:v>46313</x:v>
      </x:c>
      <x:c r="J175" s="46">
        <x:v>81</x:v>
      </x:c>
      <x:c r="K175" s="47">
        <x:f>(F175-(0)+0-(J175*Ventas!AE178*1.0556))</x:f>
      </x:c>
      <x:c r="L175" s="6"/>
      <x:c r="M175" s="51">
        <x:f>(G175+0)</x:f>
      </x:c>
      <x:c r="N175" s="40"/>
      <x:c r="O175" s="54">
        <x:f>(H175+0)</x:f>
      </x:c>
      <x:c r="P175" s="43"/>
      <x:c r="Q175" s="55">
        <x:f>(K175+M175+O175)</x:f>
      </x:c>
      <x:c r="R175" s="56">
        <x:f>(((L175*7)+(N175*1)+(P175*0))/8)</x:f>
      </x:c>
      <x:c r="S175" s="47">
        <x:f>(180*(Ventas!AE178*0.9644) - IF(K175&gt;0,K175,0))</x:f>
      </x:c>
      <x:c r="T175" s="47">
        <x:f>IF(S175&gt;0,S175,0)</x:f>
      </x:c>
      <x:c r="U175" s="40"/>
      <x:c r="V175" s="40"/>
      <x:c r="W175" s="43"/>
      <x:c r="X175" s="43"/>
      <x:c r="Y175" s="47">
        <x:f>IF(K175&gt;0,K175+IF(T175&gt;0,T175,0),T175)</x:f>
      </x:c>
      <x:c r="Z175" s="40"/>
      <x:c r="AA175" s="43"/>
      <x:c r="AB175" s="6"/>
      <x:c r="AC175" s="6"/>
      <x:c r="AD175" s="40"/>
      <x:c r="AE175" s="40"/>
      <x:c r="AF175" s="43"/>
      <x:c r="AG175" s="43"/>
      <x:c r="AH175" s="6"/>
      <x:c r="AI175" s="6"/>
      <x:c r="AJ175" s="40"/>
      <x:c r="AK175" s="40"/>
      <x:c r="AL175" s="43"/>
      <x:c r="AM175" s="43"/>
      <x:c r="AN175" s="55">
        <x:f>(IF(AH175&gt;0,AH175,0)+IF(AJ175&gt;0,AJ175,0)+IF(AL175&gt;0,AL175,0))</x:f>
      </x:c>
      <x:c r="AO175" s="56">
        <x:f>(((AI175*7)+(AK175*1)+(AM175*1))/8)</x:f>
      </x:c>
      <x:c r="AP175" s="4" t="s">
        <x:v>51</x:v>
      </x:c>
    </x:row>
    <x:row r="176">
      <x:c r="A176" s="4" t="s">
        <x:v>556</x:v>
      </x:c>
      <x:c r="B176" s="4" t="s">
        <x:v>555</x:v>
      </x:c>
      <x:c r="C176" s="38" t="s">
        <x:v>554</x:v>
      </x:c>
      <x:c r="D176" s="41"/>
      <x:c r="E176" s="44"/>
      <x:c r="F176" s="6"/>
      <x:c r="G176" s="40"/>
      <x:c r="H176" s="43"/>
      <x:c r="I176" s="45">
        <x:v>46313</x:v>
      </x:c>
      <x:c r="J176" s="46">
        <x:v>81</x:v>
      </x:c>
      <x:c r="K176" s="47">
        <x:f>(F176-(0)+0-(J176*Ventas!AE179*1.0556))</x:f>
      </x:c>
      <x:c r="L176" s="6"/>
      <x:c r="M176" s="51">
        <x:f>(G176+0)</x:f>
      </x:c>
      <x:c r="N176" s="40"/>
      <x:c r="O176" s="54">
        <x:f>(H176+0)</x:f>
      </x:c>
      <x:c r="P176" s="43"/>
      <x:c r="Q176" s="55">
        <x:f>(K176+M176+O176)</x:f>
      </x:c>
      <x:c r="R176" s="56">
        <x:f>(((L176*7)+(N176*1)+(P176*0))/8)</x:f>
      </x:c>
      <x:c r="S176" s="47">
        <x:f>(180*(Ventas!AE179*0.9644) - IF(K176&gt;0,K176,0))</x:f>
      </x:c>
      <x:c r="T176" s="47">
        <x:f>IF(S176&gt;0,S176,0)</x:f>
      </x:c>
      <x:c r="U176" s="40"/>
      <x:c r="V176" s="40"/>
      <x:c r="W176" s="43"/>
      <x:c r="X176" s="43"/>
      <x:c r="Y176" s="47">
        <x:f>IF(K176&gt;0,K176+IF(T176&gt;0,T176,0),T176)</x:f>
      </x:c>
      <x:c r="Z176" s="40"/>
      <x:c r="AA176" s="43"/>
      <x:c r="AB176" s="6"/>
      <x:c r="AC176" s="6"/>
      <x:c r="AD176" s="40"/>
      <x:c r="AE176" s="40"/>
      <x:c r="AF176" s="43"/>
      <x:c r="AG176" s="43"/>
      <x:c r="AH176" s="6"/>
      <x:c r="AI176" s="6"/>
      <x:c r="AJ176" s="40"/>
      <x:c r="AK176" s="40"/>
      <x:c r="AL176" s="43"/>
      <x:c r="AM176" s="43"/>
      <x:c r="AN176" s="55">
        <x:f>(IF(AH176&gt;0,AH176,0)+IF(AJ176&gt;0,AJ176,0)+IF(AL176&gt;0,AL176,0))</x:f>
      </x:c>
      <x:c r="AO176" s="56">
        <x:f>(((AI176*7)+(AK176*1)+(AM176*1))/8)</x:f>
      </x:c>
      <x:c r="AP176" s="4" t="s">
        <x:v>51</x:v>
      </x:c>
    </x:row>
    <x:row r="177">
      <x:c r="A177" s="4" t="s">
        <x:v>559</x:v>
      </x:c>
      <x:c r="B177" s="4" t="s">
        <x:v>558</x:v>
      </x:c>
      <x:c r="C177" s="38" t="s">
        <x:v>557</x:v>
      </x:c>
      <x:c r="D177" s="41"/>
      <x:c r="E177" s="44"/>
      <x:c r="F177" s="6"/>
      <x:c r="G177" s="40"/>
      <x:c r="H177" s="43"/>
      <x:c r="I177" s="45">
        <x:v>46313</x:v>
      </x:c>
      <x:c r="J177" s="46">
        <x:v>81</x:v>
      </x:c>
      <x:c r="K177" s="47">
        <x:f>(F177-(0)+0-(J177*Ventas!AE180*1.0556))</x:f>
      </x:c>
      <x:c r="L177" s="6"/>
      <x:c r="M177" s="51">
        <x:f>(G177+0)</x:f>
      </x:c>
      <x:c r="N177" s="40"/>
      <x:c r="O177" s="54">
        <x:f>(H177+0)</x:f>
      </x:c>
      <x:c r="P177" s="43"/>
      <x:c r="Q177" s="55">
        <x:f>(K177+M177+O177)</x:f>
      </x:c>
      <x:c r="R177" s="56">
        <x:f>(((L177*7)+(N177*1)+(P177*0))/8)</x:f>
      </x:c>
      <x:c r="S177" s="47">
        <x:f>(180*(Ventas!AE180*0.9644) - IF(K177&gt;0,K177,0))</x:f>
      </x:c>
      <x:c r="T177" s="47">
        <x:f>IF(S177&gt;0,S177,0)</x:f>
      </x:c>
      <x:c r="U177" s="40"/>
      <x:c r="V177" s="40"/>
      <x:c r="W177" s="43"/>
      <x:c r="X177" s="43"/>
      <x:c r="Y177" s="47">
        <x:f>IF(K177&gt;0,K177+IF(T177&gt;0,T177,0),T177)</x:f>
      </x:c>
      <x:c r="Z177" s="40"/>
      <x:c r="AA177" s="43"/>
      <x:c r="AB177" s="6"/>
      <x:c r="AC177" s="6"/>
      <x:c r="AD177" s="40"/>
      <x:c r="AE177" s="40"/>
      <x:c r="AF177" s="43"/>
      <x:c r="AG177" s="43"/>
      <x:c r="AH177" s="6"/>
      <x:c r="AI177" s="6"/>
      <x:c r="AJ177" s="40"/>
      <x:c r="AK177" s="40"/>
      <x:c r="AL177" s="43"/>
      <x:c r="AM177" s="43"/>
      <x:c r="AN177" s="55">
        <x:f>(IF(AH177&gt;0,AH177,0)+IF(AJ177&gt;0,AJ177,0)+IF(AL177&gt;0,AL177,0))</x:f>
      </x:c>
      <x:c r="AO177" s="56">
        <x:f>(((AI177*7)+(AK177*1)+(AM177*1))/8)</x:f>
      </x:c>
      <x:c r="AP177" s="4" t="s">
        <x:v>51</x:v>
      </x:c>
    </x:row>
    <x:row r="178">
      <x:c r="A178" s="4" t="s">
        <x:v>562</x:v>
      </x:c>
      <x:c r="B178" s="4" t="s">
        <x:v>561</x:v>
      </x:c>
      <x:c r="C178" s="38" t="s">
        <x:v>560</x:v>
      </x:c>
      <x:c r="D178" s="41"/>
      <x:c r="E178" s="44"/>
      <x:c r="F178" s="8">
        <x:v>9</x:v>
      </x:c>
      <x:c r="G178" s="40"/>
      <x:c r="H178" s="43"/>
      <x:c r="I178" s="45">
        <x:v>46313</x:v>
      </x:c>
      <x:c r="J178" s="46">
        <x:v>81</x:v>
      </x:c>
      <x:c r="K178" s="47">
        <x:f>(F178-(0)+0-(J178*Ventas!AE181*1.0556))</x:f>
      </x:c>
      <x:c r="L178" s="6"/>
      <x:c r="M178" s="51">
        <x:f>(G178+0)</x:f>
      </x:c>
      <x:c r="N178" s="40"/>
      <x:c r="O178" s="54">
        <x:f>(H178+0)</x:f>
      </x:c>
      <x:c r="P178" s="43"/>
      <x:c r="Q178" s="55">
        <x:f>(K178+M178+O178)</x:f>
      </x:c>
      <x:c r="R178" s="56">
        <x:f>(((L178*7)+(N178*1)+(P178*0))/8)</x:f>
      </x:c>
      <x:c r="S178" s="47">
        <x:f>(180*(Ventas!AE181*0.9644) - IF(K178&gt;0,K178,0))</x:f>
      </x:c>
      <x:c r="T178" s="47">
        <x:f>IF(S178&gt;0,S178,0)</x:f>
      </x:c>
      <x:c r="U178" s="40"/>
      <x:c r="V178" s="40"/>
      <x:c r="W178" s="43"/>
      <x:c r="X178" s="43"/>
      <x:c r="Y178" s="47">
        <x:f>IF(K178&gt;0,K178+IF(T178&gt;0,T178,0),T178)</x:f>
      </x:c>
      <x:c r="Z178" s="40"/>
      <x:c r="AA178" s="43"/>
      <x:c r="AB178" s="50">
        <x:v>10.5</x:v>
      </x:c>
      <x:c r="AC178" s="8">
        <x:v>3006</x:v>
      </x:c>
      <x:c r="AD178" s="40"/>
      <x:c r="AE178" s="40"/>
      <x:c r="AF178" s="43"/>
      <x:c r="AG178" s="43"/>
      <x:c r="AH178" s="6"/>
      <x:c r="AI178" s="6"/>
      <x:c r="AJ178" s="40"/>
      <x:c r="AK178" s="40"/>
      <x:c r="AL178" s="43"/>
      <x:c r="AM178" s="43"/>
      <x:c r="AN178" s="55">
        <x:f>(IF(AH178&gt;0,AH178,0)+IF(AJ178&gt;0,AJ178,0)+IF(AL178&gt;0,AL178,0))</x:f>
      </x:c>
      <x:c r="AO178" s="56">
        <x:f>(((AI178*7)+(AK178*1)+(AM178*1))/8)</x:f>
      </x:c>
      <x:c r="AP178" s="4" t="s">
        <x:v>51</x:v>
      </x:c>
    </x:row>
    <x:row r="179">
      <x:c r="A179" s="4" t="s">
        <x:v>565</x:v>
      </x:c>
      <x:c r="B179" s="4" t="s">
        <x:v>564</x:v>
      </x:c>
      <x:c r="C179" s="38" t="s">
        <x:v>563</x:v>
      </x:c>
      <x:c r="D179" s="41"/>
      <x:c r="E179" s="44"/>
      <x:c r="F179" s="8">
        <x:v>9</x:v>
      </x:c>
      <x:c r="G179" s="40"/>
      <x:c r="H179" s="43"/>
      <x:c r="I179" s="45">
        <x:v>46313</x:v>
      </x:c>
      <x:c r="J179" s="46">
        <x:v>81</x:v>
      </x:c>
      <x:c r="K179" s="47">
        <x:f>(F179-(0)+0-(J179*Ventas!AE182*1.0556))</x:f>
      </x:c>
      <x:c r="L179" s="6"/>
      <x:c r="M179" s="51">
        <x:f>(G179+0)</x:f>
      </x:c>
      <x:c r="N179" s="40"/>
      <x:c r="O179" s="54">
        <x:f>(H179+0)</x:f>
      </x:c>
      <x:c r="P179" s="43"/>
      <x:c r="Q179" s="55">
        <x:f>(K179+M179+O179)</x:f>
      </x:c>
      <x:c r="R179" s="56">
        <x:f>(((L179*7)+(N179*1)+(P179*0))/8)</x:f>
      </x:c>
      <x:c r="S179" s="47">
        <x:f>(180*(Ventas!AE182*0.9644) - IF(K179&gt;0,K179,0))</x:f>
      </x:c>
      <x:c r="T179" s="47">
        <x:f>IF(S179&gt;0,S179,0)</x:f>
      </x:c>
      <x:c r="U179" s="40"/>
      <x:c r="V179" s="40"/>
      <x:c r="W179" s="43"/>
      <x:c r="X179" s="43"/>
      <x:c r="Y179" s="47">
        <x:f>IF(K179&gt;0,K179+IF(T179&gt;0,T179,0),T179)</x:f>
      </x:c>
      <x:c r="Z179" s="40"/>
      <x:c r="AA179" s="43"/>
      <x:c r="AB179" s="50">
        <x:v>10.5</x:v>
      </x:c>
      <x:c r="AC179" s="8">
        <x:v>3006</x:v>
      </x:c>
      <x:c r="AD179" s="40"/>
      <x:c r="AE179" s="40"/>
      <x:c r="AF179" s="43"/>
      <x:c r="AG179" s="43"/>
      <x:c r="AH179" s="6"/>
      <x:c r="AI179" s="6"/>
      <x:c r="AJ179" s="40"/>
      <x:c r="AK179" s="40"/>
      <x:c r="AL179" s="43"/>
      <x:c r="AM179" s="43"/>
      <x:c r="AN179" s="55">
        <x:f>(IF(AH179&gt;0,AH179,0)+IF(AJ179&gt;0,AJ179,0)+IF(AL179&gt;0,AL179,0))</x:f>
      </x:c>
      <x:c r="AO179" s="56">
        <x:f>(((AI179*7)+(AK179*1)+(AM179*1))/8)</x:f>
      </x:c>
      <x:c r="AP179" s="4" t="s">
        <x:v>51</x:v>
      </x:c>
    </x:row>
    <x:row r="180">
      <x:c r="A180" s="4" t="s">
        <x:v>568</x:v>
      </x:c>
      <x:c r="B180" s="4" t="s">
        <x:v>567</x:v>
      </x:c>
      <x:c r="C180" s="38" t="s">
        <x:v>566</x:v>
      </x:c>
      <x:c r="D180" s="41"/>
      <x:c r="E180" s="44"/>
      <x:c r="F180" s="8">
        <x:v>9</x:v>
      </x:c>
      <x:c r="G180" s="40"/>
      <x:c r="H180" s="43"/>
      <x:c r="I180" s="45">
        <x:v>46313</x:v>
      </x:c>
      <x:c r="J180" s="46">
        <x:v>81</x:v>
      </x:c>
      <x:c r="K180" s="47">
        <x:f>(F180-(0)+0-(J180*Ventas!AE183*1.0556))</x:f>
      </x:c>
      <x:c r="L180" s="6"/>
      <x:c r="M180" s="51">
        <x:f>(G180+0)</x:f>
      </x:c>
      <x:c r="N180" s="40"/>
      <x:c r="O180" s="54">
        <x:f>(H180+0)</x:f>
      </x:c>
      <x:c r="P180" s="43"/>
      <x:c r="Q180" s="55">
        <x:f>(K180+M180+O180)</x:f>
      </x:c>
      <x:c r="R180" s="56">
        <x:f>(((L180*7)+(N180*1)+(P180*0))/8)</x:f>
      </x:c>
      <x:c r="S180" s="47">
        <x:f>(180*(Ventas!AE183*0.9644) - IF(K180&gt;0,K180,0))</x:f>
      </x:c>
      <x:c r="T180" s="47">
        <x:f>IF(S180&gt;0,S180,0)</x:f>
      </x:c>
      <x:c r="U180" s="40"/>
      <x:c r="V180" s="40"/>
      <x:c r="W180" s="43"/>
      <x:c r="X180" s="43"/>
      <x:c r="Y180" s="47">
        <x:f>IF(K180&gt;0,K180+IF(T180&gt;0,T180,0),T180)</x:f>
      </x:c>
      <x:c r="Z180" s="40"/>
      <x:c r="AA180" s="43"/>
      <x:c r="AB180" s="50">
        <x:v>10.5</x:v>
      </x:c>
      <x:c r="AC180" s="8">
        <x:v>3006</x:v>
      </x:c>
      <x:c r="AD180" s="40"/>
      <x:c r="AE180" s="40"/>
      <x:c r="AF180" s="43"/>
      <x:c r="AG180" s="43"/>
      <x:c r="AH180" s="6"/>
      <x:c r="AI180" s="6"/>
      <x:c r="AJ180" s="40"/>
      <x:c r="AK180" s="40"/>
      <x:c r="AL180" s="43"/>
      <x:c r="AM180" s="43"/>
      <x:c r="AN180" s="55">
        <x:f>(IF(AH180&gt;0,AH180,0)+IF(AJ180&gt;0,AJ180,0)+IF(AL180&gt;0,AL180,0))</x:f>
      </x:c>
      <x:c r="AO180" s="56">
        <x:f>(((AI180*7)+(AK180*1)+(AM180*1))/8)</x:f>
      </x:c>
      <x:c r="AP180" s="4" t="s">
        <x:v>35</x:v>
      </x:c>
    </x:row>
    <x:row r="181">
      <x:c r="A181" s="4" t="s">
        <x:v>571</x:v>
      </x:c>
      <x:c r="B181" s="4" t="s">
        <x:v>570</x:v>
      </x:c>
      <x:c r="C181" s="38" t="s">
        <x:v>569</x:v>
      </x:c>
      <x:c r="D181" s="41"/>
      <x:c r="E181" s="44"/>
      <x:c r="F181" s="8">
        <x:v>8</x:v>
      </x:c>
      <x:c r="G181" s="40"/>
      <x:c r="H181" s="43"/>
      <x:c r="I181" s="45">
        <x:v>46313</x:v>
      </x:c>
      <x:c r="J181" s="46">
        <x:v>81</x:v>
      </x:c>
      <x:c r="K181" s="47">
        <x:f>(F181-(0)+0-(J181*Ventas!AE184*1.0556))</x:f>
      </x:c>
      <x:c r="L181" s="6"/>
      <x:c r="M181" s="51">
        <x:f>(G181+0)</x:f>
      </x:c>
      <x:c r="N181" s="40"/>
      <x:c r="O181" s="54">
        <x:f>(H181+0)</x:f>
      </x:c>
      <x:c r="P181" s="43"/>
      <x:c r="Q181" s="55">
        <x:f>(K181+M181+O181)</x:f>
      </x:c>
      <x:c r="R181" s="56">
        <x:f>(((L181*7)+(N181*1)+(P181*0))/8)</x:f>
      </x:c>
      <x:c r="S181" s="47">
        <x:f>(180*(Ventas!AE184*0.9644) - IF(K181&gt;0,K181,0))</x:f>
      </x:c>
      <x:c r="T181" s="47">
        <x:f>IF(S181&gt;0,S181,0)</x:f>
      </x:c>
      <x:c r="U181" s="40"/>
      <x:c r="V181" s="40"/>
      <x:c r="W181" s="43"/>
      <x:c r="X181" s="43"/>
      <x:c r="Y181" s="47">
        <x:f>IF(K181&gt;0,K181+IF(T181&gt;0,T181,0),T181)</x:f>
      </x:c>
      <x:c r="Z181" s="40"/>
      <x:c r="AA181" s="43"/>
      <x:c r="AB181" s="50">
        <x:v>10.5</x:v>
      </x:c>
      <x:c r="AC181" s="8">
        <x:v>3006</x:v>
      </x:c>
      <x:c r="AD181" s="40"/>
      <x:c r="AE181" s="40"/>
      <x:c r="AF181" s="43"/>
      <x:c r="AG181" s="43"/>
      <x:c r="AH181" s="6"/>
      <x:c r="AI181" s="6"/>
      <x:c r="AJ181" s="40"/>
      <x:c r="AK181" s="40"/>
      <x:c r="AL181" s="43"/>
      <x:c r="AM181" s="43"/>
      <x:c r="AN181" s="55">
        <x:f>(IF(AH181&gt;0,AH181,0)+IF(AJ181&gt;0,AJ181,0)+IF(AL181&gt;0,AL181,0))</x:f>
      </x:c>
      <x:c r="AO181" s="56">
        <x:f>(((AI181*7)+(AK181*1)+(AM181*1))/8)</x:f>
      </x:c>
      <x:c r="AP181" s="4" t="s">
        <x:v>51</x:v>
      </x:c>
    </x:row>
    <x:row r="182">
      <x:c r="A182" s="4" t="s">
        <x:v>574</x:v>
      </x:c>
      <x:c r="B182" s="4" t="s">
        <x:v>573</x:v>
      </x:c>
      <x:c r="C182" s="38" t="s">
        <x:v>572</x:v>
      </x:c>
      <x:c r="D182" s="41"/>
      <x:c r="E182" s="44"/>
      <x:c r="F182" s="6"/>
      <x:c r="G182" s="40"/>
      <x:c r="H182" s="43"/>
      <x:c r="I182" s="45">
        <x:v>46313</x:v>
      </x:c>
      <x:c r="J182" s="46">
        <x:v>81</x:v>
      </x:c>
      <x:c r="K182" s="47">
        <x:f>(F182-(0)+0-(J182*Ventas!AE185*1.0556))</x:f>
      </x:c>
      <x:c r="L182" s="6"/>
      <x:c r="M182" s="51">
        <x:f>(G182+0)</x:f>
      </x:c>
      <x:c r="N182" s="40"/>
      <x:c r="O182" s="54">
        <x:f>(H182+0)</x:f>
      </x:c>
      <x:c r="P182" s="43"/>
      <x:c r="Q182" s="55">
        <x:f>(K182+M182+O182)</x:f>
      </x:c>
      <x:c r="R182" s="56">
        <x:f>(((L182*7)+(N182*1)+(P182*0))/8)</x:f>
      </x:c>
      <x:c r="S182" s="47">
        <x:f>(180*(Ventas!AE185*0.9644) - IF(K182&gt;0,K182,0))</x:f>
      </x:c>
      <x:c r="T182" s="47">
        <x:f>IF(S182&gt;0,S182,0)</x:f>
      </x:c>
      <x:c r="U182" s="40"/>
      <x:c r="V182" s="40"/>
      <x:c r="W182" s="43"/>
      <x:c r="X182" s="43"/>
      <x:c r="Y182" s="47">
        <x:f>IF(K182&gt;0,K182+IF(T182&gt;0,T182,0),T182)</x:f>
      </x:c>
      <x:c r="Z182" s="40"/>
      <x:c r="AA182" s="43"/>
      <x:c r="AB182" s="6"/>
      <x:c r="AC182" s="6"/>
      <x:c r="AD182" s="40"/>
      <x:c r="AE182" s="40"/>
      <x:c r="AF182" s="43"/>
      <x:c r="AG182" s="43"/>
      <x:c r="AH182" s="6"/>
      <x:c r="AI182" s="6"/>
      <x:c r="AJ182" s="40"/>
      <x:c r="AK182" s="40"/>
      <x:c r="AL182" s="43"/>
      <x:c r="AM182" s="43"/>
      <x:c r="AN182" s="55">
        <x:f>(IF(AH182&gt;0,AH182,0)+IF(AJ182&gt;0,AJ182,0)+IF(AL182&gt;0,AL182,0))</x:f>
      </x:c>
      <x:c r="AO182" s="56">
        <x:f>(((AI182*7)+(AK182*1)+(AM182*1))/8)</x:f>
      </x:c>
      <x:c r="AP182" s="4" t="s">
        <x:v>35</x:v>
      </x:c>
    </x:row>
    <x:row r="183">
      <x:c r="A183" s="4" t="s">
        <x:v>577</x:v>
      </x:c>
      <x:c r="B183" s="4" t="s">
        <x:v>576</x:v>
      </x:c>
      <x:c r="C183" s="38" t="s">
        <x:v>575</x:v>
      </x:c>
      <x:c r="D183" s="41"/>
      <x:c r="E183" s="44"/>
      <x:c r="F183" s="6"/>
      <x:c r="G183" s="40"/>
      <x:c r="H183" s="43"/>
      <x:c r="I183" s="45">
        <x:v>46313</x:v>
      </x:c>
      <x:c r="J183" s="46">
        <x:v>81</x:v>
      </x:c>
      <x:c r="K183" s="47">
        <x:f>(F183-(0)+0-(J183*Ventas!AE186*1.0556))</x:f>
      </x:c>
      <x:c r="L183" s="6"/>
      <x:c r="M183" s="51">
        <x:f>(G183+0)</x:f>
      </x:c>
      <x:c r="N183" s="40"/>
      <x:c r="O183" s="54">
        <x:f>(H183+0)</x:f>
      </x:c>
      <x:c r="P183" s="43"/>
      <x:c r="Q183" s="55">
        <x:f>(K183+M183+O183)</x:f>
      </x:c>
      <x:c r="R183" s="56">
        <x:f>(((L183*7)+(N183*1)+(P183*0))/8)</x:f>
      </x:c>
      <x:c r="S183" s="47">
        <x:f>(180*(Ventas!AE186*0.9644) - IF(K183&gt;0,K183,0))</x:f>
      </x:c>
      <x:c r="T183" s="47">
        <x:f>IF(S183&gt;0,S183,0)</x:f>
      </x:c>
      <x:c r="U183" s="40"/>
      <x:c r="V183" s="40"/>
      <x:c r="W183" s="43"/>
      <x:c r="X183" s="43"/>
      <x:c r="Y183" s="47">
        <x:f>IF(K183&gt;0,K183+IF(T183&gt;0,T183,0),T183)</x:f>
      </x:c>
      <x:c r="Z183" s="40"/>
      <x:c r="AA183" s="43"/>
      <x:c r="AB183" s="6"/>
      <x:c r="AC183" s="6"/>
      <x:c r="AD183" s="40"/>
      <x:c r="AE183" s="40"/>
      <x:c r="AF183" s="43"/>
      <x:c r="AG183" s="43"/>
      <x:c r="AH183" s="6"/>
      <x:c r="AI183" s="6"/>
      <x:c r="AJ183" s="40"/>
      <x:c r="AK183" s="40"/>
      <x:c r="AL183" s="43"/>
      <x:c r="AM183" s="43"/>
      <x:c r="AN183" s="55">
        <x:f>(IF(AH183&gt;0,AH183,0)+IF(AJ183&gt;0,AJ183,0)+IF(AL183&gt;0,AL183,0))</x:f>
      </x:c>
      <x:c r="AO183" s="56">
        <x:f>(((AI183*7)+(AK183*1)+(AM183*1))/8)</x:f>
      </x:c>
      <x:c r="AP183" s="4" t="s">
        <x:v>51</x:v>
      </x:c>
    </x:row>
    <x:row r="184">
      <x:c r="A184" s="4" t="s">
        <x:v>580</x:v>
      </x:c>
      <x:c r="B184" s="4" t="s">
        <x:v>579</x:v>
      </x:c>
      <x:c r="C184" s="38" t="s">
        <x:v>578</x:v>
      </x:c>
      <x:c r="D184" s="41"/>
      <x:c r="E184" s="44"/>
      <x:c r="F184" s="8">
        <x:v>14</x:v>
      </x:c>
      <x:c r="G184" s="40"/>
      <x:c r="H184" s="43"/>
      <x:c r="I184" s="45">
        <x:v>46313</x:v>
      </x:c>
      <x:c r="J184" s="46">
        <x:v>81</x:v>
      </x:c>
      <x:c r="K184" s="47">
        <x:f>(F184-(0)+0-(J184*Ventas!AE187*1.0556))</x:f>
      </x:c>
      <x:c r="L184" s="49">
        <x:f>(K184/(Ventas!AE187*1.0556)/80)</x:f>
      </x:c>
      <x:c r="M184" s="51">
        <x:f>(G184+0)</x:f>
      </x:c>
      <x:c r="N184" s="40"/>
      <x:c r="O184" s="54">
        <x:f>(H184+0)</x:f>
      </x:c>
      <x:c r="P184" s="43"/>
      <x:c r="Q184" s="55">
        <x:f>(K184+M184+O184)</x:f>
      </x:c>
      <x:c r="R184" s="56">
        <x:f>(((L184*7)+(N184*1)+(P184*0))/8)</x:f>
      </x:c>
      <x:c r="S184" s="47">
        <x:f>(180*(Ventas!AE187*0.9644) - IF(K184&gt;0,K184,0))</x:f>
      </x:c>
      <x:c r="T184" s="47">
        <x:f>IF(S184&gt;0,S184,0)</x:f>
      </x:c>
      <x:c r="U184" s="40"/>
      <x:c r="V184" s="40"/>
      <x:c r="W184" s="43"/>
      <x:c r="X184" s="43"/>
      <x:c r="Y184" s="47">
        <x:f>IF(K184&gt;0,K184+IF(T184&gt;0,T184,0),T184)</x:f>
      </x:c>
      <x:c r="Z184" s="40"/>
      <x:c r="AA184" s="43"/>
      <x:c r="AB184" s="50">
        <x:v>4.55</x:v>
      </x:c>
      <x:c r="AC184" s="8">
        <x:v>3016</x:v>
      </x:c>
      <x:c r="AD184" s="40"/>
      <x:c r="AE184" s="40"/>
      <x:c r="AF184" s="43"/>
      <x:c r="AG184" s="43"/>
      <x:c r="AH184" s="47">
        <x:f>(Y184-(90*Ventas!AE187*0.9644))</x:f>
      </x:c>
      <x:c r="AI184" s="49">
        <x:f>(AH184/(Ventas!AE187*0.9644)/80)</x:f>
      </x:c>
      <x:c r="AJ184" s="40"/>
      <x:c r="AK184" s="40"/>
      <x:c r="AL184" s="43"/>
      <x:c r="AM184" s="43"/>
      <x:c r="AN184" s="55">
        <x:f>(IF(AH184&gt;0,AH184,0)+IF(AJ184&gt;0,AJ184,0)+IF(AL184&gt;0,AL184,0))</x:f>
      </x:c>
      <x:c r="AO184" s="56">
        <x:f>(((AI184*7)+(AK184*1)+(AM184*1))/8)</x:f>
      </x:c>
      <x:c r="AP184" s="4" t="s">
        <x:v>35</x:v>
      </x:c>
    </x:row>
    <x:row r="185">
      <x:c r="A185" s="4" t="s">
        <x:v>583</x:v>
      </x:c>
      <x:c r="B185" s="4" t="s">
        <x:v>582</x:v>
      </x:c>
      <x:c r="C185" s="38" t="s">
        <x:v>581</x:v>
      </x:c>
      <x:c r="D185" s="41"/>
      <x:c r="E185" s="44"/>
      <x:c r="F185" s="6"/>
      <x:c r="G185" s="40"/>
      <x:c r="H185" s="43"/>
      <x:c r="I185" s="45">
        <x:v>46313</x:v>
      </x:c>
      <x:c r="J185" s="46">
        <x:v>81</x:v>
      </x:c>
      <x:c r="K185" s="47">
        <x:f>(F185-(0)+0-(J185*Ventas!AE188*1.0556))</x:f>
      </x:c>
      <x:c r="L185" s="6"/>
      <x:c r="M185" s="51">
        <x:f>(G185+0)</x:f>
      </x:c>
      <x:c r="N185" s="40"/>
      <x:c r="O185" s="54">
        <x:f>(H185+0)</x:f>
      </x:c>
      <x:c r="P185" s="43"/>
      <x:c r="Q185" s="55">
        <x:f>(K185+M185+O185)</x:f>
      </x:c>
      <x:c r="R185" s="56">
        <x:f>(((L185*7)+(N185*1)+(P185*0))/8)</x:f>
      </x:c>
      <x:c r="S185" s="47">
        <x:f>(180*(Ventas!AE188*0.9644) - IF(K185&gt;0,K185,0))</x:f>
      </x:c>
      <x:c r="T185" s="47">
        <x:f>IF(S185&gt;0,S185,0)</x:f>
      </x:c>
      <x:c r="U185" s="40"/>
      <x:c r="V185" s="40"/>
      <x:c r="W185" s="43"/>
      <x:c r="X185" s="43"/>
      <x:c r="Y185" s="47">
        <x:f>IF(K185&gt;0,K185+IF(T185&gt;0,T185,0),T185)</x:f>
      </x:c>
      <x:c r="Z185" s="40"/>
      <x:c r="AA185" s="43"/>
      <x:c r="AB185" s="50">
        <x:v>6.35</x:v>
      </x:c>
      <x:c r="AC185" s="8">
        <x:v>3006</x:v>
      </x:c>
      <x:c r="AD185" s="40"/>
      <x:c r="AE185" s="40"/>
      <x:c r="AF185" s="43"/>
      <x:c r="AG185" s="43"/>
      <x:c r="AH185" s="6"/>
      <x:c r="AI185" s="6"/>
      <x:c r="AJ185" s="40"/>
      <x:c r="AK185" s="40"/>
      <x:c r="AL185" s="43"/>
      <x:c r="AM185" s="43"/>
      <x:c r="AN185" s="55">
        <x:f>(IF(AH185&gt;0,AH185,0)+IF(AJ185&gt;0,AJ185,0)+IF(AL185&gt;0,AL185,0))</x:f>
      </x:c>
      <x:c r="AO185" s="56">
        <x:f>(((AI185*7)+(AK185*1)+(AM185*1))/8)</x:f>
      </x:c>
      <x:c r="AP185" s="4" t="s">
        <x:v>51</x:v>
      </x:c>
    </x:row>
    <x:row r="186">
      <x:c r="A186" s="4" t="s">
        <x:v>586</x:v>
      </x:c>
      <x:c r="B186" s="4" t="s">
        <x:v>585</x:v>
      </x:c>
      <x:c r="C186" s="38" t="s">
        <x:v>584</x:v>
      </x:c>
      <x:c r="D186" s="41"/>
      <x:c r="E186" s="44"/>
      <x:c r="F186" s="6"/>
      <x:c r="G186" s="40"/>
      <x:c r="H186" s="43"/>
      <x:c r="I186" s="45">
        <x:v>46313</x:v>
      </x:c>
      <x:c r="J186" s="46">
        <x:v>81</x:v>
      </x:c>
      <x:c r="K186" s="47">
        <x:f>(F186-(0)+0-(J186*Ventas!AE189*1.0556))</x:f>
      </x:c>
      <x:c r="L186" s="6"/>
      <x:c r="M186" s="51">
        <x:f>(G186+0)</x:f>
      </x:c>
      <x:c r="N186" s="40"/>
      <x:c r="O186" s="54">
        <x:f>(H186+0)</x:f>
      </x:c>
      <x:c r="P186" s="43"/>
      <x:c r="Q186" s="55">
        <x:f>(K186+M186+O186)</x:f>
      </x:c>
      <x:c r="R186" s="56">
        <x:f>(((L186*7)+(N186*1)+(P186*0))/8)</x:f>
      </x:c>
      <x:c r="S186" s="47">
        <x:f>(180*(Ventas!AE189*0.9644) - IF(K186&gt;0,K186,0))</x:f>
      </x:c>
      <x:c r="T186" s="47">
        <x:f>IF(S186&gt;0,S186,0)</x:f>
      </x:c>
      <x:c r="U186" s="40"/>
      <x:c r="V186" s="40"/>
      <x:c r="W186" s="43"/>
      <x:c r="X186" s="43"/>
      <x:c r="Y186" s="47">
        <x:f>IF(K186&gt;0,K186+IF(T186&gt;0,T186,0),T186)</x:f>
      </x:c>
      <x:c r="Z186" s="40"/>
      <x:c r="AA186" s="43"/>
      <x:c r="AB186" s="6"/>
      <x:c r="AC186" s="6"/>
      <x:c r="AD186" s="40"/>
      <x:c r="AE186" s="40"/>
      <x:c r="AF186" s="43"/>
      <x:c r="AG186" s="43"/>
      <x:c r="AH186" s="6"/>
      <x:c r="AI186" s="6"/>
      <x:c r="AJ186" s="40"/>
      <x:c r="AK186" s="40"/>
      <x:c r="AL186" s="43"/>
      <x:c r="AM186" s="43"/>
      <x:c r="AN186" s="55">
        <x:f>(IF(AH186&gt;0,AH186,0)+IF(AJ186&gt;0,AJ186,0)+IF(AL186&gt;0,AL186,0))</x:f>
      </x:c>
      <x:c r="AO186" s="56">
        <x:f>(((AI186*7)+(AK186*1)+(AM186*1))/8)</x:f>
      </x:c>
      <x:c r="AP186" s="4" t="s">
        <x:v>51</x:v>
      </x:c>
    </x:row>
    <x:row r="187">
      <x:c r="A187" s="4" t="s">
        <x:v>589</x:v>
      </x:c>
      <x:c r="B187" s="4" t="s">
        <x:v>588</x:v>
      </x:c>
      <x:c r="C187" s="38" t="s">
        <x:v>587</x:v>
      </x:c>
      <x:c r="D187" s="41"/>
      <x:c r="E187" s="44"/>
      <x:c r="F187" s="8">
        <x:v>67</x:v>
      </x:c>
      <x:c r="G187" s="40"/>
      <x:c r="H187" s="43"/>
      <x:c r="I187" s="45">
        <x:v>46313</x:v>
      </x:c>
      <x:c r="J187" s="46">
        <x:v>81</x:v>
      </x:c>
      <x:c r="K187" s="47">
        <x:f>(F187-(0)+0-(J187*Ventas!AE190*1.0556))</x:f>
      </x:c>
      <x:c r="L187" s="49">
        <x:f>(K187/(Ventas!AE190*1.0556)/80)</x:f>
      </x:c>
      <x:c r="M187" s="51">
        <x:f>(G187+0)</x:f>
      </x:c>
      <x:c r="N187" s="40"/>
      <x:c r="O187" s="54">
        <x:f>(H187+0)</x:f>
      </x:c>
      <x:c r="P187" s="43"/>
      <x:c r="Q187" s="55">
        <x:f>(K187+M187+O187)</x:f>
      </x:c>
      <x:c r="R187" s="56">
        <x:f>(((L187*7)+(N187*1)+(P187*0))/8)</x:f>
      </x:c>
      <x:c r="S187" s="47">
        <x:f>(180*(Ventas!AE190*0.9644) - IF(K187&gt;0,K187,0))</x:f>
      </x:c>
      <x:c r="T187" s="47">
        <x:f>IF(S187&gt;0,S187,0)</x:f>
      </x:c>
      <x:c r="U187" s="40"/>
      <x:c r="V187" s="40"/>
      <x:c r="W187" s="43"/>
      <x:c r="X187" s="43"/>
      <x:c r="Y187" s="47">
        <x:f>IF(K187&gt;0,K187+IF(T187&gt;0,T187,0),T187)</x:f>
      </x:c>
      <x:c r="Z187" s="40"/>
      <x:c r="AA187" s="43"/>
      <x:c r="AB187" s="50">
        <x:v>4.62</x:v>
      </x:c>
      <x:c r="AC187" s="8">
        <x:v>3016</x:v>
      </x:c>
      <x:c r="AD187" s="40"/>
      <x:c r="AE187" s="40"/>
      <x:c r="AF187" s="43"/>
      <x:c r="AG187" s="43"/>
      <x:c r="AH187" s="47">
        <x:f>(Y187-(90*Ventas!AE190*0.9644))</x:f>
      </x:c>
      <x:c r="AI187" s="49">
        <x:f>(AH187/(Ventas!AE190*0.9644)/80)</x:f>
      </x:c>
      <x:c r="AJ187" s="40"/>
      <x:c r="AK187" s="40"/>
      <x:c r="AL187" s="43"/>
      <x:c r="AM187" s="43"/>
      <x:c r="AN187" s="55">
        <x:f>(IF(AH187&gt;0,AH187,0)+IF(AJ187&gt;0,AJ187,0)+IF(AL187&gt;0,AL187,0))</x:f>
      </x:c>
      <x:c r="AO187" s="56">
        <x:f>(((AI187*7)+(AK187*1)+(AM187*1))/8)</x:f>
      </x:c>
      <x:c r="AP187" s="4" t="s">
        <x:v>35</x:v>
      </x:c>
    </x:row>
    <x:row r="188">
      <x:c r="A188" s="4" t="s">
        <x:v>592</x:v>
      </x:c>
      <x:c r="B188" s="4" t="s">
        <x:v>591</x:v>
      </x:c>
      <x:c r="C188" s="38" t="s">
        <x:v>590</x:v>
      </x:c>
      <x:c r="D188" s="41"/>
      <x:c r="E188" s="44"/>
      <x:c r="F188" s="6"/>
      <x:c r="G188" s="40"/>
      <x:c r="H188" s="43"/>
      <x:c r="I188" s="45">
        <x:v>46313</x:v>
      </x:c>
      <x:c r="J188" s="46">
        <x:v>81</x:v>
      </x:c>
      <x:c r="K188" s="47">
        <x:f>(F188-(0)+0-(J188*Ventas!AE191*1.0556))</x:f>
      </x:c>
      <x:c r="L188" s="49">
        <x:f>(K188/(Ventas!AE191*1.0556)/80)</x:f>
      </x:c>
      <x:c r="M188" s="51">
        <x:f>(G188+0)</x:f>
      </x:c>
      <x:c r="N188" s="40"/>
      <x:c r="O188" s="54">
        <x:f>(H188+0)</x:f>
      </x:c>
      <x:c r="P188" s="43"/>
      <x:c r="Q188" s="55">
        <x:f>(K188+M188+O188)</x:f>
      </x:c>
      <x:c r="R188" s="56">
        <x:f>(((L188*7)+(N188*1)+(P188*0))/8)</x:f>
      </x:c>
      <x:c r="S188" s="47">
        <x:f>(180*(Ventas!AE191*0.9644) - IF(K188&gt;0,K188,0))</x:f>
      </x:c>
      <x:c r="T188" s="47">
        <x:f>IF(S188&gt;0,S188,0)</x:f>
      </x:c>
      <x:c r="U188" s="40"/>
      <x:c r="V188" s="40"/>
      <x:c r="W188" s="43"/>
      <x:c r="X188" s="43"/>
      <x:c r="Y188" s="47">
        <x:f>IF(K188&gt;0,K188+IF(T188&gt;0,T188,0),T188)</x:f>
      </x:c>
      <x:c r="Z188" s="40"/>
      <x:c r="AA188" s="43"/>
      <x:c r="AB188" s="50">
        <x:v>6.4</x:v>
      </x:c>
      <x:c r="AC188" s="8">
        <x:v>3016</x:v>
      </x:c>
      <x:c r="AD188" s="40"/>
      <x:c r="AE188" s="40"/>
      <x:c r="AF188" s="43"/>
      <x:c r="AG188" s="43"/>
      <x:c r="AH188" s="47">
        <x:f>(Y188-(90*Ventas!AE191*0.9644))</x:f>
      </x:c>
      <x:c r="AI188" s="49">
        <x:f>(AH188/(Ventas!AE191*0.9644)/80)</x:f>
      </x:c>
      <x:c r="AJ188" s="40"/>
      <x:c r="AK188" s="40"/>
      <x:c r="AL188" s="43"/>
      <x:c r="AM188" s="43"/>
      <x:c r="AN188" s="55">
        <x:f>(IF(AH188&gt;0,AH188,0)+IF(AJ188&gt;0,AJ188,0)+IF(AL188&gt;0,AL188,0))</x:f>
      </x:c>
      <x:c r="AO188" s="56">
        <x:f>(((AI188*7)+(AK188*1)+(AM188*1))/8)</x:f>
      </x:c>
      <x:c r="AP188" s="4" t="s">
        <x:v>35</x:v>
      </x:c>
    </x:row>
    <x:row r="189">
      <x:c r="A189" s="4" t="s">
        <x:v>595</x:v>
      </x:c>
      <x:c r="B189" s="4" t="s">
        <x:v>594</x:v>
      </x:c>
      <x:c r="C189" s="38" t="s">
        <x:v>593</x:v>
      </x:c>
      <x:c r="D189" s="41"/>
      <x:c r="E189" s="44"/>
      <x:c r="F189" s="8">
        <x:v>49</x:v>
      </x:c>
      <x:c r="G189" s="40"/>
      <x:c r="H189" s="43"/>
      <x:c r="I189" s="45">
        <x:v>46313</x:v>
      </x:c>
      <x:c r="J189" s="46">
        <x:v>81</x:v>
      </x:c>
      <x:c r="K189" s="47">
        <x:f>(F189-(0)+0-(J189*Ventas!AE192*1.0556))</x:f>
      </x:c>
      <x:c r="L189" s="49">
        <x:f>(K189/(Ventas!AE192*1.0556)/80)</x:f>
      </x:c>
      <x:c r="M189" s="51">
        <x:f>(G189+0)</x:f>
      </x:c>
      <x:c r="N189" s="40"/>
      <x:c r="O189" s="54">
        <x:f>(H189+0)</x:f>
      </x:c>
      <x:c r="P189" s="43"/>
      <x:c r="Q189" s="55">
        <x:f>(K189+M189+O189)</x:f>
      </x:c>
      <x:c r="R189" s="56">
        <x:f>(((L189*7)+(N189*1)+(P189*0))/8)</x:f>
      </x:c>
      <x:c r="S189" s="47">
        <x:f>(180*(Ventas!AE192*0.9644) - IF(K189&gt;0,K189,0))</x:f>
      </x:c>
      <x:c r="T189" s="47">
        <x:f>IF(S189&gt;0,S189,0)</x:f>
      </x:c>
      <x:c r="U189" s="40"/>
      <x:c r="V189" s="40"/>
      <x:c r="W189" s="43"/>
      <x:c r="X189" s="43"/>
      <x:c r="Y189" s="47">
        <x:f>IF(K189&gt;0,K189+IF(T189&gt;0,T189,0),T189)</x:f>
      </x:c>
      <x:c r="Z189" s="40"/>
      <x:c r="AA189" s="43"/>
      <x:c r="AB189" s="50">
        <x:v>3.35</x:v>
      </x:c>
      <x:c r="AC189" s="8">
        <x:v>3016</x:v>
      </x:c>
      <x:c r="AD189" s="40"/>
      <x:c r="AE189" s="40"/>
      <x:c r="AF189" s="43"/>
      <x:c r="AG189" s="43"/>
      <x:c r="AH189" s="47">
        <x:f>(Y189-(90*Ventas!AE192*0.9644))</x:f>
      </x:c>
      <x:c r="AI189" s="49">
        <x:f>(AH189/(Ventas!AE192*0.9644)/80)</x:f>
      </x:c>
      <x:c r="AJ189" s="40"/>
      <x:c r="AK189" s="40"/>
      <x:c r="AL189" s="43"/>
      <x:c r="AM189" s="43"/>
      <x:c r="AN189" s="55">
        <x:f>(IF(AH189&gt;0,AH189,0)+IF(AJ189&gt;0,AJ189,0)+IF(AL189&gt;0,AL189,0))</x:f>
      </x:c>
      <x:c r="AO189" s="56">
        <x:f>(((AI189*7)+(AK189*1)+(AM189*1))/8)</x:f>
      </x:c>
      <x:c r="AP189" s="4" t="s">
        <x:v>35</x:v>
      </x:c>
    </x:row>
    <x:row r="190">
      <x:c r="A190" s="4" t="s">
        <x:v>598</x:v>
      </x:c>
      <x:c r="B190" s="4" t="s">
        <x:v>597</x:v>
      </x:c>
      <x:c r="C190" s="38" t="s">
        <x:v>596</x:v>
      </x:c>
      <x:c r="D190" s="41"/>
      <x:c r="E190" s="44"/>
      <x:c r="F190" s="8">
        <x:v>7</x:v>
      </x:c>
      <x:c r="G190" s="40"/>
      <x:c r="H190" s="43"/>
      <x:c r="I190" s="45">
        <x:v>46313</x:v>
      </x:c>
      <x:c r="J190" s="46">
        <x:v>81</x:v>
      </x:c>
      <x:c r="K190" s="47">
        <x:f>(F190-(0)+0-(J190*Ventas!AE193*1.0556))</x:f>
      </x:c>
      <x:c r="L190" s="49">
        <x:f>(K190/(Ventas!AE193*1.0556)/80)</x:f>
      </x:c>
      <x:c r="M190" s="51">
        <x:f>(G190+0)</x:f>
      </x:c>
      <x:c r="N190" s="40"/>
      <x:c r="O190" s="54">
        <x:f>(H190+0)</x:f>
      </x:c>
      <x:c r="P190" s="43"/>
      <x:c r="Q190" s="55">
        <x:f>(K190+M190+O190)</x:f>
      </x:c>
      <x:c r="R190" s="56">
        <x:f>(((L190*7)+(N190*1)+(P190*0))/8)</x:f>
      </x:c>
      <x:c r="S190" s="47">
        <x:f>(180*(Ventas!AE193*0.9644) - IF(K190&gt;0,K190,0))</x:f>
      </x:c>
      <x:c r="T190" s="47">
        <x:f>IF(S190&gt;0,S190,0)</x:f>
      </x:c>
      <x:c r="U190" s="40"/>
      <x:c r="V190" s="40"/>
      <x:c r="W190" s="43"/>
      <x:c r="X190" s="43"/>
      <x:c r="Y190" s="47">
        <x:f>IF(K190&gt;0,K190+IF(T190&gt;0,T190,0),T190)</x:f>
      </x:c>
      <x:c r="Z190" s="40"/>
      <x:c r="AA190" s="43"/>
      <x:c r="AB190" s="50">
        <x:v>6.1425</x:v>
      </x:c>
      <x:c r="AC190" s="8">
        <x:v>3016</x:v>
      </x:c>
      <x:c r="AD190" s="40"/>
      <x:c r="AE190" s="40"/>
      <x:c r="AF190" s="43"/>
      <x:c r="AG190" s="43"/>
      <x:c r="AH190" s="47">
        <x:f>(Y190-(90*Ventas!AE193*0.9644))</x:f>
      </x:c>
      <x:c r="AI190" s="49">
        <x:f>(AH190/(Ventas!AE193*0.9644)/80)</x:f>
      </x:c>
      <x:c r="AJ190" s="40"/>
      <x:c r="AK190" s="40"/>
      <x:c r="AL190" s="43"/>
      <x:c r="AM190" s="43"/>
      <x:c r="AN190" s="55">
        <x:f>(IF(AH190&gt;0,AH190,0)+IF(AJ190&gt;0,AJ190,0)+IF(AL190&gt;0,AL190,0))</x:f>
      </x:c>
      <x:c r="AO190" s="56">
        <x:f>(((AI190*7)+(AK190*1)+(AM190*1))/8)</x:f>
      </x:c>
      <x:c r="AP190" s="4" t="s">
        <x:v>35</x:v>
      </x:c>
    </x:row>
    <x:row r="191">
      <x:c r="A191" s="4" t="s">
        <x:v>601</x:v>
      </x:c>
      <x:c r="B191" s="4" t="s">
        <x:v>600</x:v>
      </x:c>
      <x:c r="C191" s="38" t="s">
        <x:v>599</x:v>
      </x:c>
      <x:c r="D191" s="41"/>
      <x:c r="E191" s="44"/>
      <x:c r="F191" s="6"/>
      <x:c r="G191" s="40"/>
      <x:c r="H191" s="43"/>
      <x:c r="I191" s="45">
        <x:v>46313</x:v>
      </x:c>
      <x:c r="J191" s="46">
        <x:v>81</x:v>
      </x:c>
      <x:c r="K191" s="47">
        <x:f>(F191-(0)+0-(J191*Ventas!AE194*1.0556))</x:f>
      </x:c>
      <x:c r="L191" s="6"/>
      <x:c r="M191" s="51">
        <x:f>(G191+0)</x:f>
      </x:c>
      <x:c r="N191" s="40"/>
      <x:c r="O191" s="54">
        <x:f>(H191+0)</x:f>
      </x:c>
      <x:c r="P191" s="43"/>
      <x:c r="Q191" s="55">
        <x:f>(K191+M191+O191)</x:f>
      </x:c>
      <x:c r="R191" s="56">
        <x:f>(((L191*7)+(N191*1)+(P191*0))/8)</x:f>
      </x:c>
      <x:c r="S191" s="47">
        <x:f>(180*(Ventas!AE194*0.9644) - IF(K191&gt;0,K191,0))</x:f>
      </x:c>
      <x:c r="T191" s="47">
        <x:f>IF(S191&gt;0,S191,0)</x:f>
      </x:c>
      <x:c r="U191" s="40"/>
      <x:c r="V191" s="40"/>
      <x:c r="W191" s="43"/>
      <x:c r="X191" s="43"/>
      <x:c r="Y191" s="47">
        <x:f>IF(K191&gt;0,K191+IF(T191&gt;0,T191,0),T191)</x:f>
      </x:c>
      <x:c r="Z191" s="40"/>
      <x:c r="AA191" s="43"/>
      <x:c r="AB191" s="50">
        <x:v>11.46</x:v>
      </x:c>
      <x:c r="AC191" s="8">
        <x:v>3013</x:v>
      </x:c>
      <x:c r="AD191" s="40"/>
      <x:c r="AE191" s="40"/>
      <x:c r="AF191" s="43"/>
      <x:c r="AG191" s="43"/>
      <x:c r="AH191" s="6"/>
      <x:c r="AI191" s="6"/>
      <x:c r="AJ191" s="40"/>
      <x:c r="AK191" s="40"/>
      <x:c r="AL191" s="43"/>
      <x:c r="AM191" s="43"/>
      <x:c r="AN191" s="55">
        <x:f>(IF(AH191&gt;0,AH191,0)+IF(AJ191&gt;0,AJ191,0)+IF(AL191&gt;0,AL191,0))</x:f>
      </x:c>
      <x:c r="AO191" s="56">
        <x:f>(((AI191*7)+(AK191*1)+(AM191*1))/8)</x:f>
      </x:c>
      <x:c r="AP191" s="4" t="s">
        <x:v>51</x:v>
      </x:c>
    </x:row>
    <x:row r="192">
      <x:c r="A192" s="4" t="s">
        <x:v>604</x:v>
      </x:c>
      <x:c r="B192" s="4" t="s">
        <x:v>603</x:v>
      </x:c>
      <x:c r="C192" s="38" t="s">
        <x:v>602</x:v>
      </x:c>
      <x:c r="D192" s="41"/>
      <x:c r="E192" s="44"/>
      <x:c r="F192" s="8">
        <x:v>86</x:v>
      </x:c>
      <x:c r="G192" s="40"/>
      <x:c r="H192" s="43"/>
      <x:c r="I192" s="45">
        <x:v>46313</x:v>
      </x:c>
      <x:c r="J192" s="46">
        <x:v>81</x:v>
      </x:c>
      <x:c r="K192" s="47">
        <x:f>(F192-(0)+0-(J192*Ventas!AE195*1.0556))</x:f>
      </x:c>
      <x:c r="L192" s="49">
        <x:f>(K192/(Ventas!AE195*1.0556)/80)</x:f>
      </x:c>
      <x:c r="M192" s="51">
        <x:f>(G192+0)</x:f>
      </x:c>
      <x:c r="N192" s="40"/>
      <x:c r="O192" s="54">
        <x:f>(H192+0)</x:f>
      </x:c>
      <x:c r="P192" s="43"/>
      <x:c r="Q192" s="55">
        <x:f>(K192+M192+O192)</x:f>
      </x:c>
      <x:c r="R192" s="56">
        <x:f>(((L192*7)+(N192*1)+(P192*0))/8)</x:f>
      </x:c>
      <x:c r="S192" s="47">
        <x:f>(180*(Ventas!AE195*0.9644) - IF(K192&gt;0,K192,0))</x:f>
      </x:c>
      <x:c r="T192" s="47">
        <x:f>IF(S192&gt;0,S192,0)</x:f>
      </x:c>
      <x:c r="U192" s="40"/>
      <x:c r="V192" s="40"/>
      <x:c r="W192" s="43"/>
      <x:c r="X192" s="43"/>
      <x:c r="Y192" s="47">
        <x:f>IF(K192&gt;0,K192+IF(T192&gt;0,T192,0),T192)</x:f>
      </x:c>
      <x:c r="Z192" s="40"/>
      <x:c r="AA192" s="43"/>
      <x:c r="AB192" s="50">
        <x:v>4.3</x:v>
      </x:c>
      <x:c r="AC192" s="8">
        <x:v>3016</x:v>
      </x:c>
      <x:c r="AD192" s="40"/>
      <x:c r="AE192" s="40"/>
      <x:c r="AF192" s="43"/>
      <x:c r="AG192" s="43"/>
      <x:c r="AH192" s="47">
        <x:f>(Y192-(90*Ventas!AE195*0.9644))</x:f>
      </x:c>
      <x:c r="AI192" s="49">
        <x:f>(AH192/(Ventas!AE195*0.9644)/80)</x:f>
      </x:c>
      <x:c r="AJ192" s="40"/>
      <x:c r="AK192" s="40"/>
      <x:c r="AL192" s="43"/>
      <x:c r="AM192" s="43"/>
      <x:c r="AN192" s="55">
        <x:f>(IF(AH192&gt;0,AH192,0)+IF(AJ192&gt;0,AJ192,0)+IF(AL192&gt;0,AL192,0))</x:f>
      </x:c>
      <x:c r="AO192" s="56">
        <x:f>(((AI192*7)+(AK192*1)+(AM192*1))/8)</x:f>
      </x:c>
      <x:c r="AP192" s="4" t="s">
        <x:v>35</x:v>
      </x:c>
    </x:row>
    <x:row r="193">
      <x:c r="A193" s="4" t="s">
        <x:v>607</x:v>
      </x:c>
      <x:c r="B193" s="4" t="s">
        <x:v>606</x:v>
      </x:c>
      <x:c r="C193" s="38" t="s">
        <x:v>605</x:v>
      </x:c>
      <x:c r="D193" s="41"/>
      <x:c r="E193" s="44"/>
      <x:c r="F193" s="8">
        <x:v>2</x:v>
      </x:c>
      <x:c r="G193" s="40"/>
      <x:c r="H193" s="43"/>
      <x:c r="I193" s="45">
        <x:v>46313</x:v>
      </x:c>
      <x:c r="J193" s="46">
        <x:v>81</x:v>
      </x:c>
      <x:c r="K193" s="47">
        <x:f>(F193-(0)+0-(J193*Ventas!AE196*1.0556))</x:f>
      </x:c>
      <x:c r="L193" s="49">
        <x:f>(K193/(Ventas!AE196*1.0556)/80)</x:f>
      </x:c>
      <x:c r="M193" s="51">
        <x:f>(G193+0)</x:f>
      </x:c>
      <x:c r="N193" s="40"/>
      <x:c r="O193" s="54">
        <x:f>(H193+0)</x:f>
      </x:c>
      <x:c r="P193" s="43"/>
      <x:c r="Q193" s="55">
        <x:f>(K193+M193+O193)</x:f>
      </x:c>
      <x:c r="R193" s="56">
        <x:f>(((L193*7)+(N193*1)+(P193*0))/8)</x:f>
      </x:c>
      <x:c r="S193" s="47">
        <x:f>(180*(Ventas!AE196*0.9644) - IF(K193&gt;0,K193,0))</x:f>
      </x:c>
      <x:c r="T193" s="47">
        <x:f>IF(S193&gt;0,S193,0)</x:f>
      </x:c>
      <x:c r="U193" s="40"/>
      <x:c r="V193" s="40"/>
      <x:c r="W193" s="43"/>
      <x:c r="X193" s="43"/>
      <x:c r="Y193" s="47">
        <x:f>IF(K193&gt;0,K193+IF(T193&gt;0,T193,0),T193)</x:f>
      </x:c>
      <x:c r="Z193" s="40"/>
      <x:c r="AA193" s="43"/>
      <x:c r="AB193" s="6"/>
      <x:c r="AC193" s="6"/>
      <x:c r="AD193" s="40"/>
      <x:c r="AE193" s="40"/>
      <x:c r="AF193" s="43"/>
      <x:c r="AG193" s="43"/>
      <x:c r="AH193" s="47">
        <x:f>(Y193-(90*Ventas!AE196*0.9644))</x:f>
      </x:c>
      <x:c r="AI193" s="49">
        <x:f>(AH193/(Ventas!AE196*0.9644)/80)</x:f>
      </x:c>
      <x:c r="AJ193" s="40"/>
      <x:c r="AK193" s="40"/>
      <x:c r="AL193" s="43"/>
      <x:c r="AM193" s="43"/>
      <x:c r="AN193" s="55">
        <x:f>(IF(AH193&gt;0,AH193,0)+IF(AJ193&gt;0,AJ193,0)+IF(AL193&gt;0,AL193,0))</x:f>
      </x:c>
      <x:c r="AO193" s="56">
        <x:f>(((AI193*7)+(AK193*1)+(AM193*1))/8)</x:f>
      </x:c>
      <x:c r="AP193" s="4" t="s">
        <x:v>35</x:v>
      </x:c>
    </x:row>
    <x:row r="194">
      <x:c r="A194" s="4" t="s">
        <x:v>610</x:v>
      </x:c>
      <x:c r="B194" s="4" t="s">
        <x:v>609</x:v>
      </x:c>
      <x:c r="C194" s="38" t="s">
        <x:v>608</x:v>
      </x:c>
      <x:c r="D194" s="41"/>
      <x:c r="E194" s="44"/>
      <x:c r="F194" s="6"/>
      <x:c r="G194" s="40"/>
      <x:c r="H194" s="43"/>
      <x:c r="I194" s="45">
        <x:v>46313</x:v>
      </x:c>
      <x:c r="J194" s="46">
        <x:v>81</x:v>
      </x:c>
      <x:c r="K194" s="47">
        <x:f>(F194-(0)+0-(J194*Ventas!AE197*1.0556))</x:f>
      </x:c>
      <x:c r="L194" s="6"/>
      <x:c r="M194" s="51">
        <x:f>(G194+0)</x:f>
      </x:c>
      <x:c r="N194" s="40"/>
      <x:c r="O194" s="54">
        <x:f>(H194+0)</x:f>
      </x:c>
      <x:c r="P194" s="43"/>
      <x:c r="Q194" s="55">
        <x:f>(K194+M194+O194)</x:f>
      </x:c>
      <x:c r="R194" s="56">
        <x:f>(((L194*7)+(N194*1)+(P194*0))/8)</x:f>
      </x:c>
      <x:c r="S194" s="47">
        <x:f>(180*(Ventas!AE197*0.9644) - IF(K194&gt;0,K194,0))</x:f>
      </x:c>
      <x:c r="T194" s="47">
        <x:f>IF(S194&gt;0,S194,0)</x:f>
      </x:c>
      <x:c r="U194" s="40"/>
      <x:c r="V194" s="40"/>
      <x:c r="W194" s="43"/>
      <x:c r="X194" s="43"/>
      <x:c r="Y194" s="47">
        <x:f>IF(K194&gt;0,K194+IF(T194&gt;0,T194,0),T194)</x:f>
      </x:c>
      <x:c r="Z194" s="40"/>
      <x:c r="AA194" s="43"/>
      <x:c r="AB194" s="6"/>
      <x:c r="AC194" s="6"/>
      <x:c r="AD194" s="40"/>
      <x:c r="AE194" s="40"/>
      <x:c r="AF194" s="43"/>
      <x:c r="AG194" s="43"/>
      <x:c r="AH194" s="6"/>
      <x:c r="AI194" s="6"/>
      <x:c r="AJ194" s="40"/>
      <x:c r="AK194" s="40"/>
      <x:c r="AL194" s="43"/>
      <x:c r="AM194" s="43"/>
      <x:c r="AN194" s="55">
        <x:f>(IF(AH194&gt;0,AH194,0)+IF(AJ194&gt;0,AJ194,0)+IF(AL194&gt;0,AL194,0))</x:f>
      </x:c>
      <x:c r="AO194" s="56">
        <x:f>(((AI194*7)+(AK194*1)+(AM194*1))/8)</x:f>
      </x:c>
      <x:c r="AP194" s="4" t="s">
        <x:v>51</x:v>
      </x:c>
    </x:row>
    <x:row r="195">
      <x:c r="A195" s="4" t="s">
        <x:v>613</x:v>
      </x:c>
      <x:c r="B195" s="4" t="s">
        <x:v>612</x:v>
      </x:c>
      <x:c r="C195" s="38" t="s">
        <x:v>611</x:v>
      </x:c>
      <x:c r="D195" s="41"/>
      <x:c r="E195" s="44"/>
      <x:c r="F195" s="8">
        <x:v>5</x:v>
      </x:c>
      <x:c r="G195" s="40"/>
      <x:c r="H195" s="43"/>
      <x:c r="I195" s="45">
        <x:v>46313</x:v>
      </x:c>
      <x:c r="J195" s="46">
        <x:v>81</x:v>
      </x:c>
      <x:c r="K195" s="47">
        <x:f>(F195-(0)+0-(J195*Ventas!AE198*1.0556))</x:f>
      </x:c>
      <x:c r="L195" s="49">
        <x:f>(K195/(Ventas!AE198*1.0556)/80)</x:f>
      </x:c>
      <x:c r="M195" s="51">
        <x:f>(G195+0)</x:f>
      </x:c>
      <x:c r="N195" s="40"/>
      <x:c r="O195" s="54">
        <x:f>(H195+0)</x:f>
      </x:c>
      <x:c r="P195" s="43"/>
      <x:c r="Q195" s="55">
        <x:f>(K195+M195+O195)</x:f>
      </x:c>
      <x:c r="R195" s="56">
        <x:f>(((L195*7)+(N195*1)+(P195*0))/8)</x:f>
      </x:c>
      <x:c r="S195" s="47">
        <x:f>(180*(Ventas!AE198*0.9644) - IF(K195&gt;0,K195,0))</x:f>
      </x:c>
      <x:c r="T195" s="47">
        <x:f>IF(S195&gt;0,S195,0)</x:f>
      </x:c>
      <x:c r="U195" s="40"/>
      <x:c r="V195" s="40"/>
      <x:c r="W195" s="43"/>
      <x:c r="X195" s="43"/>
      <x:c r="Y195" s="47">
        <x:f>IF(K195&gt;0,K195+IF(T195&gt;0,T195,0),T195)</x:f>
      </x:c>
      <x:c r="Z195" s="40"/>
      <x:c r="AA195" s="43"/>
      <x:c r="AB195" s="50">
        <x:v>9.8</x:v>
      </x:c>
      <x:c r="AC195" s="8">
        <x:v>3016</x:v>
      </x:c>
      <x:c r="AD195" s="40"/>
      <x:c r="AE195" s="40"/>
      <x:c r="AF195" s="43"/>
      <x:c r="AG195" s="43"/>
      <x:c r="AH195" s="47">
        <x:f>(Y195-(90*Ventas!AE198*0.9644))</x:f>
      </x:c>
      <x:c r="AI195" s="49">
        <x:f>(AH195/(Ventas!AE198*0.9644)/80)</x:f>
      </x:c>
      <x:c r="AJ195" s="40"/>
      <x:c r="AK195" s="40"/>
      <x:c r="AL195" s="43"/>
      <x:c r="AM195" s="43"/>
      <x:c r="AN195" s="55">
        <x:f>(IF(AH195&gt;0,AH195,0)+IF(AJ195&gt;0,AJ195,0)+IF(AL195&gt;0,AL195,0))</x:f>
      </x:c>
      <x:c r="AO195" s="56">
        <x:f>(((AI195*7)+(AK195*1)+(AM195*1))/8)</x:f>
      </x:c>
      <x:c r="AP195" s="4" t="s">
        <x:v>35</x:v>
      </x:c>
    </x:row>
    <x:row r="196">
      <x:c r="A196" s="4" t="s">
        <x:v>616</x:v>
      </x:c>
      <x:c r="B196" s="4" t="s">
        <x:v>615</x:v>
      </x:c>
      <x:c r="C196" s="38" t="s">
        <x:v>614</x:v>
      </x:c>
      <x:c r="D196" s="41"/>
      <x:c r="E196" s="44"/>
      <x:c r="F196" s="8">
        <x:v>98</x:v>
      </x:c>
      <x:c r="G196" s="40"/>
      <x:c r="H196" s="43"/>
      <x:c r="I196" s="45">
        <x:v>46313</x:v>
      </x:c>
      <x:c r="J196" s="46">
        <x:v>81</x:v>
      </x:c>
      <x:c r="K196" s="47">
        <x:f>(F196-(0)+0-(J196*Ventas!AE199*1.0556))</x:f>
      </x:c>
      <x:c r="L196" s="49">
        <x:f>(K196/(Ventas!AE199*1.0556)/80)</x:f>
      </x:c>
      <x:c r="M196" s="51">
        <x:f>(G196+0)</x:f>
      </x:c>
      <x:c r="N196" s="40"/>
      <x:c r="O196" s="54">
        <x:f>(H196+0)</x:f>
      </x:c>
      <x:c r="P196" s="43"/>
      <x:c r="Q196" s="55">
        <x:f>(K196+M196+O196)</x:f>
      </x:c>
      <x:c r="R196" s="56">
        <x:f>(((L196*7)+(N196*1)+(P196*0))/8)</x:f>
      </x:c>
      <x:c r="S196" s="47">
        <x:f>(180*(Ventas!AE199*0.9644) - IF(K196&gt;0,K196,0))</x:f>
      </x:c>
      <x:c r="T196" s="47">
        <x:f>IF(S196&gt;0,S196,0)</x:f>
      </x:c>
      <x:c r="U196" s="40"/>
      <x:c r="V196" s="40"/>
      <x:c r="W196" s="43"/>
      <x:c r="X196" s="43"/>
      <x:c r="Y196" s="47">
        <x:f>IF(K196&gt;0,K196+IF(T196&gt;0,T196,0),T196)</x:f>
      </x:c>
      <x:c r="Z196" s="40"/>
      <x:c r="AA196" s="43"/>
      <x:c r="AB196" s="50">
        <x:v>1.55</x:v>
      </x:c>
      <x:c r="AC196" s="8">
        <x:v>3016</x:v>
      </x:c>
      <x:c r="AD196" s="40"/>
      <x:c r="AE196" s="40"/>
      <x:c r="AF196" s="43"/>
      <x:c r="AG196" s="43"/>
      <x:c r="AH196" s="47">
        <x:f>(Y196-(90*Ventas!AE199*0.9644))</x:f>
      </x:c>
      <x:c r="AI196" s="49">
        <x:f>(AH196/(Ventas!AE199*0.9644)/80)</x:f>
      </x:c>
      <x:c r="AJ196" s="40"/>
      <x:c r="AK196" s="40"/>
      <x:c r="AL196" s="43"/>
      <x:c r="AM196" s="43"/>
      <x:c r="AN196" s="55">
        <x:f>(IF(AH196&gt;0,AH196,0)+IF(AJ196&gt;0,AJ196,0)+IF(AL196&gt;0,AL196,0))</x:f>
      </x:c>
      <x:c r="AO196" s="56">
        <x:f>(((AI196*7)+(AK196*1)+(AM196*1))/8)</x:f>
      </x:c>
      <x:c r="AP196" s="4" t="s">
        <x:v>35</x:v>
      </x:c>
    </x:row>
    <x:row r="197">
      <x:c r="A197" s="4" t="s">
        <x:v>619</x:v>
      </x:c>
      <x:c r="B197" s="4" t="s">
        <x:v>618</x:v>
      </x:c>
      <x:c r="C197" s="38" t="s">
        <x:v>617</x:v>
      </x:c>
      <x:c r="D197" s="41"/>
      <x:c r="E197" s="44"/>
      <x:c r="F197" s="6"/>
      <x:c r="G197" s="40"/>
      <x:c r="H197" s="43"/>
      <x:c r="I197" s="45">
        <x:v>46313</x:v>
      </x:c>
      <x:c r="J197" s="46">
        <x:v>81</x:v>
      </x:c>
      <x:c r="K197" s="47">
        <x:f>(F197-(0)+0-(J197*Ventas!AE200*1.0556))</x:f>
      </x:c>
      <x:c r="L197" s="6"/>
      <x:c r="M197" s="51">
        <x:f>(G197+0)</x:f>
      </x:c>
      <x:c r="N197" s="40"/>
      <x:c r="O197" s="54">
        <x:f>(H197+0)</x:f>
      </x:c>
      <x:c r="P197" s="43"/>
      <x:c r="Q197" s="55">
        <x:f>(K197+M197+O197)</x:f>
      </x:c>
      <x:c r="R197" s="56">
        <x:f>(((L197*7)+(N197*1)+(P197*0))/8)</x:f>
      </x:c>
      <x:c r="S197" s="47">
        <x:f>(180*(Ventas!AE200*0.9644) - IF(K197&gt;0,K197,0))</x:f>
      </x:c>
      <x:c r="T197" s="47">
        <x:f>IF(S197&gt;0,S197,0)</x:f>
      </x:c>
      <x:c r="U197" s="40"/>
      <x:c r="V197" s="40"/>
      <x:c r="W197" s="43"/>
      <x:c r="X197" s="43"/>
      <x:c r="Y197" s="47">
        <x:f>IF(K197&gt;0,K197+IF(T197&gt;0,T197,0),T197)</x:f>
      </x:c>
      <x:c r="Z197" s="40"/>
      <x:c r="AA197" s="43"/>
      <x:c r="AB197" s="50">
        <x:v>3.3</x:v>
      </x:c>
      <x:c r="AC197" s="8">
        <x:v>3013</x:v>
      </x:c>
      <x:c r="AD197" s="40"/>
      <x:c r="AE197" s="40"/>
      <x:c r="AF197" s="43"/>
      <x:c r="AG197" s="43"/>
      <x:c r="AH197" s="6"/>
      <x:c r="AI197" s="6"/>
      <x:c r="AJ197" s="40"/>
      <x:c r="AK197" s="40"/>
      <x:c r="AL197" s="43"/>
      <x:c r="AM197" s="43"/>
      <x:c r="AN197" s="55">
        <x:f>(IF(AH197&gt;0,AH197,0)+IF(AJ197&gt;0,AJ197,0)+IF(AL197&gt;0,AL197,0))</x:f>
      </x:c>
      <x:c r="AO197" s="56">
        <x:f>(((AI197*7)+(AK197*1)+(AM197*1))/8)</x:f>
      </x:c>
      <x:c r="AP197" s="4" t="s">
        <x:v>51</x:v>
      </x:c>
    </x:row>
    <x:row r="198">
      <x:c r="A198" s="4" t="s">
        <x:v>622</x:v>
      </x:c>
      <x:c r="B198" s="4" t="s">
        <x:v>621</x:v>
      </x:c>
      <x:c r="C198" s="38" t="s">
        <x:v>620</x:v>
      </x:c>
      <x:c r="D198" s="41"/>
      <x:c r="E198" s="44"/>
      <x:c r="F198" s="8">
        <x:v>1</x:v>
      </x:c>
      <x:c r="G198" s="40"/>
      <x:c r="H198" s="43"/>
      <x:c r="I198" s="45">
        <x:v>46313</x:v>
      </x:c>
      <x:c r="J198" s="46">
        <x:v>81</x:v>
      </x:c>
      <x:c r="K198" s="47">
        <x:f>(F198-(0)+0-(J198*Ventas!AE201*1.0556))</x:f>
      </x:c>
      <x:c r="L198" s="49">
        <x:f>(K198/(Ventas!AE201*1.0556)/80)</x:f>
      </x:c>
      <x:c r="M198" s="51">
        <x:f>(G198+0)</x:f>
      </x:c>
      <x:c r="N198" s="40"/>
      <x:c r="O198" s="54">
        <x:f>(H198+0)</x:f>
      </x:c>
      <x:c r="P198" s="43"/>
      <x:c r="Q198" s="55">
        <x:f>(K198+M198+O198)</x:f>
      </x:c>
      <x:c r="R198" s="56">
        <x:f>(((L198*7)+(N198*1)+(P198*0))/8)</x:f>
      </x:c>
      <x:c r="S198" s="47">
        <x:f>(180*(Ventas!AE201*0.9644) - IF(K198&gt;0,K198,0))</x:f>
      </x:c>
      <x:c r="T198" s="47">
        <x:f>IF(S198&gt;0,S198,0)</x:f>
      </x:c>
      <x:c r="U198" s="40"/>
      <x:c r="V198" s="40"/>
      <x:c r="W198" s="43"/>
      <x:c r="X198" s="43"/>
      <x:c r="Y198" s="47">
        <x:f>IF(K198&gt;0,K198+IF(T198&gt;0,T198,0),T198)</x:f>
      </x:c>
      <x:c r="Z198" s="40"/>
      <x:c r="AA198" s="43"/>
      <x:c r="AB198" s="50">
        <x:v>5.56</x:v>
      </x:c>
      <x:c r="AC198" s="8">
        <x:v>3022</x:v>
      </x:c>
      <x:c r="AD198" s="40"/>
      <x:c r="AE198" s="40"/>
      <x:c r="AF198" s="43"/>
      <x:c r="AG198" s="43"/>
      <x:c r="AH198" s="47">
        <x:f>(Y198-(90*Ventas!AE201*0.9644))</x:f>
      </x:c>
      <x:c r="AI198" s="49">
        <x:f>(AH198/(Ventas!AE201*0.9644)/80)</x:f>
      </x:c>
      <x:c r="AJ198" s="40"/>
      <x:c r="AK198" s="40"/>
      <x:c r="AL198" s="43"/>
      <x:c r="AM198" s="43"/>
      <x:c r="AN198" s="55">
        <x:f>(IF(AH198&gt;0,AH198,0)+IF(AJ198&gt;0,AJ198,0)+IF(AL198&gt;0,AL198,0))</x:f>
      </x:c>
      <x:c r="AO198" s="56">
        <x:f>(((AI198*7)+(AK198*1)+(AM198*1))/8)</x:f>
      </x:c>
      <x:c r="AP198" s="4" t="s">
        <x:v>35</x:v>
      </x:c>
    </x:row>
    <x:row r="199">
      <x:c r="A199" s="4" t="s">
        <x:v>625</x:v>
      </x:c>
      <x:c r="B199" s="4" t="s">
        <x:v>624</x:v>
      </x:c>
      <x:c r="C199" s="38" t="s">
        <x:v>623</x:v>
      </x:c>
      <x:c r="D199" s="41"/>
      <x:c r="E199" s="44"/>
      <x:c r="F199" s="8">
        <x:v>58</x:v>
      </x:c>
      <x:c r="G199" s="40"/>
      <x:c r="H199" s="43"/>
      <x:c r="I199" s="45">
        <x:v>46313</x:v>
      </x:c>
      <x:c r="J199" s="46">
        <x:v>81</x:v>
      </x:c>
      <x:c r="K199" s="47">
        <x:f>(F199-(0)+0-(J199*Ventas!AE202*1.0556))</x:f>
      </x:c>
      <x:c r="L199" s="49">
        <x:f>(K199/(Ventas!AE202*1.0556)/80)</x:f>
      </x:c>
      <x:c r="M199" s="51">
        <x:f>(G199+0)</x:f>
      </x:c>
      <x:c r="N199" s="40"/>
      <x:c r="O199" s="54">
        <x:f>(H199+0)</x:f>
      </x:c>
      <x:c r="P199" s="43"/>
      <x:c r="Q199" s="55">
        <x:f>(K199+M199+O199)</x:f>
      </x:c>
      <x:c r="R199" s="56">
        <x:f>(((L199*7)+(N199*1)+(P199*0))/8)</x:f>
      </x:c>
      <x:c r="S199" s="47">
        <x:f>(180*(Ventas!AE202*0.9644) - IF(K199&gt;0,K199,0))</x:f>
      </x:c>
      <x:c r="T199" s="47">
        <x:f>IF(S199&gt;0,S199,0)</x:f>
      </x:c>
      <x:c r="U199" s="40"/>
      <x:c r="V199" s="40"/>
      <x:c r="W199" s="43"/>
      <x:c r="X199" s="43"/>
      <x:c r="Y199" s="47">
        <x:f>IF(K199&gt;0,K199+IF(T199&gt;0,T199,0),T199)</x:f>
      </x:c>
      <x:c r="Z199" s="40"/>
      <x:c r="AA199" s="43"/>
      <x:c r="AB199" s="50">
        <x:v>3.2</x:v>
      </x:c>
      <x:c r="AC199" s="8">
        <x:v>3016</x:v>
      </x:c>
      <x:c r="AD199" s="40"/>
      <x:c r="AE199" s="40"/>
      <x:c r="AF199" s="43"/>
      <x:c r="AG199" s="43"/>
      <x:c r="AH199" s="47">
        <x:f>(Y199-(90*Ventas!AE202*0.9644))</x:f>
      </x:c>
      <x:c r="AI199" s="49">
        <x:f>(AH199/(Ventas!AE202*0.9644)/80)</x:f>
      </x:c>
      <x:c r="AJ199" s="40"/>
      <x:c r="AK199" s="40"/>
      <x:c r="AL199" s="43"/>
      <x:c r="AM199" s="43"/>
      <x:c r="AN199" s="55">
        <x:f>(IF(AH199&gt;0,AH199,0)+IF(AJ199&gt;0,AJ199,0)+IF(AL199&gt;0,AL199,0))</x:f>
      </x:c>
      <x:c r="AO199" s="56">
        <x:f>(((AI199*7)+(AK199*1)+(AM199*1))/8)</x:f>
      </x:c>
      <x:c r="AP199" s="4" t="s">
        <x:v>35</x:v>
      </x:c>
    </x:row>
    <x:row r="200">
      <x:c r="A200" s="4" t="s">
        <x:v>628</x:v>
      </x:c>
      <x:c r="B200" s="4" t="s">
        <x:v>627</x:v>
      </x:c>
      <x:c r="C200" s="38" t="s">
        <x:v>626</x:v>
      </x:c>
      <x:c r="D200" s="41"/>
      <x:c r="E200" s="44"/>
      <x:c r="F200" s="8">
        <x:v>107</x:v>
      </x:c>
      <x:c r="G200" s="40"/>
      <x:c r="H200" s="43"/>
      <x:c r="I200" s="45">
        <x:v>46313</x:v>
      </x:c>
      <x:c r="J200" s="46">
        <x:v>81</x:v>
      </x:c>
      <x:c r="K200" s="47">
        <x:f>(F200-(0)+0-(J200*Ventas!AE203*1.0556))</x:f>
      </x:c>
      <x:c r="L200" s="49">
        <x:f>(K200/(Ventas!AE203*1.0556)/80)</x:f>
      </x:c>
      <x:c r="M200" s="51">
        <x:f>(G200+0)</x:f>
      </x:c>
      <x:c r="N200" s="40"/>
      <x:c r="O200" s="54">
        <x:f>(H200+0)</x:f>
      </x:c>
      <x:c r="P200" s="43"/>
      <x:c r="Q200" s="55">
        <x:f>(K200+M200+O200)</x:f>
      </x:c>
      <x:c r="R200" s="56">
        <x:f>(((L200*7)+(N200*1)+(P200*0))/8)</x:f>
      </x:c>
      <x:c r="S200" s="47">
        <x:f>(180*(Ventas!AE203*0.9644) - IF(K200&gt;0,K200,0))</x:f>
      </x:c>
      <x:c r="T200" s="47">
        <x:f>IF(S200&gt;0,S200,0)</x:f>
      </x:c>
      <x:c r="U200" s="40"/>
      <x:c r="V200" s="40"/>
      <x:c r="W200" s="43"/>
      <x:c r="X200" s="43"/>
      <x:c r="Y200" s="47">
        <x:f>IF(K200&gt;0,K200+IF(T200&gt;0,T200,0),T200)</x:f>
      </x:c>
      <x:c r="Z200" s="40"/>
      <x:c r="AA200" s="43"/>
      <x:c r="AB200" s="50">
        <x:v>5.1</x:v>
      </x:c>
      <x:c r="AC200" s="8">
        <x:v>3016</x:v>
      </x:c>
      <x:c r="AD200" s="40"/>
      <x:c r="AE200" s="40"/>
      <x:c r="AF200" s="43"/>
      <x:c r="AG200" s="43"/>
      <x:c r="AH200" s="47">
        <x:f>(Y200-(90*Ventas!AE203*0.9644))</x:f>
      </x:c>
      <x:c r="AI200" s="49">
        <x:f>(AH200/(Ventas!AE203*0.9644)/80)</x:f>
      </x:c>
      <x:c r="AJ200" s="40"/>
      <x:c r="AK200" s="40"/>
      <x:c r="AL200" s="43"/>
      <x:c r="AM200" s="43"/>
      <x:c r="AN200" s="55">
        <x:f>(IF(AH200&gt;0,AH200,0)+IF(AJ200&gt;0,AJ200,0)+IF(AL200&gt;0,AL200,0))</x:f>
      </x:c>
      <x:c r="AO200" s="56">
        <x:f>(((AI200*7)+(AK200*1)+(AM200*1))/8)</x:f>
      </x:c>
      <x:c r="AP200" s="4" t="s">
        <x:v>35</x:v>
      </x:c>
    </x:row>
    <x:row r="201">
      <x:c r="A201" s="4" t="s">
        <x:v>631</x:v>
      </x:c>
      <x:c r="B201" s="4" t="s">
        <x:v>630</x:v>
      </x:c>
      <x:c r="C201" s="38" t="s">
        <x:v>629</x:v>
      </x:c>
      <x:c r="D201" s="41"/>
      <x:c r="E201" s="44"/>
      <x:c r="F201" s="6"/>
      <x:c r="G201" s="40"/>
      <x:c r="H201" s="43"/>
      <x:c r="I201" s="45">
        <x:v>46313</x:v>
      </x:c>
      <x:c r="J201" s="46">
        <x:v>81</x:v>
      </x:c>
      <x:c r="K201" s="47">
        <x:f>(F201-(0)+0-(J201*Ventas!AE204*1.0556))</x:f>
      </x:c>
      <x:c r="L201" s="6"/>
      <x:c r="M201" s="51">
        <x:f>(G201+0)</x:f>
      </x:c>
      <x:c r="N201" s="40"/>
      <x:c r="O201" s="54">
        <x:f>(H201+0)</x:f>
      </x:c>
      <x:c r="P201" s="43"/>
      <x:c r="Q201" s="55">
        <x:f>(K201+M201+O201)</x:f>
      </x:c>
      <x:c r="R201" s="56">
        <x:f>(((L201*7)+(N201*1)+(P201*0))/8)</x:f>
      </x:c>
      <x:c r="S201" s="47">
        <x:f>(180*(Ventas!AE204*0.9644) - IF(K201&gt;0,K201,0))</x:f>
      </x:c>
      <x:c r="T201" s="47">
        <x:f>IF(S201&gt;0,S201,0)</x:f>
      </x:c>
      <x:c r="U201" s="40"/>
      <x:c r="V201" s="40"/>
      <x:c r="W201" s="43"/>
      <x:c r="X201" s="43"/>
      <x:c r="Y201" s="47">
        <x:f>IF(K201&gt;0,K201+IF(T201&gt;0,T201,0),T201)</x:f>
      </x:c>
      <x:c r="Z201" s="40"/>
      <x:c r="AA201" s="43"/>
      <x:c r="AB201" s="6"/>
      <x:c r="AC201" s="6"/>
      <x:c r="AD201" s="40"/>
      <x:c r="AE201" s="40"/>
      <x:c r="AF201" s="43"/>
      <x:c r="AG201" s="43"/>
      <x:c r="AH201" s="6"/>
      <x:c r="AI201" s="6"/>
      <x:c r="AJ201" s="40"/>
      <x:c r="AK201" s="40"/>
      <x:c r="AL201" s="43"/>
      <x:c r="AM201" s="43"/>
      <x:c r="AN201" s="55">
        <x:f>(IF(AH201&gt;0,AH201,0)+IF(AJ201&gt;0,AJ201,0)+IF(AL201&gt;0,AL201,0))</x:f>
      </x:c>
      <x:c r="AO201" s="56">
        <x:f>(((AI201*7)+(AK201*1)+(AM201*1))/8)</x:f>
      </x:c>
      <x:c r="AP201" s="4" t="s">
        <x:v>51</x:v>
      </x:c>
    </x:row>
    <x:row r="202">
      <x:c r="A202" s="4" t="s">
        <x:v>634</x:v>
      </x:c>
      <x:c r="B202" s="4" t="s">
        <x:v>633</x:v>
      </x:c>
      <x:c r="C202" s="38" t="s">
        <x:v>632</x:v>
      </x:c>
      <x:c r="D202" s="41"/>
      <x:c r="E202" s="44"/>
      <x:c r="F202" s="6"/>
      <x:c r="G202" s="40"/>
      <x:c r="H202" s="43"/>
      <x:c r="I202" s="45">
        <x:v>46313</x:v>
      </x:c>
      <x:c r="J202" s="46">
        <x:v>81</x:v>
      </x:c>
      <x:c r="K202" s="47">
        <x:f>(F202-(0)+0-(J202*Ventas!AE205*1.0556))</x:f>
      </x:c>
      <x:c r="L202" s="6"/>
      <x:c r="M202" s="51">
        <x:f>(G202+0)</x:f>
      </x:c>
      <x:c r="N202" s="40"/>
      <x:c r="O202" s="54">
        <x:f>(H202+0)</x:f>
      </x:c>
      <x:c r="P202" s="43"/>
      <x:c r="Q202" s="55">
        <x:f>(K202+M202+O202)</x:f>
      </x:c>
      <x:c r="R202" s="56">
        <x:f>(((L202*7)+(N202*1)+(P202*0))/8)</x:f>
      </x:c>
      <x:c r="S202" s="47">
        <x:f>(180*(Ventas!AE205*0.9644) - IF(K202&gt;0,K202,0))</x:f>
      </x:c>
      <x:c r="T202" s="47">
        <x:f>IF(S202&gt;0,S202,0)</x:f>
      </x:c>
      <x:c r="U202" s="40"/>
      <x:c r="V202" s="40"/>
      <x:c r="W202" s="43"/>
      <x:c r="X202" s="43"/>
      <x:c r="Y202" s="47">
        <x:f>IF(K202&gt;0,K202+IF(T202&gt;0,T202,0),T202)</x:f>
      </x:c>
      <x:c r="Z202" s="40"/>
      <x:c r="AA202" s="43"/>
      <x:c r="AB202" s="6"/>
      <x:c r="AC202" s="6"/>
      <x:c r="AD202" s="40"/>
      <x:c r="AE202" s="40"/>
      <x:c r="AF202" s="43"/>
      <x:c r="AG202" s="43"/>
      <x:c r="AH202" s="6"/>
      <x:c r="AI202" s="6"/>
      <x:c r="AJ202" s="40"/>
      <x:c r="AK202" s="40"/>
      <x:c r="AL202" s="43"/>
      <x:c r="AM202" s="43"/>
      <x:c r="AN202" s="55">
        <x:f>(IF(AH202&gt;0,AH202,0)+IF(AJ202&gt;0,AJ202,0)+IF(AL202&gt;0,AL202,0))</x:f>
      </x:c>
      <x:c r="AO202" s="56">
        <x:f>(((AI202*7)+(AK202*1)+(AM202*1))/8)</x:f>
      </x:c>
      <x:c r="AP202" s="4" t="s">
        <x:v>51</x:v>
      </x:c>
    </x:row>
    <x:row r="203">
      <x:c r="A203" s="4" t="s">
        <x:v>637</x:v>
      </x:c>
      <x:c r="B203" s="4" t="s">
        <x:v>636</x:v>
      </x:c>
      <x:c r="C203" s="38" t="s">
        <x:v>635</x:v>
      </x:c>
      <x:c r="D203" s="41"/>
      <x:c r="E203" s="44"/>
      <x:c r="F203" s="6"/>
      <x:c r="G203" s="40"/>
      <x:c r="H203" s="43"/>
      <x:c r="I203" s="45">
        <x:v>46313</x:v>
      </x:c>
      <x:c r="J203" s="46">
        <x:v>81</x:v>
      </x:c>
      <x:c r="K203" s="47">
        <x:f>(F203-(0)+0-(J203*Ventas!AE206*1.0556))</x:f>
      </x:c>
      <x:c r="L203" s="6"/>
      <x:c r="M203" s="51">
        <x:f>(G203+0)</x:f>
      </x:c>
      <x:c r="N203" s="40"/>
      <x:c r="O203" s="54">
        <x:f>(H203+0)</x:f>
      </x:c>
      <x:c r="P203" s="43"/>
      <x:c r="Q203" s="55">
        <x:f>(K203+M203+O203)</x:f>
      </x:c>
      <x:c r="R203" s="56">
        <x:f>(((L203*7)+(N203*1)+(P203*0))/8)</x:f>
      </x:c>
      <x:c r="S203" s="47">
        <x:f>(180*(Ventas!AE206*0.9644) - IF(K203&gt;0,K203,0))</x:f>
      </x:c>
      <x:c r="T203" s="47">
        <x:f>IF(S203&gt;0,S203,0)</x:f>
      </x:c>
      <x:c r="U203" s="40"/>
      <x:c r="V203" s="40"/>
      <x:c r="W203" s="43"/>
      <x:c r="X203" s="43"/>
      <x:c r="Y203" s="47">
        <x:f>IF(K203&gt;0,K203+IF(T203&gt;0,T203,0),T203)</x:f>
      </x:c>
      <x:c r="Z203" s="40"/>
      <x:c r="AA203" s="43"/>
      <x:c r="AB203" s="50">
        <x:v>4.63</x:v>
      </x:c>
      <x:c r="AC203" s="8">
        <x:v>3022</x:v>
      </x:c>
      <x:c r="AD203" s="40"/>
      <x:c r="AE203" s="40"/>
      <x:c r="AF203" s="43"/>
      <x:c r="AG203" s="43"/>
      <x:c r="AH203" s="6"/>
      <x:c r="AI203" s="6"/>
      <x:c r="AJ203" s="40"/>
      <x:c r="AK203" s="40"/>
      <x:c r="AL203" s="43"/>
      <x:c r="AM203" s="43"/>
      <x:c r="AN203" s="55">
        <x:f>(IF(AH203&gt;0,AH203,0)+IF(AJ203&gt;0,AJ203,0)+IF(AL203&gt;0,AL203,0))</x:f>
      </x:c>
      <x:c r="AO203" s="56">
        <x:f>(((AI203*7)+(AK203*1)+(AM203*1))/8)</x:f>
      </x:c>
      <x:c r="AP203" s="4" t="s">
        <x:v>35</x:v>
      </x:c>
    </x:row>
    <x:row r="204">
      <x:c r="A204" s="4" t="s">
        <x:v>640</x:v>
      </x:c>
      <x:c r="B204" s="4" t="s">
        <x:v>639</x:v>
      </x:c>
      <x:c r="C204" s="38" t="s">
        <x:v>638</x:v>
      </x:c>
      <x:c r="D204" s="41"/>
      <x:c r="E204" s="44"/>
      <x:c r="F204" s="8">
        <x:v>38</x:v>
      </x:c>
      <x:c r="G204" s="40"/>
      <x:c r="H204" s="43"/>
      <x:c r="I204" s="45">
        <x:v>46313</x:v>
      </x:c>
      <x:c r="J204" s="46">
        <x:v>81</x:v>
      </x:c>
      <x:c r="K204" s="47">
        <x:f>(F204-(0)+0-(J204*Ventas!AE207*1.0556))</x:f>
      </x:c>
      <x:c r="L204" s="49">
        <x:f>(K204/(Ventas!AE207*1.0556)/80)</x:f>
      </x:c>
      <x:c r="M204" s="51">
        <x:f>(G204+0)</x:f>
      </x:c>
      <x:c r="N204" s="40"/>
      <x:c r="O204" s="54">
        <x:f>(H204+0)</x:f>
      </x:c>
      <x:c r="P204" s="43"/>
      <x:c r="Q204" s="55">
        <x:f>(K204+M204+O204)</x:f>
      </x:c>
      <x:c r="R204" s="56">
        <x:f>(((L204*7)+(N204*1)+(P204*0))/8)</x:f>
      </x:c>
      <x:c r="S204" s="47">
        <x:f>(180*(Ventas!AE207*0.9644) - IF(K204&gt;0,K204,0))</x:f>
      </x:c>
      <x:c r="T204" s="47">
        <x:f>IF(S204&gt;0,S204,0)</x:f>
      </x:c>
      <x:c r="U204" s="40"/>
      <x:c r="V204" s="40"/>
      <x:c r="W204" s="43"/>
      <x:c r="X204" s="43"/>
      <x:c r="Y204" s="47">
        <x:f>IF(K204&gt;0,K204+IF(T204&gt;0,T204,0),T204)</x:f>
      </x:c>
      <x:c r="Z204" s="40"/>
      <x:c r="AA204" s="43"/>
      <x:c r="AB204" s="50">
        <x:v>7.5</x:v>
      </x:c>
      <x:c r="AC204" s="8">
        <x:v>3016</x:v>
      </x:c>
      <x:c r="AD204" s="40"/>
      <x:c r="AE204" s="40"/>
      <x:c r="AF204" s="43"/>
      <x:c r="AG204" s="43"/>
      <x:c r="AH204" s="47">
        <x:f>(Y204-(90*Ventas!AE207*0.9644))</x:f>
      </x:c>
      <x:c r="AI204" s="49">
        <x:f>(AH204/(Ventas!AE207*0.9644)/80)</x:f>
      </x:c>
      <x:c r="AJ204" s="40"/>
      <x:c r="AK204" s="40"/>
      <x:c r="AL204" s="43"/>
      <x:c r="AM204" s="43"/>
      <x:c r="AN204" s="55">
        <x:f>(IF(AH204&gt;0,AH204,0)+IF(AJ204&gt;0,AJ204,0)+IF(AL204&gt;0,AL204,0))</x:f>
      </x:c>
      <x:c r="AO204" s="56">
        <x:f>(((AI204*7)+(AK204*1)+(AM204*1))/8)</x:f>
      </x:c>
      <x:c r="AP204" s="4" t="s">
        <x:v>35</x:v>
      </x:c>
    </x:row>
    <x:row r="205">
      <x:c r="A205" s="4" t="s">
        <x:v>643</x:v>
      </x:c>
      <x:c r="B205" s="4" t="s">
        <x:v>642</x:v>
      </x:c>
      <x:c r="C205" s="38" t="s">
        <x:v>641</x:v>
      </x:c>
      <x:c r="D205" s="41"/>
      <x:c r="E205" s="44"/>
      <x:c r="F205" s="6"/>
      <x:c r="G205" s="40"/>
      <x:c r="H205" s="43"/>
      <x:c r="I205" s="45">
        <x:v>46313</x:v>
      </x:c>
      <x:c r="J205" s="46">
        <x:v>81</x:v>
      </x:c>
      <x:c r="K205" s="47">
        <x:f>(F205-(0)+0-(J205*Ventas!AE208*1.0556))</x:f>
      </x:c>
      <x:c r="L205" s="6"/>
      <x:c r="M205" s="51">
        <x:f>(G205+0)</x:f>
      </x:c>
      <x:c r="N205" s="40"/>
      <x:c r="O205" s="54">
        <x:f>(H205+0)</x:f>
      </x:c>
      <x:c r="P205" s="43"/>
      <x:c r="Q205" s="55">
        <x:f>(K205+M205+O205)</x:f>
      </x:c>
      <x:c r="R205" s="56">
        <x:f>(((L205*7)+(N205*1)+(P205*0))/8)</x:f>
      </x:c>
      <x:c r="S205" s="47">
        <x:f>(180*(Ventas!AE208*0.9644) - IF(K205&gt;0,K205,0))</x:f>
      </x:c>
      <x:c r="T205" s="47">
        <x:f>IF(S205&gt;0,S205,0)</x:f>
      </x:c>
      <x:c r="U205" s="40"/>
      <x:c r="V205" s="40"/>
      <x:c r="W205" s="43"/>
      <x:c r="X205" s="43"/>
      <x:c r="Y205" s="47">
        <x:f>IF(K205&gt;0,K205+IF(T205&gt;0,T205,0),T205)</x:f>
      </x:c>
      <x:c r="Z205" s="40"/>
      <x:c r="AA205" s="43"/>
      <x:c r="AB205" s="50">
        <x:v>7.2</x:v>
      </x:c>
      <x:c r="AC205" s="8">
        <x:v>3016</x:v>
      </x:c>
      <x:c r="AD205" s="40"/>
      <x:c r="AE205" s="40"/>
      <x:c r="AF205" s="43"/>
      <x:c r="AG205" s="43"/>
      <x:c r="AH205" s="6"/>
      <x:c r="AI205" s="6"/>
      <x:c r="AJ205" s="40"/>
      <x:c r="AK205" s="40"/>
      <x:c r="AL205" s="43"/>
      <x:c r="AM205" s="43"/>
      <x:c r="AN205" s="55">
        <x:f>(IF(AH205&gt;0,AH205,0)+IF(AJ205&gt;0,AJ205,0)+IF(AL205&gt;0,AL205,0))</x:f>
      </x:c>
      <x:c r="AO205" s="56">
        <x:f>(((AI205*7)+(AK205*1)+(AM205*1))/8)</x:f>
      </x:c>
      <x:c r="AP205" s="4" t="s">
        <x:v>35</x:v>
      </x:c>
    </x:row>
    <x:row r="206">
      <x:c r="A206" s="4" t="s">
        <x:v>646</x:v>
      </x:c>
      <x:c r="B206" s="4" t="s">
        <x:v>645</x:v>
      </x:c>
      <x:c r="C206" s="38" t="s">
        <x:v>644</x:v>
      </x:c>
      <x:c r="D206" s="41"/>
      <x:c r="E206" s="44"/>
      <x:c r="F206" s="6"/>
      <x:c r="G206" s="40"/>
      <x:c r="H206" s="43"/>
      <x:c r="I206" s="45">
        <x:v>46313</x:v>
      </x:c>
      <x:c r="J206" s="46">
        <x:v>81</x:v>
      </x:c>
      <x:c r="K206" s="47">
        <x:f>(F206-(0)+0-(J206*Ventas!AE209*1.0556))</x:f>
      </x:c>
      <x:c r="L206" s="6"/>
      <x:c r="M206" s="51">
        <x:f>(G206+0)</x:f>
      </x:c>
      <x:c r="N206" s="40"/>
      <x:c r="O206" s="54">
        <x:f>(H206+0)</x:f>
      </x:c>
      <x:c r="P206" s="43"/>
      <x:c r="Q206" s="55">
        <x:f>(K206+M206+O206)</x:f>
      </x:c>
      <x:c r="R206" s="56">
        <x:f>(((L206*7)+(N206*1)+(P206*0))/8)</x:f>
      </x:c>
      <x:c r="S206" s="47">
        <x:f>(180*(Ventas!AE209*0.9644) - IF(K206&gt;0,K206,0))</x:f>
      </x:c>
      <x:c r="T206" s="47">
        <x:f>IF(S206&gt;0,S206,0)</x:f>
      </x:c>
      <x:c r="U206" s="40"/>
      <x:c r="V206" s="40"/>
      <x:c r="W206" s="43"/>
      <x:c r="X206" s="43"/>
      <x:c r="Y206" s="47">
        <x:f>IF(K206&gt;0,K206+IF(T206&gt;0,T206,0),T206)</x:f>
      </x:c>
      <x:c r="Z206" s="40"/>
      <x:c r="AA206" s="43"/>
      <x:c r="AB206" s="50">
        <x:v>5.99</x:v>
      </x:c>
      <x:c r="AC206" s="8">
        <x:v>3016</x:v>
      </x:c>
      <x:c r="AD206" s="40"/>
      <x:c r="AE206" s="40"/>
      <x:c r="AF206" s="43"/>
      <x:c r="AG206" s="43"/>
      <x:c r="AH206" s="6"/>
      <x:c r="AI206" s="6"/>
      <x:c r="AJ206" s="40"/>
      <x:c r="AK206" s="40"/>
      <x:c r="AL206" s="43"/>
      <x:c r="AM206" s="43"/>
      <x:c r="AN206" s="55">
        <x:f>(IF(AH206&gt;0,AH206,0)+IF(AJ206&gt;0,AJ206,0)+IF(AL206&gt;0,AL206,0))</x:f>
      </x:c>
      <x:c r="AO206" s="56">
        <x:f>(((AI206*7)+(AK206*1)+(AM206*1))/8)</x:f>
      </x:c>
      <x:c r="AP206" s="4" t="s">
        <x:v>35</x:v>
      </x:c>
    </x:row>
    <x:row r="207">
      <x:c r="A207" s="4" t="s">
        <x:v>649</x:v>
      </x:c>
      <x:c r="B207" s="4" t="s">
        <x:v>648</x:v>
      </x:c>
      <x:c r="C207" s="38" t="s">
        <x:v>647</x:v>
      </x:c>
      <x:c r="D207" s="41"/>
      <x:c r="E207" s="44"/>
      <x:c r="F207" s="8">
        <x:v>6</x:v>
      </x:c>
      <x:c r="G207" s="40"/>
      <x:c r="H207" s="43"/>
      <x:c r="I207" s="45">
        <x:v>46313</x:v>
      </x:c>
      <x:c r="J207" s="46">
        <x:v>81</x:v>
      </x:c>
      <x:c r="K207" s="47">
        <x:f>(F207-(0)+0-(J207*Ventas!AE210*1.0556))</x:f>
      </x:c>
      <x:c r="L207" s="49">
        <x:f>(K207/(Ventas!AE210*1.0556)/80)</x:f>
      </x:c>
      <x:c r="M207" s="51">
        <x:f>(G207+0)</x:f>
      </x:c>
      <x:c r="N207" s="40"/>
      <x:c r="O207" s="54">
        <x:f>(H207+0)</x:f>
      </x:c>
      <x:c r="P207" s="43"/>
      <x:c r="Q207" s="55">
        <x:f>(K207+M207+O207)</x:f>
      </x:c>
      <x:c r="R207" s="56">
        <x:f>(((L207*7)+(N207*1)+(P207*0))/8)</x:f>
      </x:c>
      <x:c r="S207" s="47">
        <x:f>(180*(Ventas!AE210*0.9644) - IF(K207&gt;0,K207,0))</x:f>
      </x:c>
      <x:c r="T207" s="47">
        <x:f>IF(S207&gt;0,S207,0)</x:f>
      </x:c>
      <x:c r="U207" s="40"/>
      <x:c r="V207" s="40"/>
      <x:c r="W207" s="43"/>
      <x:c r="X207" s="43"/>
      <x:c r="Y207" s="47">
        <x:f>IF(K207&gt;0,K207+IF(T207&gt;0,T207,0),T207)</x:f>
      </x:c>
      <x:c r="Z207" s="40"/>
      <x:c r="AA207" s="43"/>
      <x:c r="AB207" s="50">
        <x:v>3.6</x:v>
      </x:c>
      <x:c r="AC207" s="8">
        <x:v>3016</x:v>
      </x:c>
      <x:c r="AD207" s="40"/>
      <x:c r="AE207" s="40"/>
      <x:c r="AF207" s="43"/>
      <x:c r="AG207" s="43"/>
      <x:c r="AH207" s="47">
        <x:f>(Y207-(90*Ventas!AE210*0.9644))</x:f>
      </x:c>
      <x:c r="AI207" s="49">
        <x:f>(AH207/(Ventas!AE210*0.9644)/80)</x:f>
      </x:c>
      <x:c r="AJ207" s="40"/>
      <x:c r="AK207" s="40"/>
      <x:c r="AL207" s="43"/>
      <x:c r="AM207" s="43"/>
      <x:c r="AN207" s="55">
        <x:f>(IF(AH207&gt;0,AH207,0)+IF(AJ207&gt;0,AJ207,0)+IF(AL207&gt;0,AL207,0))</x:f>
      </x:c>
      <x:c r="AO207" s="56">
        <x:f>(((AI207*7)+(AK207*1)+(AM207*1))/8)</x:f>
      </x:c>
      <x:c r="AP207" s="4" t="s">
        <x:v>35</x:v>
      </x:c>
    </x:row>
    <x:row r="208">
      <x:c r="A208" s="4" t="s">
        <x:v>652</x:v>
      </x:c>
      <x:c r="B208" s="4" t="s">
        <x:v>651</x:v>
      </x:c>
      <x:c r="C208" s="38" t="s">
        <x:v>650</x:v>
      </x:c>
      <x:c r="D208" s="41" t="s">
        <x:v>1566</x:v>
      </x:c>
      <x:c r="E208" s="44"/>
      <x:c r="F208" s="8">
        <x:v>400</x:v>
      </x:c>
      <x:c r="G208" s="40"/>
      <x:c r="H208" s="43"/>
      <x:c r="I208" s="45">
        <x:v>46313</x:v>
      </x:c>
      <x:c r="J208" s="46">
        <x:v>81</x:v>
      </x:c>
      <x:c r="K208" s="47">
        <x:f>(F208-(0)+0-(J208*Ventas!AE211*1.0556))</x:f>
      </x:c>
      <x:c r="L208" s="49">
        <x:f>(K208/(Ventas!AE211*1.0556)/80)</x:f>
      </x:c>
      <x:c r="M208" s="51">
        <x:f>(G208-(0)+0-(J208*Ventas!AE524*1.0556))</x:f>
      </x:c>
      <x:c r="N208" s="40"/>
      <x:c r="O208" s="54">
        <x:f>(H208+0)</x:f>
      </x:c>
      <x:c r="P208" s="43"/>
      <x:c r="Q208" s="55">
        <x:f>(K208+M208+O208)</x:f>
      </x:c>
      <x:c r="R208" s="56">
        <x:f>(((L208*7)+(N208*1)+(P208*0))/8)</x:f>
      </x:c>
      <x:c r="S208" s="47">
        <x:f>(180*(Ventas!AE211*0.9644) - IF(K208&gt;0,K208,0))</x:f>
      </x:c>
      <x:c r="T208" s="47">
        <x:f>IF(S208&gt;0,S208,0)</x:f>
      </x:c>
      <x:c r="U208" s="51">
        <x:f>(180*(Ventas!AE524*0.9644) - IF(M208&gt;0,M208,0))</x:f>
      </x:c>
      <x:c r="V208" s="51">
        <x:f>IF(U208&gt;0,U208,0)</x:f>
      </x:c>
      <x:c r="W208" s="43"/>
      <x:c r="X208" s="43"/>
      <x:c r="Y208" s="47">
        <x:f>IF(K208&gt;0,K208+IF(T208&gt;0,T208,0),T208)</x:f>
      </x:c>
      <x:c r="Z208" s="51">
        <x:f>IF(M208&gt;0,M208+IF(V208&gt;0,V208,0),V208)</x:f>
      </x:c>
      <x:c r="AA208" s="43"/>
      <x:c r="AB208" s="50">
        <x:v>3.35</x:v>
      </x:c>
      <x:c r="AC208" s="8">
        <x:v>3016</x:v>
      </x:c>
      <x:c r="AD208" s="40"/>
      <x:c r="AE208" s="40"/>
      <x:c r="AF208" s="43"/>
      <x:c r="AG208" s="43"/>
      <x:c r="AH208" s="47">
        <x:f>(Y208-(90*Ventas!AE211*0.9644))</x:f>
      </x:c>
      <x:c r="AI208" s="49">
        <x:f>(AH208/(Ventas!AE211*0.9644)/80)</x:f>
      </x:c>
      <x:c r="AJ208" s="40"/>
      <x:c r="AK208" s="40"/>
      <x:c r="AL208" s="43"/>
      <x:c r="AM208" s="43"/>
      <x:c r="AN208" s="55">
        <x:f>(IF(AH208&gt;0,AH208,0)+IF(AJ208&gt;0,AJ208,0)+IF(AL208&gt;0,AL208,0))</x:f>
      </x:c>
      <x:c r="AO208" s="56">
        <x:f>(((AI208*7)+(AK208*1)+(AM208*1))/8)</x:f>
      </x:c>
      <x:c r="AP208" s="4" t="s">
        <x:v>35</x:v>
      </x:c>
    </x:row>
    <x:row r="209">
      <x:c r="A209" s="4" t="s">
        <x:v>655</x:v>
      </x:c>
      <x:c r="B209" s="4" t="s">
        <x:v>654</x:v>
      </x:c>
      <x:c r="C209" s="38" t="s">
        <x:v>653</x:v>
      </x:c>
      <x:c r="D209" s="41"/>
      <x:c r="E209" s="44"/>
      <x:c r="F209" s="8">
        <x:v>38</x:v>
      </x:c>
      <x:c r="G209" s="40"/>
      <x:c r="H209" s="43"/>
      <x:c r="I209" s="45">
        <x:v>46313</x:v>
      </x:c>
      <x:c r="J209" s="46">
        <x:v>81</x:v>
      </x:c>
      <x:c r="K209" s="47">
        <x:f>(F209-(0)+0-(J209*Ventas!AE212*1.0556))</x:f>
      </x:c>
      <x:c r="L209" s="49">
        <x:f>(K209/(Ventas!AE212*1.0556)/80)</x:f>
      </x:c>
      <x:c r="M209" s="51">
        <x:f>(G209+0)</x:f>
      </x:c>
      <x:c r="N209" s="40"/>
      <x:c r="O209" s="54">
        <x:f>(H209+0)</x:f>
      </x:c>
      <x:c r="P209" s="43"/>
      <x:c r="Q209" s="55">
        <x:f>(K209+M209+O209)</x:f>
      </x:c>
      <x:c r="R209" s="56">
        <x:f>(((L209*7)+(N209*1)+(P209*0))/8)</x:f>
      </x:c>
      <x:c r="S209" s="47">
        <x:f>(180*(Ventas!AE212*0.9644) - IF(K209&gt;0,K209,0))</x:f>
      </x:c>
      <x:c r="T209" s="47">
        <x:f>IF(S209&gt;0,S209,0)</x:f>
      </x:c>
      <x:c r="U209" s="40"/>
      <x:c r="V209" s="40"/>
      <x:c r="W209" s="43"/>
      <x:c r="X209" s="43"/>
      <x:c r="Y209" s="47">
        <x:f>IF(K209&gt;0,K209+IF(T209&gt;0,T209,0),T209)</x:f>
      </x:c>
      <x:c r="Z209" s="40"/>
      <x:c r="AA209" s="43"/>
      <x:c r="AB209" s="50">
        <x:v>13.5</x:v>
      </x:c>
      <x:c r="AC209" s="8">
        <x:v>3016</x:v>
      </x:c>
      <x:c r="AD209" s="40"/>
      <x:c r="AE209" s="40"/>
      <x:c r="AF209" s="43"/>
      <x:c r="AG209" s="43"/>
      <x:c r="AH209" s="47">
        <x:f>(Y209-(90*Ventas!AE212*0.9644))</x:f>
      </x:c>
      <x:c r="AI209" s="49">
        <x:f>(AH209/(Ventas!AE212*0.9644)/80)</x:f>
      </x:c>
      <x:c r="AJ209" s="40"/>
      <x:c r="AK209" s="40"/>
      <x:c r="AL209" s="43"/>
      <x:c r="AM209" s="43"/>
      <x:c r="AN209" s="55">
        <x:f>(IF(AH209&gt;0,AH209,0)+IF(AJ209&gt;0,AJ209,0)+IF(AL209&gt;0,AL209,0))</x:f>
      </x:c>
      <x:c r="AO209" s="56">
        <x:f>(((AI209*7)+(AK209*1)+(AM209*1))/8)</x:f>
      </x:c>
      <x:c r="AP209" s="4" t="s">
        <x:v>35</x:v>
      </x:c>
    </x:row>
    <x:row r="210">
      <x:c r="A210" s="4" t="s">
        <x:v>658</x:v>
      </x:c>
      <x:c r="B210" s="4" t="s">
        <x:v>657</x:v>
      </x:c>
      <x:c r="C210" s="38" t="s">
        <x:v>656</x:v>
      </x:c>
      <x:c r="D210" s="41"/>
      <x:c r="E210" s="44"/>
      <x:c r="F210" s="8">
        <x:v>33</x:v>
      </x:c>
      <x:c r="G210" s="40"/>
      <x:c r="H210" s="43"/>
      <x:c r="I210" s="45">
        <x:v>46313</x:v>
      </x:c>
      <x:c r="J210" s="46">
        <x:v>81</x:v>
      </x:c>
      <x:c r="K210" s="47">
        <x:f>(F210-(0)+0-(J210*Ventas!AE213*1.0556))</x:f>
      </x:c>
      <x:c r="L210" s="49">
        <x:f>(K210/(Ventas!AE213*1.0556)/80)</x:f>
      </x:c>
      <x:c r="M210" s="51">
        <x:f>(G210+0)</x:f>
      </x:c>
      <x:c r="N210" s="40"/>
      <x:c r="O210" s="54">
        <x:f>(H210+0)</x:f>
      </x:c>
      <x:c r="P210" s="43"/>
      <x:c r="Q210" s="55">
        <x:f>(K210+M210+O210)</x:f>
      </x:c>
      <x:c r="R210" s="56">
        <x:f>(((L210*7)+(N210*1)+(P210*0))/8)</x:f>
      </x:c>
      <x:c r="S210" s="47">
        <x:f>(180*(Ventas!AE213*0.9644) - IF(K210&gt;0,K210,0))</x:f>
      </x:c>
      <x:c r="T210" s="47">
        <x:f>IF(S210&gt;0,S210,0)</x:f>
      </x:c>
      <x:c r="U210" s="40"/>
      <x:c r="V210" s="40"/>
      <x:c r="W210" s="43"/>
      <x:c r="X210" s="43"/>
      <x:c r="Y210" s="47">
        <x:f>IF(K210&gt;0,K210+IF(T210&gt;0,T210,0),T210)</x:f>
      </x:c>
      <x:c r="Z210" s="40"/>
      <x:c r="AA210" s="43"/>
      <x:c r="AB210" s="50">
        <x:v>4.5</x:v>
      </x:c>
      <x:c r="AC210" s="8">
        <x:v>3016</x:v>
      </x:c>
      <x:c r="AD210" s="40"/>
      <x:c r="AE210" s="40"/>
      <x:c r="AF210" s="43"/>
      <x:c r="AG210" s="43"/>
      <x:c r="AH210" s="47">
        <x:f>(Y210-(90*Ventas!AE213*0.9644))</x:f>
      </x:c>
      <x:c r="AI210" s="49">
        <x:f>(AH210/(Ventas!AE213*0.9644)/80)</x:f>
      </x:c>
      <x:c r="AJ210" s="40"/>
      <x:c r="AK210" s="40"/>
      <x:c r="AL210" s="43"/>
      <x:c r="AM210" s="43"/>
      <x:c r="AN210" s="55">
        <x:f>(IF(AH210&gt;0,AH210,0)+IF(AJ210&gt;0,AJ210,0)+IF(AL210&gt;0,AL210,0))</x:f>
      </x:c>
      <x:c r="AO210" s="56">
        <x:f>(((AI210*7)+(AK210*1)+(AM210*1))/8)</x:f>
      </x:c>
      <x:c r="AP210" s="4" t="s">
        <x:v>35</x:v>
      </x:c>
    </x:row>
    <x:row r="211">
      <x:c r="A211" s="4" t="s">
        <x:v>661</x:v>
      </x:c>
      <x:c r="B211" s="4" t="s">
        <x:v>660</x:v>
      </x:c>
      <x:c r="C211" s="38" t="s">
        <x:v>659</x:v>
      </x:c>
      <x:c r="D211" s="41"/>
      <x:c r="E211" s="44"/>
      <x:c r="F211" s="6"/>
      <x:c r="G211" s="40"/>
      <x:c r="H211" s="43"/>
      <x:c r="I211" s="45">
        <x:v>46313</x:v>
      </x:c>
      <x:c r="J211" s="46">
        <x:v>81</x:v>
      </x:c>
      <x:c r="K211" s="47">
        <x:f>(F211-(0)+0-(J211*Ventas!AE214*1.0556))</x:f>
      </x:c>
      <x:c r="L211" s="6"/>
      <x:c r="M211" s="51">
        <x:f>(G211+0)</x:f>
      </x:c>
      <x:c r="N211" s="40"/>
      <x:c r="O211" s="54">
        <x:f>(H211+0)</x:f>
      </x:c>
      <x:c r="P211" s="43"/>
      <x:c r="Q211" s="55">
        <x:f>(K211+M211+O211)</x:f>
      </x:c>
      <x:c r="R211" s="56">
        <x:f>(((L211*7)+(N211*1)+(P211*0))/8)</x:f>
      </x:c>
      <x:c r="S211" s="47">
        <x:f>(180*(Ventas!AE214*0.9644) - IF(K211&gt;0,K211,0))</x:f>
      </x:c>
      <x:c r="T211" s="47">
        <x:f>IF(S211&gt;0,S211,0)</x:f>
      </x:c>
      <x:c r="U211" s="40"/>
      <x:c r="V211" s="40"/>
      <x:c r="W211" s="43"/>
      <x:c r="X211" s="43"/>
      <x:c r="Y211" s="47">
        <x:f>IF(K211&gt;0,K211+IF(T211&gt;0,T211,0),T211)</x:f>
      </x:c>
      <x:c r="Z211" s="40"/>
      <x:c r="AA211" s="43"/>
      <x:c r="AB211" s="50">
        <x:v>2.59</x:v>
      </x:c>
      <x:c r="AC211" s="8">
        <x:v>3022</x:v>
      </x:c>
      <x:c r="AD211" s="40"/>
      <x:c r="AE211" s="40"/>
      <x:c r="AF211" s="43"/>
      <x:c r="AG211" s="43"/>
      <x:c r="AH211" s="6"/>
      <x:c r="AI211" s="6"/>
      <x:c r="AJ211" s="40"/>
      <x:c r="AK211" s="40"/>
      <x:c r="AL211" s="43"/>
      <x:c r="AM211" s="43"/>
      <x:c r="AN211" s="55">
        <x:f>(IF(AH211&gt;0,AH211,0)+IF(AJ211&gt;0,AJ211,0)+IF(AL211&gt;0,AL211,0))</x:f>
      </x:c>
      <x:c r="AO211" s="56">
        <x:f>(((AI211*7)+(AK211*1)+(AM211*1))/8)</x:f>
      </x:c>
      <x:c r="AP211" s="4" t="s">
        <x:v>51</x:v>
      </x:c>
    </x:row>
    <x:row r="212">
      <x:c r="A212" s="4" t="s">
        <x:v>664</x:v>
      </x:c>
      <x:c r="B212" s="4" t="s">
        <x:v>663</x:v>
      </x:c>
      <x:c r="C212" s="38" t="s">
        <x:v>662</x:v>
      </x:c>
      <x:c r="D212" s="41"/>
      <x:c r="E212" s="44"/>
      <x:c r="F212" s="6"/>
      <x:c r="G212" s="40"/>
      <x:c r="H212" s="43"/>
      <x:c r="I212" s="45">
        <x:v>46313</x:v>
      </x:c>
      <x:c r="J212" s="46">
        <x:v>81</x:v>
      </x:c>
      <x:c r="K212" s="47">
        <x:f>(F212-(0)+0-(J212*Ventas!AE215*1.0556))</x:f>
      </x:c>
      <x:c r="L212" s="6"/>
      <x:c r="M212" s="51">
        <x:f>(G212+0)</x:f>
      </x:c>
      <x:c r="N212" s="40"/>
      <x:c r="O212" s="54">
        <x:f>(H212+0)</x:f>
      </x:c>
      <x:c r="P212" s="43"/>
      <x:c r="Q212" s="55">
        <x:f>(K212+M212+O212)</x:f>
      </x:c>
      <x:c r="R212" s="56">
        <x:f>(((L212*7)+(N212*1)+(P212*0))/8)</x:f>
      </x:c>
      <x:c r="S212" s="47">
        <x:f>(180*(Ventas!AE215*0.9644) - IF(K212&gt;0,K212,0))</x:f>
      </x:c>
      <x:c r="T212" s="47">
        <x:f>IF(S212&gt;0,S212,0)</x:f>
      </x:c>
      <x:c r="U212" s="40"/>
      <x:c r="V212" s="40"/>
      <x:c r="W212" s="43"/>
      <x:c r="X212" s="43"/>
      <x:c r="Y212" s="47">
        <x:f>IF(K212&gt;0,K212+IF(T212&gt;0,T212,0),T212)</x:f>
      </x:c>
      <x:c r="Z212" s="40"/>
      <x:c r="AA212" s="43"/>
      <x:c r="AB212" s="6"/>
      <x:c r="AC212" s="6"/>
      <x:c r="AD212" s="40"/>
      <x:c r="AE212" s="40"/>
      <x:c r="AF212" s="43"/>
      <x:c r="AG212" s="43"/>
      <x:c r="AH212" s="6"/>
      <x:c r="AI212" s="6"/>
      <x:c r="AJ212" s="40"/>
      <x:c r="AK212" s="40"/>
      <x:c r="AL212" s="43"/>
      <x:c r="AM212" s="43"/>
      <x:c r="AN212" s="55">
        <x:f>(IF(AH212&gt;0,AH212,0)+IF(AJ212&gt;0,AJ212,0)+IF(AL212&gt;0,AL212,0))</x:f>
      </x:c>
      <x:c r="AO212" s="56">
        <x:f>(((AI212*7)+(AK212*1)+(AM212*1))/8)</x:f>
      </x:c>
      <x:c r="AP212" s="4" t="s">
        <x:v>51</x:v>
      </x:c>
    </x:row>
    <x:row r="213">
      <x:c r="A213" s="4" t="s">
        <x:v>667</x:v>
      </x:c>
      <x:c r="B213" s="4" t="s">
        <x:v>666</x:v>
      </x:c>
      <x:c r="C213" s="38" t="s">
        <x:v>665</x:v>
      </x:c>
      <x:c r="D213" s="41"/>
      <x:c r="E213" s="44"/>
      <x:c r="F213" s="6"/>
      <x:c r="G213" s="40"/>
      <x:c r="H213" s="43"/>
      <x:c r="I213" s="45">
        <x:v>46313</x:v>
      </x:c>
      <x:c r="J213" s="46">
        <x:v>81</x:v>
      </x:c>
      <x:c r="K213" s="47">
        <x:f>(F213-(0)+0-(J213*Ventas!AE216*1.0556))</x:f>
      </x:c>
      <x:c r="L213" s="6"/>
      <x:c r="M213" s="51">
        <x:f>(G213+0)</x:f>
      </x:c>
      <x:c r="N213" s="40"/>
      <x:c r="O213" s="54">
        <x:f>(H213+0)</x:f>
      </x:c>
      <x:c r="P213" s="43"/>
      <x:c r="Q213" s="55">
        <x:f>(K213+M213+O213)</x:f>
      </x:c>
      <x:c r="R213" s="56">
        <x:f>(((L213*7)+(N213*1)+(P213*0))/8)</x:f>
      </x:c>
      <x:c r="S213" s="47">
        <x:f>(180*(Ventas!AE216*0.9644) - IF(K213&gt;0,K213,0))</x:f>
      </x:c>
      <x:c r="T213" s="47">
        <x:f>IF(S213&gt;0,S213,0)</x:f>
      </x:c>
      <x:c r="U213" s="40"/>
      <x:c r="V213" s="40"/>
      <x:c r="W213" s="43"/>
      <x:c r="X213" s="43"/>
      <x:c r="Y213" s="47">
        <x:f>IF(K213&gt;0,K213+IF(T213&gt;0,T213,0),T213)</x:f>
      </x:c>
      <x:c r="Z213" s="40"/>
      <x:c r="AA213" s="43"/>
      <x:c r="AB213" s="6"/>
      <x:c r="AC213" s="6"/>
      <x:c r="AD213" s="40"/>
      <x:c r="AE213" s="40"/>
      <x:c r="AF213" s="43"/>
      <x:c r="AG213" s="43"/>
      <x:c r="AH213" s="6"/>
      <x:c r="AI213" s="6"/>
      <x:c r="AJ213" s="40"/>
      <x:c r="AK213" s="40"/>
      <x:c r="AL213" s="43"/>
      <x:c r="AM213" s="43"/>
      <x:c r="AN213" s="55">
        <x:f>(IF(AH213&gt;0,AH213,0)+IF(AJ213&gt;0,AJ213,0)+IF(AL213&gt;0,AL213,0))</x:f>
      </x:c>
      <x:c r="AO213" s="56">
        <x:f>(((AI213*7)+(AK213*1)+(AM213*1))/8)</x:f>
      </x:c>
      <x:c r="AP213" s="4" t="s">
        <x:v>51</x:v>
      </x:c>
    </x:row>
    <x:row r="214">
      <x:c r="A214" s="4" t="s">
        <x:v>670</x:v>
      </x:c>
      <x:c r="B214" s="4" t="s">
        <x:v>669</x:v>
      </x:c>
      <x:c r="C214" s="38" t="s">
        <x:v>668</x:v>
      </x:c>
      <x:c r="D214" s="41"/>
      <x:c r="E214" s="44"/>
      <x:c r="F214" s="6"/>
      <x:c r="G214" s="40"/>
      <x:c r="H214" s="43"/>
      <x:c r="I214" s="45">
        <x:v>46313</x:v>
      </x:c>
      <x:c r="J214" s="46">
        <x:v>81</x:v>
      </x:c>
      <x:c r="K214" s="47">
        <x:f>(F214-(0)+0-(J214*Ventas!AE217*1.0556))</x:f>
      </x:c>
      <x:c r="L214" s="6"/>
      <x:c r="M214" s="51">
        <x:f>(G214+0)</x:f>
      </x:c>
      <x:c r="N214" s="40"/>
      <x:c r="O214" s="54">
        <x:f>(H214+0)</x:f>
      </x:c>
      <x:c r="P214" s="43"/>
      <x:c r="Q214" s="55">
        <x:f>(K214+M214+O214)</x:f>
      </x:c>
      <x:c r="R214" s="56">
        <x:f>(((L214*7)+(N214*1)+(P214*0))/8)</x:f>
      </x:c>
      <x:c r="S214" s="47">
        <x:f>(180*(Ventas!AE217*0.9644) - IF(K214&gt;0,K214,0))</x:f>
      </x:c>
      <x:c r="T214" s="47">
        <x:f>IF(S214&gt;0,S214,0)</x:f>
      </x:c>
      <x:c r="U214" s="40"/>
      <x:c r="V214" s="40"/>
      <x:c r="W214" s="43"/>
      <x:c r="X214" s="43"/>
      <x:c r="Y214" s="47">
        <x:f>IF(K214&gt;0,K214+IF(T214&gt;0,T214,0),T214)</x:f>
      </x:c>
      <x:c r="Z214" s="40"/>
      <x:c r="AA214" s="43"/>
      <x:c r="AB214" s="50">
        <x:v>3.5</x:v>
      </x:c>
      <x:c r="AC214" s="8">
        <x:v>3013</x:v>
      </x:c>
      <x:c r="AD214" s="40"/>
      <x:c r="AE214" s="40"/>
      <x:c r="AF214" s="43"/>
      <x:c r="AG214" s="43"/>
      <x:c r="AH214" s="6"/>
      <x:c r="AI214" s="6"/>
      <x:c r="AJ214" s="40"/>
      <x:c r="AK214" s="40"/>
      <x:c r="AL214" s="43"/>
      <x:c r="AM214" s="43"/>
      <x:c r="AN214" s="55">
        <x:f>(IF(AH214&gt;0,AH214,0)+IF(AJ214&gt;0,AJ214,0)+IF(AL214&gt;0,AL214,0))</x:f>
      </x:c>
      <x:c r="AO214" s="56">
        <x:f>(((AI214*7)+(AK214*1)+(AM214*1))/8)</x:f>
      </x:c>
      <x:c r="AP214" s="4" t="s">
        <x:v>51</x:v>
      </x:c>
    </x:row>
    <x:row r="215">
      <x:c r="A215" s="4" t="s">
        <x:v>673</x:v>
      </x:c>
      <x:c r="B215" s="4" t="s">
        <x:v>672</x:v>
      </x:c>
      <x:c r="C215" s="38" t="s">
        <x:v>671</x:v>
      </x:c>
      <x:c r="D215" s="41"/>
      <x:c r="E215" s="44"/>
      <x:c r="F215" s="6"/>
      <x:c r="G215" s="40"/>
      <x:c r="H215" s="43"/>
      <x:c r="I215" s="45">
        <x:v>46313</x:v>
      </x:c>
      <x:c r="J215" s="46">
        <x:v>81</x:v>
      </x:c>
      <x:c r="K215" s="47">
        <x:f>(F215-(0)+0-(J215*Ventas!AE218*1.0556))</x:f>
      </x:c>
      <x:c r="L215" s="6"/>
      <x:c r="M215" s="51">
        <x:f>(G215+0)</x:f>
      </x:c>
      <x:c r="N215" s="40"/>
      <x:c r="O215" s="54">
        <x:f>(H215+0)</x:f>
      </x:c>
      <x:c r="P215" s="43"/>
      <x:c r="Q215" s="55">
        <x:f>(K215+M215+O215)</x:f>
      </x:c>
      <x:c r="R215" s="56">
        <x:f>(((L215*7)+(N215*1)+(P215*0))/8)</x:f>
      </x:c>
      <x:c r="S215" s="47">
        <x:f>(180*(Ventas!AE218*0.9644) - IF(K215&gt;0,K215,0))</x:f>
      </x:c>
      <x:c r="T215" s="47">
        <x:f>IF(S215&gt;0,S215,0)</x:f>
      </x:c>
      <x:c r="U215" s="40"/>
      <x:c r="V215" s="40"/>
      <x:c r="W215" s="43"/>
      <x:c r="X215" s="43"/>
      <x:c r="Y215" s="47">
        <x:f>IF(K215&gt;0,K215+IF(T215&gt;0,T215,0),T215)</x:f>
      </x:c>
      <x:c r="Z215" s="40"/>
      <x:c r="AA215" s="43"/>
      <x:c r="AB215" s="6"/>
      <x:c r="AC215" s="6"/>
      <x:c r="AD215" s="40"/>
      <x:c r="AE215" s="40"/>
      <x:c r="AF215" s="43"/>
      <x:c r="AG215" s="43"/>
      <x:c r="AH215" s="6"/>
      <x:c r="AI215" s="6"/>
      <x:c r="AJ215" s="40"/>
      <x:c r="AK215" s="40"/>
      <x:c r="AL215" s="43"/>
      <x:c r="AM215" s="43"/>
      <x:c r="AN215" s="55">
        <x:f>(IF(AH215&gt;0,AH215,0)+IF(AJ215&gt;0,AJ215,0)+IF(AL215&gt;0,AL215,0))</x:f>
      </x:c>
      <x:c r="AO215" s="56">
        <x:f>(((AI215*7)+(AK215*1)+(AM215*1))/8)</x:f>
      </x:c>
      <x:c r="AP215" s="4" t="s">
        <x:v>35</x:v>
      </x:c>
    </x:row>
    <x:row r="216">
      <x:c r="A216" s="4" t="s">
        <x:v>676</x:v>
      </x:c>
      <x:c r="B216" s="4" t="s">
        <x:v>675</x:v>
      </x:c>
      <x:c r="C216" s="38" t="s">
        <x:v>674</x:v>
      </x:c>
      <x:c r="D216" s="41"/>
      <x:c r="E216" s="44"/>
      <x:c r="F216" s="8">
        <x:v>140</x:v>
      </x:c>
      <x:c r="G216" s="40"/>
      <x:c r="H216" s="43"/>
      <x:c r="I216" s="45">
        <x:v>46313</x:v>
      </x:c>
      <x:c r="J216" s="46">
        <x:v>81</x:v>
      </x:c>
      <x:c r="K216" s="47">
        <x:f>(F216-(0)+0-(J216*Ventas!AE219*1.0556))</x:f>
      </x:c>
      <x:c r="L216" s="49">
        <x:f>(K216/(Ventas!AE219*1.0556)/80)</x:f>
      </x:c>
      <x:c r="M216" s="51">
        <x:f>(G216+0)</x:f>
      </x:c>
      <x:c r="N216" s="40"/>
      <x:c r="O216" s="54">
        <x:f>(H216+0)</x:f>
      </x:c>
      <x:c r="P216" s="43"/>
      <x:c r="Q216" s="55">
        <x:f>(K216+M216+O216)</x:f>
      </x:c>
      <x:c r="R216" s="56">
        <x:f>(((L216*7)+(N216*1)+(P216*0))/8)</x:f>
      </x:c>
      <x:c r="S216" s="47">
        <x:f>(180*(Ventas!AE219*0.9644) - IF(K216&gt;0,K216,0))</x:f>
      </x:c>
      <x:c r="T216" s="47">
        <x:f>IF(S216&gt;0,S216,0)</x:f>
      </x:c>
      <x:c r="U216" s="40"/>
      <x:c r="V216" s="40"/>
      <x:c r="W216" s="43"/>
      <x:c r="X216" s="43"/>
      <x:c r="Y216" s="47">
        <x:f>IF(K216&gt;0,K216+IF(T216&gt;0,T216,0),T216)</x:f>
      </x:c>
      <x:c r="Z216" s="40"/>
      <x:c r="AA216" s="43"/>
      <x:c r="AB216" s="50">
        <x:v>1.55</x:v>
      </x:c>
      <x:c r="AC216" s="8">
        <x:v>3016</x:v>
      </x:c>
      <x:c r="AD216" s="40"/>
      <x:c r="AE216" s="40"/>
      <x:c r="AF216" s="43"/>
      <x:c r="AG216" s="43"/>
      <x:c r="AH216" s="47">
        <x:f>(Y216-(90*Ventas!AE219*0.9644))</x:f>
      </x:c>
      <x:c r="AI216" s="49">
        <x:f>(AH216/(Ventas!AE219*0.9644)/80)</x:f>
      </x:c>
      <x:c r="AJ216" s="40"/>
      <x:c r="AK216" s="40"/>
      <x:c r="AL216" s="43"/>
      <x:c r="AM216" s="43"/>
      <x:c r="AN216" s="55">
        <x:f>(IF(AH216&gt;0,AH216,0)+IF(AJ216&gt;0,AJ216,0)+IF(AL216&gt;0,AL216,0))</x:f>
      </x:c>
      <x:c r="AO216" s="56">
        <x:f>(((AI216*7)+(AK216*1)+(AM216*1))/8)</x:f>
      </x:c>
      <x:c r="AP216" s="4" t="s">
        <x:v>35</x:v>
      </x:c>
    </x:row>
    <x:row r="217">
      <x:c r="A217" s="4" t="s">
        <x:v>679</x:v>
      </x:c>
      <x:c r="B217" s="4" t="s">
        <x:v>678</x:v>
      </x:c>
      <x:c r="C217" s="38" t="s">
        <x:v>677</x:v>
      </x:c>
      <x:c r="D217" s="41"/>
      <x:c r="E217" s="44"/>
      <x:c r="F217" s="8">
        <x:v>21</x:v>
      </x:c>
      <x:c r="G217" s="40"/>
      <x:c r="H217" s="43"/>
      <x:c r="I217" s="45">
        <x:v>46313</x:v>
      </x:c>
      <x:c r="J217" s="46">
        <x:v>81</x:v>
      </x:c>
      <x:c r="K217" s="47">
        <x:f>(F217-(0)+0-(J217*Ventas!AE220*1.0556))</x:f>
      </x:c>
      <x:c r="L217" s="49">
        <x:f>(K217/(Ventas!AE220*1.0556)/80)</x:f>
      </x:c>
      <x:c r="M217" s="51">
        <x:f>(G217+0)</x:f>
      </x:c>
      <x:c r="N217" s="40"/>
      <x:c r="O217" s="54">
        <x:f>(H217+0)</x:f>
      </x:c>
      <x:c r="P217" s="43"/>
      <x:c r="Q217" s="55">
        <x:f>(K217+M217+O217)</x:f>
      </x:c>
      <x:c r="R217" s="56">
        <x:f>(((L217*7)+(N217*1)+(P217*0))/8)</x:f>
      </x:c>
      <x:c r="S217" s="47">
        <x:f>(180*(Ventas!AE220*0.9644) - IF(K217&gt;0,K217,0))</x:f>
      </x:c>
      <x:c r="T217" s="47">
        <x:f>IF(S217&gt;0,S217,0)</x:f>
      </x:c>
      <x:c r="U217" s="40"/>
      <x:c r="V217" s="40"/>
      <x:c r="W217" s="43"/>
      <x:c r="X217" s="43"/>
      <x:c r="Y217" s="47">
        <x:f>IF(K217&gt;0,K217+IF(T217&gt;0,T217,0),T217)</x:f>
      </x:c>
      <x:c r="Z217" s="40"/>
      <x:c r="AA217" s="43"/>
      <x:c r="AB217" s="50">
        <x:v>5.9</x:v>
      </x:c>
      <x:c r="AC217" s="8">
        <x:v>3016</x:v>
      </x:c>
      <x:c r="AD217" s="40"/>
      <x:c r="AE217" s="40"/>
      <x:c r="AF217" s="43"/>
      <x:c r="AG217" s="43"/>
      <x:c r="AH217" s="47">
        <x:f>(Y217-(90*Ventas!AE220*0.9644))</x:f>
      </x:c>
      <x:c r="AI217" s="49">
        <x:f>(AH217/(Ventas!AE220*0.9644)/80)</x:f>
      </x:c>
      <x:c r="AJ217" s="40"/>
      <x:c r="AK217" s="40"/>
      <x:c r="AL217" s="43"/>
      <x:c r="AM217" s="43"/>
      <x:c r="AN217" s="55">
        <x:f>(IF(AH217&gt;0,AH217,0)+IF(AJ217&gt;0,AJ217,0)+IF(AL217&gt;0,AL217,0))</x:f>
      </x:c>
      <x:c r="AO217" s="56">
        <x:f>(((AI217*7)+(AK217*1)+(AM217*1))/8)</x:f>
      </x:c>
      <x:c r="AP217" s="4" t="s">
        <x:v>35</x:v>
      </x:c>
    </x:row>
    <x:row r="218">
      <x:c r="A218" s="4" t="s">
        <x:v>682</x:v>
      </x:c>
      <x:c r="B218" s="4" t="s">
        <x:v>681</x:v>
      </x:c>
      <x:c r="C218" s="38" t="s">
        <x:v>680</x:v>
      </x:c>
      <x:c r="D218" s="41"/>
      <x:c r="E218" s="44"/>
      <x:c r="F218" s="6"/>
      <x:c r="G218" s="40"/>
      <x:c r="H218" s="43"/>
      <x:c r="I218" s="45">
        <x:v>46313</x:v>
      </x:c>
      <x:c r="J218" s="46">
        <x:v>81</x:v>
      </x:c>
      <x:c r="K218" s="47">
        <x:f>(F218-(0)+0-(J218*Ventas!AE221*1.0556))</x:f>
      </x:c>
      <x:c r="L218" s="6"/>
      <x:c r="M218" s="51">
        <x:f>(G218+0)</x:f>
      </x:c>
      <x:c r="N218" s="40"/>
      <x:c r="O218" s="54">
        <x:f>(H218+0)</x:f>
      </x:c>
      <x:c r="P218" s="43"/>
      <x:c r="Q218" s="55">
        <x:f>(K218+M218+O218)</x:f>
      </x:c>
      <x:c r="R218" s="56">
        <x:f>(((L218*7)+(N218*1)+(P218*0))/8)</x:f>
      </x:c>
      <x:c r="S218" s="47">
        <x:f>(180*(Ventas!AE221*0.9644) - IF(K218&gt;0,K218,0))</x:f>
      </x:c>
      <x:c r="T218" s="47">
        <x:f>IF(S218&gt;0,S218,0)</x:f>
      </x:c>
      <x:c r="U218" s="40"/>
      <x:c r="V218" s="40"/>
      <x:c r="W218" s="43"/>
      <x:c r="X218" s="43"/>
      <x:c r="Y218" s="47">
        <x:f>IF(K218&gt;0,K218+IF(T218&gt;0,T218,0),T218)</x:f>
      </x:c>
      <x:c r="Z218" s="40"/>
      <x:c r="AA218" s="43"/>
      <x:c r="AB218" s="6"/>
      <x:c r="AC218" s="6"/>
      <x:c r="AD218" s="40"/>
      <x:c r="AE218" s="40"/>
      <x:c r="AF218" s="43"/>
      <x:c r="AG218" s="43"/>
      <x:c r="AH218" s="6"/>
      <x:c r="AI218" s="6"/>
      <x:c r="AJ218" s="40"/>
      <x:c r="AK218" s="40"/>
      <x:c r="AL218" s="43"/>
      <x:c r="AM218" s="43"/>
      <x:c r="AN218" s="55">
        <x:f>(IF(AH218&gt;0,AH218,0)+IF(AJ218&gt;0,AJ218,0)+IF(AL218&gt;0,AL218,0))</x:f>
      </x:c>
      <x:c r="AO218" s="56">
        <x:f>(((AI218*7)+(AK218*1)+(AM218*1))/8)</x:f>
      </x:c>
      <x:c r="AP218" s="4" t="s">
        <x:v>51</x:v>
      </x:c>
    </x:row>
    <x:row r="219">
      <x:c r="A219" s="4" t="s">
        <x:v>685</x:v>
      </x:c>
      <x:c r="B219" s="4" t="s">
        <x:v>684</x:v>
      </x:c>
      <x:c r="C219" s="38" t="s">
        <x:v>683</x:v>
      </x:c>
      <x:c r="D219" s="41"/>
      <x:c r="E219" s="44"/>
      <x:c r="F219" s="6"/>
      <x:c r="G219" s="40"/>
      <x:c r="H219" s="43"/>
      <x:c r="I219" s="45">
        <x:v>46313</x:v>
      </x:c>
      <x:c r="J219" s="46">
        <x:v>81</x:v>
      </x:c>
      <x:c r="K219" s="47">
        <x:f>(F219-(0)+0-(J219*Ventas!AE222*1.0556))</x:f>
      </x:c>
      <x:c r="L219" s="6"/>
      <x:c r="M219" s="51">
        <x:f>(G219+0)</x:f>
      </x:c>
      <x:c r="N219" s="40"/>
      <x:c r="O219" s="54">
        <x:f>(H219+0)</x:f>
      </x:c>
      <x:c r="P219" s="43"/>
      <x:c r="Q219" s="55">
        <x:f>(K219+M219+O219)</x:f>
      </x:c>
      <x:c r="R219" s="56">
        <x:f>(((L219*7)+(N219*1)+(P219*0))/8)</x:f>
      </x:c>
      <x:c r="S219" s="47">
        <x:f>(180*(Ventas!AE222*0.9644) - IF(K219&gt;0,K219,0))</x:f>
      </x:c>
      <x:c r="T219" s="47">
        <x:f>IF(S219&gt;0,S219,0)</x:f>
      </x:c>
      <x:c r="U219" s="40"/>
      <x:c r="V219" s="40"/>
      <x:c r="W219" s="43"/>
      <x:c r="X219" s="43"/>
      <x:c r="Y219" s="47">
        <x:f>IF(K219&gt;0,K219+IF(T219&gt;0,T219,0),T219)</x:f>
      </x:c>
      <x:c r="Z219" s="40"/>
      <x:c r="AA219" s="43"/>
      <x:c r="AB219" s="6"/>
      <x:c r="AC219" s="6"/>
      <x:c r="AD219" s="40"/>
      <x:c r="AE219" s="40"/>
      <x:c r="AF219" s="43"/>
      <x:c r="AG219" s="43"/>
      <x:c r="AH219" s="6"/>
      <x:c r="AI219" s="6"/>
      <x:c r="AJ219" s="40"/>
      <x:c r="AK219" s="40"/>
      <x:c r="AL219" s="43"/>
      <x:c r="AM219" s="43"/>
      <x:c r="AN219" s="55">
        <x:f>(IF(AH219&gt;0,AH219,0)+IF(AJ219&gt;0,AJ219,0)+IF(AL219&gt;0,AL219,0))</x:f>
      </x:c>
      <x:c r="AO219" s="56">
        <x:f>(((AI219*7)+(AK219*1)+(AM219*1))/8)</x:f>
      </x:c>
      <x:c r="AP219" s="4" t="s">
        <x:v>51</x:v>
      </x:c>
    </x:row>
    <x:row r="220">
      <x:c r="A220" s="4" t="s">
        <x:v>688</x:v>
      </x:c>
      <x:c r="B220" s="4" t="s">
        <x:v>687</x:v>
      </x:c>
      <x:c r="C220" s="38" t="s">
        <x:v>686</x:v>
      </x:c>
      <x:c r="D220" s="41"/>
      <x:c r="E220" s="44"/>
      <x:c r="F220" s="6"/>
      <x:c r="G220" s="40"/>
      <x:c r="H220" s="43"/>
      <x:c r="I220" s="45">
        <x:v>46313</x:v>
      </x:c>
      <x:c r="J220" s="46">
        <x:v>81</x:v>
      </x:c>
      <x:c r="K220" s="47">
        <x:f>(F220-(0)+0-(J220*Ventas!AE223*1.0556))</x:f>
      </x:c>
      <x:c r="L220" s="6"/>
      <x:c r="M220" s="51">
        <x:f>(G220+0)</x:f>
      </x:c>
      <x:c r="N220" s="40"/>
      <x:c r="O220" s="54">
        <x:f>(H220+0)</x:f>
      </x:c>
      <x:c r="P220" s="43"/>
      <x:c r="Q220" s="55">
        <x:f>(K220+M220+O220)</x:f>
      </x:c>
      <x:c r="R220" s="56">
        <x:f>(((L220*7)+(N220*1)+(P220*0))/8)</x:f>
      </x:c>
      <x:c r="S220" s="47">
        <x:f>(180*(Ventas!AE223*0.9644) - IF(K220&gt;0,K220,0))</x:f>
      </x:c>
      <x:c r="T220" s="47">
        <x:f>IF(S220&gt;0,S220,0)</x:f>
      </x:c>
      <x:c r="U220" s="40"/>
      <x:c r="V220" s="40"/>
      <x:c r="W220" s="43"/>
      <x:c r="X220" s="43"/>
      <x:c r="Y220" s="47">
        <x:f>IF(K220&gt;0,K220+IF(T220&gt;0,T220,0),T220)</x:f>
      </x:c>
      <x:c r="Z220" s="40"/>
      <x:c r="AA220" s="43"/>
      <x:c r="AB220" s="6"/>
      <x:c r="AC220" s="6"/>
      <x:c r="AD220" s="40"/>
      <x:c r="AE220" s="40"/>
      <x:c r="AF220" s="43"/>
      <x:c r="AG220" s="43"/>
      <x:c r="AH220" s="6"/>
      <x:c r="AI220" s="6"/>
      <x:c r="AJ220" s="40"/>
      <x:c r="AK220" s="40"/>
      <x:c r="AL220" s="43"/>
      <x:c r="AM220" s="43"/>
      <x:c r="AN220" s="55">
        <x:f>(IF(AH220&gt;0,AH220,0)+IF(AJ220&gt;0,AJ220,0)+IF(AL220&gt;0,AL220,0))</x:f>
      </x:c>
      <x:c r="AO220" s="56">
        <x:f>(((AI220*7)+(AK220*1)+(AM220*1))/8)</x:f>
      </x:c>
      <x:c r="AP220" s="4" t="s">
        <x:v>51</x:v>
      </x:c>
    </x:row>
    <x:row r="221">
      <x:c r="A221" s="4" t="s">
        <x:v>691</x:v>
      </x:c>
      <x:c r="B221" s="4" t="s">
        <x:v>690</x:v>
      </x:c>
      <x:c r="C221" s="38" t="s">
        <x:v>689</x:v>
      </x:c>
      <x:c r="D221" s="41"/>
      <x:c r="E221" s="44"/>
      <x:c r="F221" s="6"/>
      <x:c r="G221" s="40"/>
      <x:c r="H221" s="43"/>
      <x:c r="I221" s="45">
        <x:v>46313</x:v>
      </x:c>
      <x:c r="J221" s="46">
        <x:v>81</x:v>
      </x:c>
      <x:c r="K221" s="47">
        <x:f>(F221-(0)+0-(J221*Ventas!AE224*1.0556))</x:f>
      </x:c>
      <x:c r="L221" s="6"/>
      <x:c r="M221" s="51">
        <x:f>(G221+0)</x:f>
      </x:c>
      <x:c r="N221" s="40"/>
      <x:c r="O221" s="54">
        <x:f>(H221+0)</x:f>
      </x:c>
      <x:c r="P221" s="43"/>
      <x:c r="Q221" s="55">
        <x:f>(K221+M221+O221)</x:f>
      </x:c>
      <x:c r="R221" s="56">
        <x:f>(((L221*7)+(N221*1)+(P221*0))/8)</x:f>
      </x:c>
      <x:c r="S221" s="47">
        <x:f>(180*(Ventas!AE224*0.9644) - IF(K221&gt;0,K221,0))</x:f>
      </x:c>
      <x:c r="T221" s="47">
        <x:f>IF(S221&gt;0,S221,0)</x:f>
      </x:c>
      <x:c r="U221" s="40"/>
      <x:c r="V221" s="40"/>
      <x:c r="W221" s="43"/>
      <x:c r="X221" s="43"/>
      <x:c r="Y221" s="47">
        <x:f>IF(K221&gt;0,K221+IF(T221&gt;0,T221,0),T221)</x:f>
      </x:c>
      <x:c r="Z221" s="40"/>
      <x:c r="AA221" s="43"/>
      <x:c r="AB221" s="6"/>
      <x:c r="AC221" s="6"/>
      <x:c r="AD221" s="40"/>
      <x:c r="AE221" s="40"/>
      <x:c r="AF221" s="43"/>
      <x:c r="AG221" s="43"/>
      <x:c r="AH221" s="6"/>
      <x:c r="AI221" s="6"/>
      <x:c r="AJ221" s="40"/>
      <x:c r="AK221" s="40"/>
      <x:c r="AL221" s="43"/>
      <x:c r="AM221" s="43"/>
      <x:c r="AN221" s="55">
        <x:f>(IF(AH221&gt;0,AH221,0)+IF(AJ221&gt;0,AJ221,0)+IF(AL221&gt;0,AL221,0))</x:f>
      </x:c>
      <x:c r="AO221" s="56">
        <x:f>(((AI221*7)+(AK221*1)+(AM221*1))/8)</x:f>
      </x:c>
      <x:c r="AP221" s="4" t="s">
        <x:v>51</x:v>
      </x:c>
    </x:row>
    <x:row r="222">
      <x:c r="A222" s="4" t="s">
        <x:v>694</x:v>
      </x:c>
      <x:c r="B222" s="4" t="s">
        <x:v>693</x:v>
      </x:c>
      <x:c r="C222" s="38" t="s">
        <x:v>692</x:v>
      </x:c>
      <x:c r="D222" s="41"/>
      <x:c r="E222" s="44"/>
      <x:c r="F222" s="6"/>
      <x:c r="G222" s="40"/>
      <x:c r="H222" s="43"/>
      <x:c r="I222" s="45">
        <x:v>46313</x:v>
      </x:c>
      <x:c r="J222" s="46">
        <x:v>81</x:v>
      </x:c>
      <x:c r="K222" s="47">
        <x:f>(F222-(0)+0-(J222*Ventas!AE225*1.0556))</x:f>
      </x:c>
      <x:c r="L222" s="6"/>
      <x:c r="M222" s="51">
        <x:f>(G222+0)</x:f>
      </x:c>
      <x:c r="N222" s="40"/>
      <x:c r="O222" s="54">
        <x:f>(H222+0)</x:f>
      </x:c>
      <x:c r="P222" s="43"/>
      <x:c r="Q222" s="55">
        <x:f>(K222+M222+O222)</x:f>
      </x:c>
      <x:c r="R222" s="56">
        <x:f>(((L222*7)+(N222*1)+(P222*0))/8)</x:f>
      </x:c>
      <x:c r="S222" s="47">
        <x:f>(180*(Ventas!AE225*0.9644) - IF(K222&gt;0,K222,0))</x:f>
      </x:c>
      <x:c r="T222" s="47">
        <x:f>IF(S222&gt;0,S222,0)</x:f>
      </x:c>
      <x:c r="U222" s="40"/>
      <x:c r="V222" s="40"/>
      <x:c r="W222" s="43"/>
      <x:c r="X222" s="43"/>
      <x:c r="Y222" s="47">
        <x:f>IF(K222&gt;0,K222+IF(T222&gt;0,T222,0),T222)</x:f>
      </x:c>
      <x:c r="Z222" s="40"/>
      <x:c r="AA222" s="43"/>
      <x:c r="AB222" s="6"/>
      <x:c r="AC222" s="6"/>
      <x:c r="AD222" s="40"/>
      <x:c r="AE222" s="40"/>
      <x:c r="AF222" s="43"/>
      <x:c r="AG222" s="43"/>
      <x:c r="AH222" s="6"/>
      <x:c r="AI222" s="6"/>
      <x:c r="AJ222" s="40"/>
      <x:c r="AK222" s="40"/>
      <x:c r="AL222" s="43"/>
      <x:c r="AM222" s="43"/>
      <x:c r="AN222" s="55">
        <x:f>(IF(AH222&gt;0,AH222,0)+IF(AJ222&gt;0,AJ222,0)+IF(AL222&gt;0,AL222,0))</x:f>
      </x:c>
      <x:c r="AO222" s="56">
        <x:f>(((AI222*7)+(AK222*1)+(AM222*1))/8)</x:f>
      </x:c>
      <x:c r="AP222" s="4" t="s">
        <x:v>51</x:v>
      </x:c>
    </x:row>
    <x:row r="223">
      <x:c r="A223" s="4" t="s">
        <x:v>697</x:v>
      </x:c>
      <x:c r="B223" s="4" t="s">
        <x:v>696</x:v>
      </x:c>
      <x:c r="C223" s="38" t="s">
        <x:v>695</x:v>
      </x:c>
      <x:c r="D223" s="41"/>
      <x:c r="E223" s="44"/>
      <x:c r="F223" s="8">
        <x:v>38</x:v>
      </x:c>
      <x:c r="G223" s="40"/>
      <x:c r="H223" s="43"/>
      <x:c r="I223" s="45">
        <x:v>46313</x:v>
      </x:c>
      <x:c r="J223" s="46">
        <x:v>81</x:v>
      </x:c>
      <x:c r="K223" s="47">
        <x:f>(F223-(0)+0-(J223*Ventas!AE226*1.0556))</x:f>
      </x:c>
      <x:c r="L223" s="49">
        <x:f>(K223/(Ventas!AE226*1.0556)/80)</x:f>
      </x:c>
      <x:c r="M223" s="51">
        <x:f>(G223+0)</x:f>
      </x:c>
      <x:c r="N223" s="40"/>
      <x:c r="O223" s="54">
        <x:f>(H223+0)</x:f>
      </x:c>
      <x:c r="P223" s="43"/>
      <x:c r="Q223" s="55">
        <x:f>(K223+M223+O223)</x:f>
      </x:c>
      <x:c r="R223" s="56">
        <x:f>(((L223*7)+(N223*1)+(P223*0))/8)</x:f>
      </x:c>
      <x:c r="S223" s="47">
        <x:f>(180*(Ventas!AE226*0.9644) - IF(K223&gt;0,K223,0))</x:f>
      </x:c>
      <x:c r="T223" s="47">
        <x:f>IF(S223&gt;0,S223,0)</x:f>
      </x:c>
      <x:c r="U223" s="40"/>
      <x:c r="V223" s="40"/>
      <x:c r="W223" s="43"/>
      <x:c r="X223" s="43"/>
      <x:c r="Y223" s="47">
        <x:f>IF(K223&gt;0,K223+IF(T223&gt;0,T223,0),T223)</x:f>
      </x:c>
      <x:c r="Z223" s="40"/>
      <x:c r="AA223" s="43"/>
      <x:c r="AB223" s="50">
        <x:v>3.8</x:v>
      </x:c>
      <x:c r="AC223" s="8">
        <x:v>3016</x:v>
      </x:c>
      <x:c r="AD223" s="40"/>
      <x:c r="AE223" s="40"/>
      <x:c r="AF223" s="43"/>
      <x:c r="AG223" s="43"/>
      <x:c r="AH223" s="47">
        <x:f>(Y223-(90*Ventas!AE226*0.9644))</x:f>
      </x:c>
      <x:c r="AI223" s="49">
        <x:f>(AH223/(Ventas!AE226*0.9644)/80)</x:f>
      </x:c>
      <x:c r="AJ223" s="40"/>
      <x:c r="AK223" s="40"/>
      <x:c r="AL223" s="43"/>
      <x:c r="AM223" s="43"/>
      <x:c r="AN223" s="55">
        <x:f>(IF(AH223&gt;0,AH223,0)+IF(AJ223&gt;0,AJ223,0)+IF(AL223&gt;0,AL223,0))</x:f>
      </x:c>
      <x:c r="AO223" s="56">
        <x:f>(((AI223*7)+(AK223*1)+(AM223*1))/8)</x:f>
      </x:c>
      <x:c r="AP223" s="4" t="s">
        <x:v>35</x:v>
      </x:c>
    </x:row>
    <x:row r="224">
      <x:c r="A224" s="4" t="s">
        <x:v>700</x:v>
      </x:c>
      <x:c r="B224" s="4" t="s">
        <x:v>699</x:v>
      </x:c>
      <x:c r="C224" s="38" t="s">
        <x:v>698</x:v>
      </x:c>
      <x:c r="D224" s="41"/>
      <x:c r="E224" s="44"/>
      <x:c r="F224" s="8">
        <x:v>16</x:v>
      </x:c>
      <x:c r="G224" s="40"/>
      <x:c r="H224" s="43"/>
      <x:c r="I224" s="45">
        <x:v>46313</x:v>
      </x:c>
      <x:c r="J224" s="46">
        <x:v>81</x:v>
      </x:c>
      <x:c r="K224" s="47">
        <x:f>(F224-(0)+0-(J224*Ventas!AE227*1.0556))</x:f>
      </x:c>
      <x:c r="L224" s="49">
        <x:f>(K224/(Ventas!AE227*1.0556)/80)</x:f>
      </x:c>
      <x:c r="M224" s="51">
        <x:f>(G224+0)</x:f>
      </x:c>
      <x:c r="N224" s="40"/>
      <x:c r="O224" s="54">
        <x:f>(H224+0)</x:f>
      </x:c>
      <x:c r="P224" s="43"/>
      <x:c r="Q224" s="55">
        <x:f>(K224+M224+O224)</x:f>
      </x:c>
      <x:c r="R224" s="56">
        <x:f>(((L224*7)+(N224*1)+(P224*0))/8)</x:f>
      </x:c>
      <x:c r="S224" s="47">
        <x:f>(180*(Ventas!AE227*0.9644) - IF(K224&gt;0,K224,0))</x:f>
      </x:c>
      <x:c r="T224" s="47">
        <x:f>IF(S224&gt;0,S224,0)</x:f>
      </x:c>
      <x:c r="U224" s="40"/>
      <x:c r="V224" s="40"/>
      <x:c r="W224" s="43"/>
      <x:c r="X224" s="43"/>
      <x:c r="Y224" s="47">
        <x:f>IF(K224&gt;0,K224+IF(T224&gt;0,T224,0),T224)</x:f>
      </x:c>
      <x:c r="Z224" s="40"/>
      <x:c r="AA224" s="43"/>
      <x:c r="AB224" s="50">
        <x:v>3.9</x:v>
      </x:c>
      <x:c r="AC224" s="8">
        <x:v>3016</x:v>
      </x:c>
      <x:c r="AD224" s="40"/>
      <x:c r="AE224" s="40"/>
      <x:c r="AF224" s="43"/>
      <x:c r="AG224" s="43"/>
      <x:c r="AH224" s="47">
        <x:f>(Y224-(90*Ventas!AE227*0.9644))</x:f>
      </x:c>
      <x:c r="AI224" s="49">
        <x:f>(AH224/(Ventas!AE227*0.9644)/80)</x:f>
      </x:c>
      <x:c r="AJ224" s="40"/>
      <x:c r="AK224" s="40"/>
      <x:c r="AL224" s="43"/>
      <x:c r="AM224" s="43"/>
      <x:c r="AN224" s="55">
        <x:f>(IF(AH224&gt;0,AH224,0)+IF(AJ224&gt;0,AJ224,0)+IF(AL224&gt;0,AL224,0))</x:f>
      </x:c>
      <x:c r="AO224" s="56">
        <x:f>(((AI224*7)+(AK224*1)+(AM224*1))/8)</x:f>
      </x:c>
      <x:c r="AP224" s="4" t="s">
        <x:v>35</x:v>
      </x:c>
    </x:row>
    <x:row r="225">
      <x:c r="A225" s="4" t="s">
        <x:v>703</x:v>
      </x:c>
      <x:c r="B225" s="4" t="s">
        <x:v>702</x:v>
      </x:c>
      <x:c r="C225" s="38" t="s">
        <x:v>701</x:v>
      </x:c>
      <x:c r="D225" s="41"/>
      <x:c r="E225" s="44"/>
      <x:c r="F225" s="8">
        <x:v>12</x:v>
      </x:c>
      <x:c r="G225" s="40"/>
      <x:c r="H225" s="43"/>
      <x:c r="I225" s="45">
        <x:v>46313</x:v>
      </x:c>
      <x:c r="J225" s="46">
        <x:v>81</x:v>
      </x:c>
      <x:c r="K225" s="47">
        <x:f>(F225-(0)+0-(J225*Ventas!AE228*1.0556))</x:f>
      </x:c>
      <x:c r="L225" s="49">
        <x:f>(K225/(Ventas!AE228*1.0556)/80)</x:f>
      </x:c>
      <x:c r="M225" s="51">
        <x:f>(G225+0)</x:f>
      </x:c>
      <x:c r="N225" s="40"/>
      <x:c r="O225" s="54">
        <x:f>(H225+0)</x:f>
      </x:c>
      <x:c r="P225" s="43"/>
      <x:c r="Q225" s="55">
        <x:f>(K225+M225+O225)</x:f>
      </x:c>
      <x:c r="R225" s="56">
        <x:f>(((L225*7)+(N225*1)+(P225*0))/8)</x:f>
      </x:c>
      <x:c r="S225" s="47">
        <x:f>(180*(Ventas!AE228*0.9644) - IF(K225&gt;0,K225,0))</x:f>
      </x:c>
      <x:c r="T225" s="47">
        <x:f>IF(S225&gt;0,S225,0)</x:f>
      </x:c>
      <x:c r="U225" s="40"/>
      <x:c r="V225" s="40"/>
      <x:c r="W225" s="43"/>
      <x:c r="X225" s="43"/>
      <x:c r="Y225" s="47">
        <x:f>IF(K225&gt;0,K225+IF(T225&gt;0,T225,0),T225)</x:f>
      </x:c>
      <x:c r="Z225" s="40"/>
      <x:c r="AA225" s="43"/>
      <x:c r="AB225" s="50">
        <x:v>3.9</x:v>
      </x:c>
      <x:c r="AC225" s="8">
        <x:v>3016</x:v>
      </x:c>
      <x:c r="AD225" s="40"/>
      <x:c r="AE225" s="40"/>
      <x:c r="AF225" s="43"/>
      <x:c r="AG225" s="43"/>
      <x:c r="AH225" s="47">
        <x:f>(Y225-(90*Ventas!AE228*0.9644))</x:f>
      </x:c>
      <x:c r="AI225" s="49">
        <x:f>(AH225/(Ventas!AE228*0.9644)/80)</x:f>
      </x:c>
      <x:c r="AJ225" s="40"/>
      <x:c r="AK225" s="40"/>
      <x:c r="AL225" s="43"/>
      <x:c r="AM225" s="43"/>
      <x:c r="AN225" s="55">
        <x:f>(IF(AH225&gt;0,AH225,0)+IF(AJ225&gt;0,AJ225,0)+IF(AL225&gt;0,AL225,0))</x:f>
      </x:c>
      <x:c r="AO225" s="56">
        <x:f>(((AI225*7)+(AK225*1)+(AM225*1))/8)</x:f>
      </x:c>
      <x:c r="AP225" s="4" t="s">
        <x:v>35</x:v>
      </x:c>
    </x:row>
    <x:row r="226">
      <x:c r="A226" s="4" t="s">
        <x:v>706</x:v>
      </x:c>
      <x:c r="B226" s="4" t="s">
        <x:v>705</x:v>
      </x:c>
      <x:c r="C226" s="38" t="s">
        <x:v>704</x:v>
      </x:c>
      <x:c r="D226" s="41"/>
      <x:c r="E226" s="44"/>
      <x:c r="F226" s="8">
        <x:v>16</x:v>
      </x:c>
      <x:c r="G226" s="40"/>
      <x:c r="H226" s="43"/>
      <x:c r="I226" s="45">
        <x:v>46313</x:v>
      </x:c>
      <x:c r="J226" s="46">
        <x:v>81</x:v>
      </x:c>
      <x:c r="K226" s="47">
        <x:f>(F226-(0)+0-(J226*Ventas!AE229*1.0556))</x:f>
      </x:c>
      <x:c r="L226" s="49">
        <x:f>(K226/(Ventas!AE229*1.0556)/80)</x:f>
      </x:c>
      <x:c r="M226" s="51">
        <x:f>(G226+0)</x:f>
      </x:c>
      <x:c r="N226" s="40"/>
      <x:c r="O226" s="54">
        <x:f>(H226+0)</x:f>
      </x:c>
      <x:c r="P226" s="43"/>
      <x:c r="Q226" s="55">
        <x:f>(K226+M226+O226)</x:f>
      </x:c>
      <x:c r="R226" s="56">
        <x:f>(((L226*7)+(N226*1)+(P226*0))/8)</x:f>
      </x:c>
      <x:c r="S226" s="47">
        <x:f>(180*(Ventas!AE229*0.9644) - IF(K226&gt;0,K226,0))</x:f>
      </x:c>
      <x:c r="T226" s="47">
        <x:f>IF(S226&gt;0,S226,0)</x:f>
      </x:c>
      <x:c r="U226" s="40"/>
      <x:c r="V226" s="40"/>
      <x:c r="W226" s="43"/>
      <x:c r="X226" s="43"/>
      <x:c r="Y226" s="47">
        <x:f>IF(K226&gt;0,K226+IF(T226&gt;0,T226,0),T226)</x:f>
      </x:c>
      <x:c r="Z226" s="40"/>
      <x:c r="AA226" s="43"/>
      <x:c r="AB226" s="50">
        <x:v>3.9</x:v>
      </x:c>
      <x:c r="AC226" s="8">
        <x:v>3016</x:v>
      </x:c>
      <x:c r="AD226" s="40"/>
      <x:c r="AE226" s="40"/>
      <x:c r="AF226" s="43"/>
      <x:c r="AG226" s="43"/>
      <x:c r="AH226" s="47">
        <x:f>(Y226-(90*Ventas!AE229*0.9644))</x:f>
      </x:c>
      <x:c r="AI226" s="49">
        <x:f>(AH226/(Ventas!AE229*0.9644)/80)</x:f>
      </x:c>
      <x:c r="AJ226" s="40"/>
      <x:c r="AK226" s="40"/>
      <x:c r="AL226" s="43"/>
      <x:c r="AM226" s="43"/>
      <x:c r="AN226" s="55">
        <x:f>(IF(AH226&gt;0,AH226,0)+IF(AJ226&gt;0,AJ226,0)+IF(AL226&gt;0,AL226,0))</x:f>
      </x:c>
      <x:c r="AO226" s="56">
        <x:f>(((AI226*7)+(AK226*1)+(AM226*1))/8)</x:f>
      </x:c>
      <x:c r="AP226" s="4" t="s">
        <x:v>35</x:v>
      </x:c>
    </x:row>
    <x:row r="227">
      <x:c r="A227" s="4" t="s">
        <x:v>709</x:v>
      </x:c>
      <x:c r="B227" s="4" t="s">
        <x:v>708</x:v>
      </x:c>
      <x:c r="C227" s="38" t="s">
        <x:v>707</x:v>
      </x:c>
      <x:c r="D227" s="41"/>
      <x:c r="E227" s="44"/>
      <x:c r="F227" s="8">
        <x:v>1</x:v>
      </x:c>
      <x:c r="G227" s="40"/>
      <x:c r="H227" s="43"/>
      <x:c r="I227" s="45">
        <x:v>46313</x:v>
      </x:c>
      <x:c r="J227" s="46">
        <x:v>81</x:v>
      </x:c>
      <x:c r="K227" s="47">
        <x:f>(F227-(0)+0-(J227*Ventas!AE230*1.0556))</x:f>
      </x:c>
      <x:c r="L227" s="6"/>
      <x:c r="M227" s="51">
        <x:f>(G227+0)</x:f>
      </x:c>
      <x:c r="N227" s="40"/>
      <x:c r="O227" s="54">
        <x:f>(H227+0)</x:f>
      </x:c>
      <x:c r="P227" s="43"/>
      <x:c r="Q227" s="55">
        <x:f>(K227+M227+O227)</x:f>
      </x:c>
      <x:c r="R227" s="56">
        <x:f>(((L227*7)+(N227*1)+(P227*0))/8)</x:f>
      </x:c>
      <x:c r="S227" s="47">
        <x:f>(180*(Ventas!AE230*0.9644) - IF(K227&gt;0,K227,0))</x:f>
      </x:c>
      <x:c r="T227" s="47">
        <x:f>IF(S227&gt;0,S227,0)</x:f>
      </x:c>
      <x:c r="U227" s="40"/>
      <x:c r="V227" s="40"/>
      <x:c r="W227" s="43"/>
      <x:c r="X227" s="43"/>
      <x:c r="Y227" s="47">
        <x:f>IF(K227&gt;0,K227+IF(T227&gt;0,T227,0),T227)</x:f>
      </x:c>
      <x:c r="Z227" s="40"/>
      <x:c r="AA227" s="43"/>
      <x:c r="AB227" s="6"/>
      <x:c r="AC227" s="6"/>
      <x:c r="AD227" s="40"/>
      <x:c r="AE227" s="40"/>
      <x:c r="AF227" s="43"/>
      <x:c r="AG227" s="43"/>
      <x:c r="AH227" s="6"/>
      <x:c r="AI227" s="6"/>
      <x:c r="AJ227" s="40"/>
      <x:c r="AK227" s="40"/>
      <x:c r="AL227" s="43"/>
      <x:c r="AM227" s="43"/>
      <x:c r="AN227" s="55">
        <x:f>(IF(AH227&gt;0,AH227,0)+IF(AJ227&gt;0,AJ227,0)+IF(AL227&gt;0,AL227,0))</x:f>
      </x:c>
      <x:c r="AO227" s="56">
        <x:f>(((AI227*7)+(AK227*1)+(AM227*1))/8)</x:f>
      </x:c>
      <x:c r="AP227" s="4" t="s">
        <x:v>51</x:v>
      </x:c>
    </x:row>
    <x:row r="228">
      <x:c r="A228" s="4" t="s">
        <x:v>712</x:v>
      </x:c>
      <x:c r="B228" s="4" t="s">
        <x:v>711</x:v>
      </x:c>
      <x:c r="C228" s="38" t="s">
        <x:v>710</x:v>
      </x:c>
      <x:c r="D228" s="41"/>
      <x:c r="E228" s="44"/>
      <x:c r="F228" s="8">
        <x:v>14</x:v>
      </x:c>
      <x:c r="G228" s="40"/>
      <x:c r="H228" s="43"/>
      <x:c r="I228" s="45">
        <x:v>46313</x:v>
      </x:c>
      <x:c r="J228" s="46">
        <x:v>81</x:v>
      </x:c>
      <x:c r="K228" s="47">
        <x:f>(F228-(0)+0-(J228*Ventas!AE231*1.0556))</x:f>
      </x:c>
      <x:c r="L228" s="49">
        <x:f>(K228/(Ventas!AE231*1.0556)/80)</x:f>
      </x:c>
      <x:c r="M228" s="51">
        <x:f>(G228+0)</x:f>
      </x:c>
      <x:c r="N228" s="40"/>
      <x:c r="O228" s="54">
        <x:f>(H228+0)</x:f>
      </x:c>
      <x:c r="P228" s="43"/>
      <x:c r="Q228" s="55">
        <x:f>(K228+M228+O228)</x:f>
      </x:c>
      <x:c r="R228" s="56">
        <x:f>(((L228*7)+(N228*1)+(P228*0))/8)</x:f>
      </x:c>
      <x:c r="S228" s="47">
        <x:f>(180*(Ventas!AE231*0.9644) - IF(K228&gt;0,K228,0))</x:f>
      </x:c>
      <x:c r="T228" s="47">
        <x:f>IF(S228&gt;0,S228,0)</x:f>
      </x:c>
      <x:c r="U228" s="40"/>
      <x:c r="V228" s="40"/>
      <x:c r="W228" s="43"/>
      <x:c r="X228" s="43"/>
      <x:c r="Y228" s="47">
        <x:f>IF(K228&gt;0,K228+IF(T228&gt;0,T228,0),T228)</x:f>
      </x:c>
      <x:c r="Z228" s="40"/>
      <x:c r="AA228" s="43"/>
      <x:c r="AB228" s="50">
        <x:v>4.1588</x:v>
      </x:c>
      <x:c r="AC228" s="8">
        <x:v>3016</x:v>
      </x:c>
      <x:c r="AD228" s="40"/>
      <x:c r="AE228" s="40"/>
      <x:c r="AF228" s="43"/>
      <x:c r="AG228" s="43"/>
      <x:c r="AH228" s="47">
        <x:f>(Y228-(90*Ventas!AE231*0.9644))</x:f>
      </x:c>
      <x:c r="AI228" s="49">
        <x:f>(AH228/(Ventas!AE231*0.9644)/80)</x:f>
      </x:c>
      <x:c r="AJ228" s="40"/>
      <x:c r="AK228" s="40"/>
      <x:c r="AL228" s="43"/>
      <x:c r="AM228" s="43"/>
      <x:c r="AN228" s="55">
        <x:f>(IF(AH228&gt;0,AH228,0)+IF(AJ228&gt;0,AJ228,0)+IF(AL228&gt;0,AL228,0))</x:f>
      </x:c>
      <x:c r="AO228" s="56">
        <x:f>(((AI228*7)+(AK228*1)+(AM228*1))/8)</x:f>
      </x:c>
      <x:c r="AP228" s="4" t="s">
        <x:v>35</x:v>
      </x:c>
    </x:row>
    <x:row r="229">
      <x:c r="A229" s="4" t="s">
        <x:v>715</x:v>
      </x:c>
      <x:c r="B229" s="4" t="s">
        <x:v>714</x:v>
      </x:c>
      <x:c r="C229" s="38" t="s">
        <x:v>713</x:v>
      </x:c>
      <x:c r="D229" s="41"/>
      <x:c r="E229" s="44"/>
      <x:c r="F229" s="6"/>
      <x:c r="G229" s="40"/>
      <x:c r="H229" s="43"/>
      <x:c r="I229" s="45">
        <x:v>46313</x:v>
      </x:c>
      <x:c r="J229" s="46">
        <x:v>81</x:v>
      </x:c>
      <x:c r="K229" s="47">
        <x:f>(F229-(0)+0-(J229*Ventas!AE232*1.0556))</x:f>
      </x:c>
      <x:c r="L229" s="6"/>
      <x:c r="M229" s="51">
        <x:f>(G229+0)</x:f>
      </x:c>
      <x:c r="N229" s="40"/>
      <x:c r="O229" s="54">
        <x:f>(H229+0)</x:f>
      </x:c>
      <x:c r="P229" s="43"/>
      <x:c r="Q229" s="55">
        <x:f>(K229+M229+O229)</x:f>
      </x:c>
      <x:c r="R229" s="56">
        <x:f>(((L229*7)+(N229*1)+(P229*0))/8)</x:f>
      </x:c>
      <x:c r="S229" s="47">
        <x:f>(180*(Ventas!AE232*0.9644) - IF(K229&gt;0,K229,0))</x:f>
      </x:c>
      <x:c r="T229" s="47">
        <x:f>IF(S229&gt;0,S229,0)</x:f>
      </x:c>
      <x:c r="U229" s="40"/>
      <x:c r="V229" s="40"/>
      <x:c r="W229" s="43"/>
      <x:c r="X229" s="43"/>
      <x:c r="Y229" s="47">
        <x:f>IF(K229&gt;0,K229+IF(T229&gt;0,T229,0),T229)</x:f>
      </x:c>
      <x:c r="Z229" s="40"/>
      <x:c r="AA229" s="43"/>
      <x:c r="AB229" s="50">
        <x:v>4.58</x:v>
      </x:c>
      <x:c r="AC229" s="8">
        <x:v>3013</x:v>
      </x:c>
      <x:c r="AD229" s="40"/>
      <x:c r="AE229" s="40"/>
      <x:c r="AF229" s="43"/>
      <x:c r="AG229" s="43"/>
      <x:c r="AH229" s="6"/>
      <x:c r="AI229" s="6"/>
      <x:c r="AJ229" s="40"/>
      <x:c r="AK229" s="40"/>
      <x:c r="AL229" s="43"/>
      <x:c r="AM229" s="43"/>
      <x:c r="AN229" s="55">
        <x:f>(IF(AH229&gt;0,AH229,0)+IF(AJ229&gt;0,AJ229,0)+IF(AL229&gt;0,AL229,0))</x:f>
      </x:c>
      <x:c r="AO229" s="56">
        <x:f>(((AI229*7)+(AK229*1)+(AM229*1))/8)</x:f>
      </x:c>
      <x:c r="AP229" s="4" t="s">
        <x:v>35</x:v>
      </x:c>
    </x:row>
    <x:row r="230">
      <x:c r="A230" s="4" t="s">
        <x:v>718</x:v>
      </x:c>
      <x:c r="B230" s="4" t="s">
        <x:v>717</x:v>
      </x:c>
      <x:c r="C230" s="38" t="s">
        <x:v>716</x:v>
      </x:c>
      <x:c r="D230" s="41"/>
      <x:c r="E230" s="44"/>
      <x:c r="F230" s="6"/>
      <x:c r="G230" s="40"/>
      <x:c r="H230" s="43"/>
      <x:c r="I230" s="45">
        <x:v>46313</x:v>
      </x:c>
      <x:c r="J230" s="46">
        <x:v>81</x:v>
      </x:c>
      <x:c r="K230" s="47">
        <x:f>(F230-(0)+0-(J230*Ventas!AE233*1.0556))</x:f>
      </x:c>
      <x:c r="L230" s="6"/>
      <x:c r="M230" s="51">
        <x:f>(G230+0)</x:f>
      </x:c>
      <x:c r="N230" s="40"/>
      <x:c r="O230" s="54">
        <x:f>(H230+0)</x:f>
      </x:c>
      <x:c r="P230" s="43"/>
      <x:c r="Q230" s="55">
        <x:f>(K230+M230+O230)</x:f>
      </x:c>
      <x:c r="R230" s="56">
        <x:f>(((L230*7)+(N230*1)+(P230*0))/8)</x:f>
      </x:c>
      <x:c r="S230" s="47">
        <x:f>(180*(Ventas!AE233*0.9644) - IF(K230&gt;0,K230,0))</x:f>
      </x:c>
      <x:c r="T230" s="47">
        <x:f>IF(S230&gt;0,S230,0)</x:f>
      </x:c>
      <x:c r="U230" s="40"/>
      <x:c r="V230" s="40"/>
      <x:c r="W230" s="43"/>
      <x:c r="X230" s="43"/>
      <x:c r="Y230" s="47">
        <x:f>IF(K230&gt;0,K230+IF(T230&gt;0,T230,0),T230)</x:f>
      </x:c>
      <x:c r="Z230" s="40"/>
      <x:c r="AA230" s="43"/>
      <x:c r="AB230" s="50">
        <x:v>4.58</x:v>
      </x:c>
      <x:c r="AC230" s="8">
        <x:v>3013</x:v>
      </x:c>
      <x:c r="AD230" s="40"/>
      <x:c r="AE230" s="40"/>
      <x:c r="AF230" s="43"/>
      <x:c r="AG230" s="43"/>
      <x:c r="AH230" s="6"/>
      <x:c r="AI230" s="6"/>
      <x:c r="AJ230" s="40"/>
      <x:c r="AK230" s="40"/>
      <x:c r="AL230" s="43"/>
      <x:c r="AM230" s="43"/>
      <x:c r="AN230" s="55">
        <x:f>(IF(AH230&gt;0,AH230,0)+IF(AJ230&gt;0,AJ230,0)+IF(AL230&gt;0,AL230,0))</x:f>
      </x:c>
      <x:c r="AO230" s="56">
        <x:f>(((AI230*7)+(AK230*1)+(AM230*1))/8)</x:f>
      </x:c>
      <x:c r="AP230" s="4" t="s">
        <x:v>35</x:v>
      </x:c>
    </x:row>
    <x:row r="231">
      <x:c r="A231" s="4" t="s">
        <x:v>721</x:v>
      </x:c>
      <x:c r="B231" s="4" t="s">
        <x:v>720</x:v>
      </x:c>
      <x:c r="C231" s="38" t="s">
        <x:v>719</x:v>
      </x:c>
      <x:c r="D231" s="41"/>
      <x:c r="E231" s="44"/>
      <x:c r="F231" s="6"/>
      <x:c r="G231" s="40"/>
      <x:c r="H231" s="43"/>
      <x:c r="I231" s="45">
        <x:v>46313</x:v>
      </x:c>
      <x:c r="J231" s="46">
        <x:v>81</x:v>
      </x:c>
      <x:c r="K231" s="47">
        <x:f>(F231-(0)+0-(J231*Ventas!AE234*1.0556))</x:f>
      </x:c>
      <x:c r="L231" s="6"/>
      <x:c r="M231" s="51">
        <x:f>(G231+0)</x:f>
      </x:c>
      <x:c r="N231" s="40"/>
      <x:c r="O231" s="54">
        <x:f>(H231+0)</x:f>
      </x:c>
      <x:c r="P231" s="43"/>
      <x:c r="Q231" s="55">
        <x:f>(K231+M231+O231)</x:f>
      </x:c>
      <x:c r="R231" s="56">
        <x:f>(((L231*7)+(N231*1)+(P231*0))/8)</x:f>
      </x:c>
      <x:c r="S231" s="47">
        <x:f>(180*(Ventas!AE234*0.9644) - IF(K231&gt;0,K231,0))</x:f>
      </x:c>
      <x:c r="T231" s="47">
        <x:f>IF(S231&gt;0,S231,0)</x:f>
      </x:c>
      <x:c r="U231" s="40"/>
      <x:c r="V231" s="40"/>
      <x:c r="W231" s="43"/>
      <x:c r="X231" s="43"/>
      <x:c r="Y231" s="47">
        <x:f>IF(K231&gt;0,K231+IF(T231&gt;0,T231,0),T231)</x:f>
      </x:c>
      <x:c r="Z231" s="40"/>
      <x:c r="AA231" s="43"/>
      <x:c r="AB231" s="50">
        <x:v>4.58</x:v>
      </x:c>
      <x:c r="AC231" s="8">
        <x:v>3013</x:v>
      </x:c>
      <x:c r="AD231" s="40"/>
      <x:c r="AE231" s="40"/>
      <x:c r="AF231" s="43"/>
      <x:c r="AG231" s="43"/>
      <x:c r="AH231" s="6"/>
      <x:c r="AI231" s="6"/>
      <x:c r="AJ231" s="40"/>
      <x:c r="AK231" s="40"/>
      <x:c r="AL231" s="43"/>
      <x:c r="AM231" s="43"/>
      <x:c r="AN231" s="55">
        <x:f>(IF(AH231&gt;0,AH231,0)+IF(AJ231&gt;0,AJ231,0)+IF(AL231&gt;0,AL231,0))</x:f>
      </x:c>
      <x:c r="AO231" s="56">
        <x:f>(((AI231*7)+(AK231*1)+(AM231*1))/8)</x:f>
      </x:c>
      <x:c r="AP231" s="4" t="s">
        <x:v>35</x:v>
      </x:c>
    </x:row>
    <x:row r="232">
      <x:c r="A232" s="4" t="s">
        <x:v>724</x:v>
      </x:c>
      <x:c r="B232" s="4" t="s">
        <x:v>723</x:v>
      </x:c>
      <x:c r="C232" s="38" t="s">
        <x:v>722</x:v>
      </x:c>
      <x:c r="D232" s="41"/>
      <x:c r="E232" s="44"/>
      <x:c r="F232" s="8">
        <x:v>9</x:v>
      </x:c>
      <x:c r="G232" s="40"/>
      <x:c r="H232" s="43"/>
      <x:c r="I232" s="45">
        <x:v>46313</x:v>
      </x:c>
      <x:c r="J232" s="46">
        <x:v>81</x:v>
      </x:c>
      <x:c r="K232" s="47">
        <x:f>(F232-(0)+0-(J232*Ventas!AE235*1.0556))</x:f>
      </x:c>
      <x:c r="L232" s="49">
        <x:f>(K232/(Ventas!AE235*1.0556)/80)</x:f>
      </x:c>
      <x:c r="M232" s="51">
        <x:f>(G232+0)</x:f>
      </x:c>
      <x:c r="N232" s="40"/>
      <x:c r="O232" s="54">
        <x:f>(H232+0)</x:f>
      </x:c>
      <x:c r="P232" s="43"/>
      <x:c r="Q232" s="55">
        <x:f>(K232+M232+O232)</x:f>
      </x:c>
      <x:c r="R232" s="56">
        <x:f>(((L232*7)+(N232*1)+(P232*0))/8)</x:f>
      </x:c>
      <x:c r="S232" s="47">
        <x:f>(180*(Ventas!AE235*0.9644) - IF(K232&gt;0,K232,0))</x:f>
      </x:c>
      <x:c r="T232" s="47">
        <x:f>IF(S232&gt;0,S232,0)</x:f>
      </x:c>
      <x:c r="U232" s="40"/>
      <x:c r="V232" s="40"/>
      <x:c r="W232" s="43"/>
      <x:c r="X232" s="43"/>
      <x:c r="Y232" s="47">
        <x:f>IF(K232&gt;0,K232+IF(T232&gt;0,T232,0),T232)</x:f>
      </x:c>
      <x:c r="Z232" s="40"/>
      <x:c r="AA232" s="43"/>
      <x:c r="AB232" s="50">
        <x:v>5.5</x:v>
      </x:c>
      <x:c r="AC232" s="8">
        <x:v>3016</x:v>
      </x:c>
      <x:c r="AD232" s="40"/>
      <x:c r="AE232" s="40"/>
      <x:c r="AF232" s="43"/>
      <x:c r="AG232" s="43"/>
      <x:c r="AH232" s="47">
        <x:f>(Y232-(90*Ventas!AE235*0.9644))</x:f>
      </x:c>
      <x:c r="AI232" s="49">
        <x:f>(AH232/(Ventas!AE235*0.9644)/80)</x:f>
      </x:c>
      <x:c r="AJ232" s="40"/>
      <x:c r="AK232" s="40"/>
      <x:c r="AL232" s="43"/>
      <x:c r="AM232" s="43"/>
      <x:c r="AN232" s="55">
        <x:f>(IF(AH232&gt;0,AH232,0)+IF(AJ232&gt;0,AJ232,0)+IF(AL232&gt;0,AL232,0))</x:f>
      </x:c>
      <x:c r="AO232" s="56">
        <x:f>(((AI232*7)+(AK232*1)+(AM232*1))/8)</x:f>
      </x:c>
      <x:c r="AP232" s="4" t="s">
        <x:v>35</x:v>
      </x:c>
    </x:row>
    <x:row r="233">
      <x:c r="A233" s="4" t="s">
        <x:v>727</x:v>
      </x:c>
      <x:c r="B233" s="4" t="s">
        <x:v>726</x:v>
      </x:c>
      <x:c r="C233" s="38" t="s">
        <x:v>725</x:v>
      </x:c>
      <x:c r="D233" s="41"/>
      <x:c r="E233" s="44"/>
      <x:c r="F233" s="6"/>
      <x:c r="G233" s="40"/>
      <x:c r="H233" s="43"/>
      <x:c r="I233" s="45">
        <x:v>46313</x:v>
      </x:c>
      <x:c r="J233" s="46">
        <x:v>81</x:v>
      </x:c>
      <x:c r="K233" s="47">
        <x:f>(F233-(0)+0-(J233*Ventas!AE236*1.0556))</x:f>
      </x:c>
      <x:c r="L233" s="6"/>
      <x:c r="M233" s="51">
        <x:f>(G233+0)</x:f>
      </x:c>
      <x:c r="N233" s="40"/>
      <x:c r="O233" s="54">
        <x:f>(H233+0)</x:f>
      </x:c>
      <x:c r="P233" s="43"/>
      <x:c r="Q233" s="55">
        <x:f>(K233+M233+O233)</x:f>
      </x:c>
      <x:c r="R233" s="56">
        <x:f>(((L233*7)+(N233*1)+(P233*0))/8)</x:f>
      </x:c>
      <x:c r="S233" s="47">
        <x:f>(180*(Ventas!AE236*0.9644) - IF(K233&gt;0,K233,0))</x:f>
      </x:c>
      <x:c r="T233" s="47">
        <x:f>IF(S233&gt;0,S233,0)</x:f>
      </x:c>
      <x:c r="U233" s="40"/>
      <x:c r="V233" s="40"/>
      <x:c r="W233" s="43"/>
      <x:c r="X233" s="43"/>
      <x:c r="Y233" s="47">
        <x:f>IF(K233&gt;0,K233+IF(T233&gt;0,T233,0),T233)</x:f>
      </x:c>
      <x:c r="Z233" s="40"/>
      <x:c r="AA233" s="43"/>
      <x:c r="AB233" s="6"/>
      <x:c r="AC233" s="6"/>
      <x:c r="AD233" s="40"/>
      <x:c r="AE233" s="40"/>
      <x:c r="AF233" s="43"/>
      <x:c r="AG233" s="43"/>
      <x:c r="AH233" s="6"/>
      <x:c r="AI233" s="6"/>
      <x:c r="AJ233" s="40"/>
      <x:c r="AK233" s="40"/>
      <x:c r="AL233" s="43"/>
      <x:c r="AM233" s="43"/>
      <x:c r="AN233" s="55">
        <x:f>(IF(AH233&gt;0,AH233,0)+IF(AJ233&gt;0,AJ233,0)+IF(AL233&gt;0,AL233,0))</x:f>
      </x:c>
      <x:c r="AO233" s="56">
        <x:f>(((AI233*7)+(AK233*1)+(AM233*1))/8)</x:f>
      </x:c>
      <x:c r="AP233" s="4" t="s">
        <x:v>51</x:v>
      </x:c>
    </x:row>
    <x:row r="234">
      <x:c r="A234" s="4" t="s">
        <x:v>730</x:v>
      </x:c>
      <x:c r="B234" s="4" t="s">
        <x:v>729</x:v>
      </x:c>
      <x:c r="C234" s="38" t="s">
        <x:v>728</x:v>
      </x:c>
      <x:c r="D234" s="41"/>
      <x:c r="E234" s="44"/>
      <x:c r="F234" s="8">
        <x:v>438</x:v>
      </x:c>
      <x:c r="G234" s="40"/>
      <x:c r="H234" s="43"/>
      <x:c r="I234" s="45">
        <x:v>46313</x:v>
      </x:c>
      <x:c r="J234" s="46">
        <x:v>81</x:v>
      </x:c>
      <x:c r="K234" s="47">
        <x:f>(F234-(0)+0-(J234*Ventas!AE237*1.0556))</x:f>
      </x:c>
      <x:c r="L234" s="49">
        <x:f>(K234/(Ventas!AE237*1.0556)/80)</x:f>
      </x:c>
      <x:c r="M234" s="51">
        <x:f>(G234+0)</x:f>
      </x:c>
      <x:c r="N234" s="40"/>
      <x:c r="O234" s="54">
        <x:f>(H234+0)</x:f>
      </x:c>
      <x:c r="P234" s="43"/>
      <x:c r="Q234" s="55">
        <x:f>(K234+M234+O234)</x:f>
      </x:c>
      <x:c r="R234" s="56">
        <x:f>(((L234*7)+(N234*1)+(P234*0))/8)</x:f>
      </x:c>
      <x:c r="S234" s="47">
        <x:f>(180*(Ventas!AE237*0.9644) - IF(K234&gt;0,K234,0))</x:f>
      </x:c>
      <x:c r="T234" s="47">
        <x:f>IF(S234&gt;0,S234,0)</x:f>
      </x:c>
      <x:c r="U234" s="40"/>
      <x:c r="V234" s="40"/>
      <x:c r="W234" s="43"/>
      <x:c r="X234" s="43"/>
      <x:c r="Y234" s="47">
        <x:f>IF(K234&gt;0,K234+IF(T234&gt;0,T234,0),T234)</x:f>
      </x:c>
      <x:c r="Z234" s="40"/>
      <x:c r="AA234" s="43"/>
      <x:c r="AB234" s="50">
        <x:v>3.75</x:v>
      </x:c>
      <x:c r="AC234" s="8">
        <x:v>3016</x:v>
      </x:c>
      <x:c r="AD234" s="40"/>
      <x:c r="AE234" s="40"/>
      <x:c r="AF234" s="43"/>
      <x:c r="AG234" s="43"/>
      <x:c r="AH234" s="47">
        <x:f>(Y234-(90*Ventas!AE237*0.9644))</x:f>
      </x:c>
      <x:c r="AI234" s="49">
        <x:f>(AH234/(Ventas!AE237*0.9644)/80)</x:f>
      </x:c>
      <x:c r="AJ234" s="40"/>
      <x:c r="AK234" s="40"/>
      <x:c r="AL234" s="43"/>
      <x:c r="AM234" s="43"/>
      <x:c r="AN234" s="55">
        <x:f>(IF(AH234&gt;0,AH234,0)+IF(AJ234&gt;0,AJ234,0)+IF(AL234&gt;0,AL234,0))</x:f>
      </x:c>
      <x:c r="AO234" s="56">
        <x:f>(((AI234*7)+(AK234*1)+(AM234*1))/8)</x:f>
      </x:c>
      <x:c r="AP234" s="4" t="s">
        <x:v>35</x:v>
      </x:c>
    </x:row>
    <x:row r="235">
      <x:c r="A235" s="4" t="s">
        <x:v>733</x:v>
      </x:c>
      <x:c r="B235" s="4" t="s">
        <x:v>732</x:v>
      </x:c>
      <x:c r="C235" s="38" t="s">
        <x:v>731</x:v>
      </x:c>
      <x:c r="D235" s="41"/>
      <x:c r="E235" s="44"/>
      <x:c r="F235" s="8">
        <x:v>3</x:v>
      </x:c>
      <x:c r="G235" s="40"/>
      <x:c r="H235" s="43"/>
      <x:c r="I235" s="45">
        <x:v>46313</x:v>
      </x:c>
      <x:c r="J235" s="46">
        <x:v>81</x:v>
      </x:c>
      <x:c r="K235" s="47">
        <x:f>(F235-(0)+0-(J235*Ventas!AE238*1.0556))</x:f>
      </x:c>
      <x:c r="L235" s="49">
        <x:f>(K235/(Ventas!AE238*1.0556)/80)</x:f>
      </x:c>
      <x:c r="M235" s="51">
        <x:f>(G235+0)</x:f>
      </x:c>
      <x:c r="N235" s="40"/>
      <x:c r="O235" s="54">
        <x:f>(H235+0)</x:f>
      </x:c>
      <x:c r="P235" s="43"/>
      <x:c r="Q235" s="55">
        <x:f>(K235+M235+O235)</x:f>
      </x:c>
      <x:c r="R235" s="56">
        <x:f>(((L235*7)+(N235*1)+(P235*0))/8)</x:f>
      </x:c>
      <x:c r="S235" s="47">
        <x:f>(180*(Ventas!AE238*0.9644) - IF(K235&gt;0,K235,0))</x:f>
      </x:c>
      <x:c r="T235" s="47">
        <x:f>IF(S235&gt;0,S235,0)</x:f>
      </x:c>
      <x:c r="U235" s="40"/>
      <x:c r="V235" s="40"/>
      <x:c r="W235" s="43"/>
      <x:c r="X235" s="43"/>
      <x:c r="Y235" s="47">
        <x:f>IF(K235&gt;0,K235+IF(T235&gt;0,T235,0),T235)</x:f>
      </x:c>
      <x:c r="Z235" s="40"/>
      <x:c r="AA235" s="43"/>
      <x:c r="AB235" s="50">
        <x:v>7.3</x:v>
      </x:c>
      <x:c r="AC235" s="8">
        <x:v>3016</x:v>
      </x:c>
      <x:c r="AD235" s="40"/>
      <x:c r="AE235" s="40"/>
      <x:c r="AF235" s="43"/>
      <x:c r="AG235" s="43"/>
      <x:c r="AH235" s="47">
        <x:f>(Y235-(90*Ventas!AE238*0.9644))</x:f>
      </x:c>
      <x:c r="AI235" s="49">
        <x:f>(AH235/(Ventas!AE238*0.9644)/80)</x:f>
      </x:c>
      <x:c r="AJ235" s="40"/>
      <x:c r="AK235" s="40"/>
      <x:c r="AL235" s="43"/>
      <x:c r="AM235" s="43"/>
      <x:c r="AN235" s="55">
        <x:f>(IF(AH235&gt;0,AH235,0)+IF(AJ235&gt;0,AJ235,0)+IF(AL235&gt;0,AL235,0))</x:f>
      </x:c>
      <x:c r="AO235" s="56">
        <x:f>(((AI235*7)+(AK235*1)+(AM235*1))/8)</x:f>
      </x:c>
      <x:c r="AP235" s="4" t="s">
        <x:v>35</x:v>
      </x:c>
    </x:row>
    <x:row r="236">
      <x:c r="A236" s="4" t="s">
        <x:v>736</x:v>
      </x:c>
      <x:c r="B236" s="4" t="s">
        <x:v>735</x:v>
      </x:c>
      <x:c r="C236" s="38" t="s">
        <x:v>734</x:v>
      </x:c>
      <x:c r="D236" s="41"/>
      <x:c r="E236" s="44"/>
      <x:c r="F236" s="8">
        <x:v>19</x:v>
      </x:c>
      <x:c r="G236" s="40"/>
      <x:c r="H236" s="43"/>
      <x:c r="I236" s="45">
        <x:v>46313</x:v>
      </x:c>
      <x:c r="J236" s="46">
        <x:v>81</x:v>
      </x:c>
      <x:c r="K236" s="47">
        <x:f>(F236-(0)+0-(J236*Ventas!AE239*1.0556))</x:f>
      </x:c>
      <x:c r="L236" s="49">
        <x:f>(K236/(Ventas!AE239*1.0556)/80)</x:f>
      </x:c>
      <x:c r="M236" s="51">
        <x:f>(G236+0)</x:f>
      </x:c>
      <x:c r="N236" s="40"/>
      <x:c r="O236" s="54">
        <x:f>(H236+0)</x:f>
      </x:c>
      <x:c r="P236" s="43"/>
      <x:c r="Q236" s="55">
        <x:f>(K236+M236+O236)</x:f>
      </x:c>
      <x:c r="R236" s="56">
        <x:f>(((L236*7)+(N236*1)+(P236*0))/8)</x:f>
      </x:c>
      <x:c r="S236" s="47">
        <x:f>(180*(Ventas!AE239*0.9644) - IF(K236&gt;0,K236,0))</x:f>
      </x:c>
      <x:c r="T236" s="47">
        <x:f>IF(S236&gt;0,S236,0)</x:f>
      </x:c>
      <x:c r="U236" s="40"/>
      <x:c r="V236" s="40"/>
      <x:c r="W236" s="43"/>
      <x:c r="X236" s="43"/>
      <x:c r="Y236" s="47">
        <x:f>IF(K236&gt;0,K236+IF(T236&gt;0,T236,0),T236)</x:f>
      </x:c>
      <x:c r="Z236" s="40"/>
      <x:c r="AA236" s="43"/>
      <x:c r="AB236" s="50">
        <x:v>1.9</x:v>
      </x:c>
      <x:c r="AC236" s="8">
        <x:v>3016</x:v>
      </x:c>
      <x:c r="AD236" s="40"/>
      <x:c r="AE236" s="40"/>
      <x:c r="AF236" s="43"/>
      <x:c r="AG236" s="43"/>
      <x:c r="AH236" s="47">
        <x:f>(Y236-(90*Ventas!AE239*0.9644))</x:f>
      </x:c>
      <x:c r="AI236" s="49">
        <x:f>(AH236/(Ventas!AE239*0.9644)/80)</x:f>
      </x:c>
      <x:c r="AJ236" s="40"/>
      <x:c r="AK236" s="40"/>
      <x:c r="AL236" s="43"/>
      <x:c r="AM236" s="43"/>
      <x:c r="AN236" s="55">
        <x:f>(IF(AH236&gt;0,AH236,0)+IF(AJ236&gt;0,AJ236,0)+IF(AL236&gt;0,AL236,0))</x:f>
      </x:c>
      <x:c r="AO236" s="56">
        <x:f>(((AI236*7)+(AK236*1)+(AM236*1))/8)</x:f>
      </x:c>
      <x:c r="AP236" s="4" t="s">
        <x:v>35</x:v>
      </x:c>
    </x:row>
    <x:row r="237">
      <x:c r="A237" s="4" t="s">
        <x:v>739</x:v>
      </x:c>
      <x:c r="B237" s="4" t="s">
        <x:v>738</x:v>
      </x:c>
      <x:c r="C237" s="38" t="s">
        <x:v>737</x:v>
      </x:c>
      <x:c r="D237" s="41"/>
      <x:c r="E237" s="44"/>
      <x:c r="F237" s="6"/>
      <x:c r="G237" s="40"/>
      <x:c r="H237" s="43"/>
      <x:c r="I237" s="45">
        <x:v>46313</x:v>
      </x:c>
      <x:c r="J237" s="46">
        <x:v>81</x:v>
      </x:c>
      <x:c r="K237" s="47">
        <x:f>(F237-(0)+0-(J237*Ventas!AE240*1.0556))</x:f>
      </x:c>
      <x:c r="L237" s="6"/>
      <x:c r="M237" s="51">
        <x:f>(G237+0)</x:f>
      </x:c>
      <x:c r="N237" s="40"/>
      <x:c r="O237" s="54">
        <x:f>(H237+0)</x:f>
      </x:c>
      <x:c r="P237" s="43"/>
      <x:c r="Q237" s="55">
        <x:f>(K237+M237+O237)</x:f>
      </x:c>
      <x:c r="R237" s="56">
        <x:f>(((L237*7)+(N237*1)+(P237*0))/8)</x:f>
      </x:c>
      <x:c r="S237" s="47">
        <x:f>(180*(Ventas!AE240*0.9644) - IF(K237&gt;0,K237,0))</x:f>
      </x:c>
      <x:c r="T237" s="47">
        <x:f>IF(S237&gt;0,S237,0)</x:f>
      </x:c>
      <x:c r="U237" s="40"/>
      <x:c r="V237" s="40"/>
      <x:c r="W237" s="43"/>
      <x:c r="X237" s="43"/>
      <x:c r="Y237" s="47">
        <x:f>IF(K237&gt;0,K237+IF(T237&gt;0,T237,0),T237)</x:f>
      </x:c>
      <x:c r="Z237" s="40"/>
      <x:c r="AA237" s="43"/>
      <x:c r="AB237" s="6"/>
      <x:c r="AC237" s="6"/>
      <x:c r="AD237" s="40"/>
      <x:c r="AE237" s="40"/>
      <x:c r="AF237" s="43"/>
      <x:c r="AG237" s="43"/>
      <x:c r="AH237" s="6"/>
      <x:c r="AI237" s="6"/>
      <x:c r="AJ237" s="40"/>
      <x:c r="AK237" s="40"/>
      <x:c r="AL237" s="43"/>
      <x:c r="AM237" s="43"/>
      <x:c r="AN237" s="55">
        <x:f>(IF(AH237&gt;0,AH237,0)+IF(AJ237&gt;0,AJ237,0)+IF(AL237&gt;0,AL237,0))</x:f>
      </x:c>
      <x:c r="AO237" s="56">
        <x:f>(((AI237*7)+(AK237*1)+(AM237*1))/8)</x:f>
      </x:c>
      <x:c r="AP237" s="4" t="s">
        <x:v>35</x:v>
      </x:c>
    </x:row>
    <x:row r="238">
      <x:c r="A238" s="4" t="s">
        <x:v>742</x:v>
      </x:c>
      <x:c r="B238" s="4" t="s">
        <x:v>741</x:v>
      </x:c>
      <x:c r="C238" s="38" t="s">
        <x:v>740</x:v>
      </x:c>
      <x:c r="D238" s="41"/>
      <x:c r="E238" s="44"/>
      <x:c r="F238" s="8">
        <x:v>5</x:v>
      </x:c>
      <x:c r="G238" s="40"/>
      <x:c r="H238" s="43"/>
      <x:c r="I238" s="45">
        <x:v>46313</x:v>
      </x:c>
      <x:c r="J238" s="46">
        <x:v>81</x:v>
      </x:c>
      <x:c r="K238" s="47">
        <x:f>(F238-(0)+0-(J238*Ventas!AE241*1.0556))</x:f>
      </x:c>
      <x:c r="L238" s="6"/>
      <x:c r="M238" s="51">
        <x:f>(G238+0)</x:f>
      </x:c>
      <x:c r="N238" s="40"/>
      <x:c r="O238" s="54">
        <x:f>(H238+0)</x:f>
      </x:c>
      <x:c r="P238" s="43"/>
      <x:c r="Q238" s="55">
        <x:f>(K238+M238+O238)</x:f>
      </x:c>
      <x:c r="R238" s="56">
        <x:f>(((L238*7)+(N238*1)+(P238*0))/8)</x:f>
      </x:c>
      <x:c r="S238" s="47">
        <x:f>(180*(Ventas!AE241*0.9644) - IF(K238&gt;0,K238,0))</x:f>
      </x:c>
      <x:c r="T238" s="47">
        <x:f>IF(S238&gt;0,S238,0)</x:f>
      </x:c>
      <x:c r="U238" s="40"/>
      <x:c r="V238" s="40"/>
      <x:c r="W238" s="43"/>
      <x:c r="X238" s="43"/>
      <x:c r="Y238" s="47">
        <x:f>IF(K238&gt;0,K238+IF(T238&gt;0,T238,0),T238)</x:f>
      </x:c>
      <x:c r="Z238" s="40"/>
      <x:c r="AA238" s="43"/>
      <x:c r="AB238" s="6"/>
      <x:c r="AC238" s="6"/>
      <x:c r="AD238" s="40"/>
      <x:c r="AE238" s="40"/>
      <x:c r="AF238" s="43"/>
      <x:c r="AG238" s="43"/>
      <x:c r="AH238" s="6"/>
      <x:c r="AI238" s="6"/>
      <x:c r="AJ238" s="40"/>
      <x:c r="AK238" s="40"/>
      <x:c r="AL238" s="43"/>
      <x:c r="AM238" s="43"/>
      <x:c r="AN238" s="55">
        <x:f>(IF(AH238&gt;0,AH238,0)+IF(AJ238&gt;0,AJ238,0)+IF(AL238&gt;0,AL238,0))</x:f>
      </x:c>
      <x:c r="AO238" s="56">
        <x:f>(((AI238*7)+(AK238*1)+(AM238*1))/8)</x:f>
      </x:c>
      <x:c r="AP238" s="4" t="s">
        <x:v>35</x:v>
      </x:c>
    </x:row>
    <x:row r="239">
      <x:c r="A239" s="4" t="s">
        <x:v>745</x:v>
      </x:c>
      <x:c r="B239" s="4" t="s">
        <x:v>744</x:v>
      </x:c>
      <x:c r="C239" s="38" t="s">
        <x:v>743</x:v>
      </x:c>
      <x:c r="D239" s="41"/>
      <x:c r="E239" s="44"/>
      <x:c r="F239" s="6"/>
      <x:c r="G239" s="40"/>
      <x:c r="H239" s="43"/>
      <x:c r="I239" s="45">
        <x:v>46313</x:v>
      </x:c>
      <x:c r="J239" s="46">
        <x:v>81</x:v>
      </x:c>
      <x:c r="K239" s="47">
        <x:f>(F239-(0)+0-(J239*Ventas!AE242*1.0556))</x:f>
      </x:c>
      <x:c r="L239" s="6"/>
      <x:c r="M239" s="51">
        <x:f>(G239+0)</x:f>
      </x:c>
      <x:c r="N239" s="40"/>
      <x:c r="O239" s="54">
        <x:f>(H239+0)</x:f>
      </x:c>
      <x:c r="P239" s="43"/>
      <x:c r="Q239" s="55">
        <x:f>(K239+M239+O239)</x:f>
      </x:c>
      <x:c r="R239" s="56">
        <x:f>(((L239*7)+(N239*1)+(P239*0))/8)</x:f>
      </x:c>
      <x:c r="S239" s="47">
        <x:f>(180*(Ventas!AE242*0.9644) - IF(K239&gt;0,K239,0))</x:f>
      </x:c>
      <x:c r="T239" s="47">
        <x:f>IF(S239&gt;0,S239,0)</x:f>
      </x:c>
      <x:c r="U239" s="40"/>
      <x:c r="V239" s="40"/>
      <x:c r="W239" s="43"/>
      <x:c r="X239" s="43"/>
      <x:c r="Y239" s="47">
        <x:f>IF(K239&gt;0,K239+IF(T239&gt;0,T239,0),T239)</x:f>
      </x:c>
      <x:c r="Z239" s="40"/>
      <x:c r="AA239" s="43"/>
      <x:c r="AB239" s="6"/>
      <x:c r="AC239" s="6"/>
      <x:c r="AD239" s="40"/>
      <x:c r="AE239" s="40"/>
      <x:c r="AF239" s="43"/>
      <x:c r="AG239" s="43"/>
      <x:c r="AH239" s="6"/>
      <x:c r="AI239" s="6"/>
      <x:c r="AJ239" s="40"/>
      <x:c r="AK239" s="40"/>
      <x:c r="AL239" s="43"/>
      <x:c r="AM239" s="43"/>
      <x:c r="AN239" s="55">
        <x:f>(IF(AH239&gt;0,AH239,0)+IF(AJ239&gt;0,AJ239,0)+IF(AL239&gt;0,AL239,0))</x:f>
      </x:c>
      <x:c r="AO239" s="56">
        <x:f>(((AI239*7)+(AK239*1)+(AM239*1))/8)</x:f>
      </x:c>
      <x:c r="AP239" s="4" t="s">
        <x:v>51</x:v>
      </x:c>
    </x:row>
    <x:row r="240">
      <x:c r="A240" s="4" t="s">
        <x:v>748</x:v>
      </x:c>
      <x:c r="B240" s="4" t="s">
        <x:v>747</x:v>
      </x:c>
      <x:c r="C240" s="38" t="s">
        <x:v>746</x:v>
      </x:c>
      <x:c r="D240" s="41"/>
      <x:c r="E240" s="44"/>
      <x:c r="F240" s="6"/>
      <x:c r="G240" s="40"/>
      <x:c r="H240" s="43"/>
      <x:c r="I240" s="45">
        <x:v>46313</x:v>
      </x:c>
      <x:c r="J240" s="46">
        <x:v>81</x:v>
      </x:c>
      <x:c r="K240" s="47">
        <x:f>(F240-(0)+0-(J240*Ventas!AE243*1.0556))</x:f>
      </x:c>
      <x:c r="L240" s="6"/>
      <x:c r="M240" s="51">
        <x:f>(G240+0)</x:f>
      </x:c>
      <x:c r="N240" s="40"/>
      <x:c r="O240" s="54">
        <x:f>(H240+0)</x:f>
      </x:c>
      <x:c r="P240" s="43"/>
      <x:c r="Q240" s="55">
        <x:f>(K240+M240+O240)</x:f>
      </x:c>
      <x:c r="R240" s="56">
        <x:f>(((L240*7)+(N240*1)+(P240*0))/8)</x:f>
      </x:c>
      <x:c r="S240" s="47">
        <x:f>(180*(Ventas!AE243*0.9644) - IF(K240&gt;0,K240,0))</x:f>
      </x:c>
      <x:c r="T240" s="47">
        <x:f>IF(S240&gt;0,S240,0)</x:f>
      </x:c>
      <x:c r="U240" s="40"/>
      <x:c r="V240" s="40"/>
      <x:c r="W240" s="43"/>
      <x:c r="X240" s="43"/>
      <x:c r="Y240" s="47">
        <x:f>IF(K240&gt;0,K240+IF(T240&gt;0,T240,0),T240)</x:f>
      </x:c>
      <x:c r="Z240" s="40"/>
      <x:c r="AA240" s="43"/>
      <x:c r="AB240" s="50">
        <x:v>5.283</x:v>
      </x:c>
      <x:c r="AC240" s="8">
        <x:v>3022</x:v>
      </x:c>
      <x:c r="AD240" s="40"/>
      <x:c r="AE240" s="40"/>
      <x:c r="AF240" s="43"/>
      <x:c r="AG240" s="43"/>
      <x:c r="AH240" s="6"/>
      <x:c r="AI240" s="6"/>
      <x:c r="AJ240" s="40"/>
      <x:c r="AK240" s="40"/>
      <x:c r="AL240" s="43"/>
      <x:c r="AM240" s="43"/>
      <x:c r="AN240" s="55">
        <x:f>(IF(AH240&gt;0,AH240,0)+IF(AJ240&gt;0,AJ240,0)+IF(AL240&gt;0,AL240,0))</x:f>
      </x:c>
      <x:c r="AO240" s="56">
        <x:f>(((AI240*7)+(AK240*1)+(AM240*1))/8)</x:f>
      </x:c>
      <x:c r="AP240" s="4" t="s">
        <x:v>35</x:v>
      </x:c>
    </x:row>
    <x:row r="241">
      <x:c r="A241" s="4" t="s">
        <x:v>751</x:v>
      </x:c>
      <x:c r="B241" s="4" t="s">
        <x:v>750</x:v>
      </x:c>
      <x:c r="C241" s="38" t="s">
        <x:v>749</x:v>
      </x:c>
      <x:c r="D241" s="41"/>
      <x:c r="E241" s="44"/>
      <x:c r="F241" s="8">
        <x:v>48</x:v>
      </x:c>
      <x:c r="G241" s="40"/>
      <x:c r="H241" s="43"/>
      <x:c r="I241" s="45">
        <x:v>46313</x:v>
      </x:c>
      <x:c r="J241" s="46">
        <x:v>81</x:v>
      </x:c>
      <x:c r="K241" s="47">
        <x:f>(F241-(0)+0-(J241*Ventas!AE244*1.0556))</x:f>
      </x:c>
      <x:c r="L241" s="49">
        <x:f>(K241/(Ventas!AE244*1.0556)/80)</x:f>
      </x:c>
      <x:c r="M241" s="51">
        <x:f>(G241+0)</x:f>
      </x:c>
      <x:c r="N241" s="40"/>
      <x:c r="O241" s="54">
        <x:f>(H241+0)</x:f>
      </x:c>
      <x:c r="P241" s="43"/>
      <x:c r="Q241" s="55">
        <x:f>(K241+M241+O241)</x:f>
      </x:c>
      <x:c r="R241" s="56">
        <x:f>(((L241*7)+(N241*1)+(P241*0))/8)</x:f>
      </x:c>
      <x:c r="S241" s="47">
        <x:f>(180*(Ventas!AE244*0.9644) - IF(K241&gt;0,K241,0))</x:f>
      </x:c>
      <x:c r="T241" s="47">
        <x:f>IF(S241&gt;0,S241,0)</x:f>
      </x:c>
      <x:c r="U241" s="40"/>
      <x:c r="V241" s="40"/>
      <x:c r="W241" s="43"/>
      <x:c r="X241" s="43"/>
      <x:c r="Y241" s="47">
        <x:f>IF(K241&gt;0,K241+IF(T241&gt;0,T241,0),T241)</x:f>
      </x:c>
      <x:c r="Z241" s="40"/>
      <x:c r="AA241" s="43"/>
      <x:c r="AB241" s="50">
        <x:v>4.1</x:v>
      </x:c>
      <x:c r="AC241" s="8">
        <x:v>3016</x:v>
      </x:c>
      <x:c r="AD241" s="40"/>
      <x:c r="AE241" s="40"/>
      <x:c r="AF241" s="43"/>
      <x:c r="AG241" s="43"/>
      <x:c r="AH241" s="47">
        <x:f>(Y241-(90*Ventas!AE244*0.9644))</x:f>
      </x:c>
      <x:c r="AI241" s="49">
        <x:f>(AH241/(Ventas!AE244*0.9644)/80)</x:f>
      </x:c>
      <x:c r="AJ241" s="40"/>
      <x:c r="AK241" s="40"/>
      <x:c r="AL241" s="43"/>
      <x:c r="AM241" s="43"/>
      <x:c r="AN241" s="55">
        <x:f>(IF(AH241&gt;0,AH241,0)+IF(AJ241&gt;0,AJ241,0)+IF(AL241&gt;0,AL241,0))</x:f>
      </x:c>
      <x:c r="AO241" s="56">
        <x:f>(((AI241*7)+(AK241*1)+(AM241*1))/8)</x:f>
      </x:c>
      <x:c r="AP241" s="4" t="s">
        <x:v>35</x:v>
      </x:c>
    </x:row>
    <x:row r="242">
      <x:c r="A242" s="4" t="s">
        <x:v>754</x:v>
      </x:c>
      <x:c r="B242" s="4" t="s">
        <x:v>753</x:v>
      </x:c>
      <x:c r="C242" s="38" t="s">
        <x:v>752</x:v>
      </x:c>
      <x:c r="D242" s="41"/>
      <x:c r="E242" s="44"/>
      <x:c r="F242" s="8">
        <x:v>58</x:v>
      </x:c>
      <x:c r="G242" s="40"/>
      <x:c r="H242" s="43"/>
      <x:c r="I242" s="45">
        <x:v>46313</x:v>
      </x:c>
      <x:c r="J242" s="46">
        <x:v>81</x:v>
      </x:c>
      <x:c r="K242" s="47">
        <x:f>(F242-(0)+0-(J242*Ventas!AE245*1.0556))</x:f>
      </x:c>
      <x:c r="L242" s="49">
        <x:f>(K242/(Ventas!AE245*1.0556)/80)</x:f>
      </x:c>
      <x:c r="M242" s="51">
        <x:f>(G242+0)</x:f>
      </x:c>
      <x:c r="N242" s="40"/>
      <x:c r="O242" s="54">
        <x:f>(H242+0)</x:f>
      </x:c>
      <x:c r="P242" s="43"/>
      <x:c r="Q242" s="55">
        <x:f>(K242+M242+O242)</x:f>
      </x:c>
      <x:c r="R242" s="56">
        <x:f>(((L242*7)+(N242*1)+(P242*0))/8)</x:f>
      </x:c>
      <x:c r="S242" s="47">
        <x:f>(180*(Ventas!AE245*0.9644) - IF(K242&gt;0,K242,0))</x:f>
      </x:c>
      <x:c r="T242" s="47">
        <x:f>IF(S242&gt;0,S242,0)</x:f>
      </x:c>
      <x:c r="U242" s="40"/>
      <x:c r="V242" s="40"/>
      <x:c r="W242" s="43"/>
      <x:c r="X242" s="43"/>
      <x:c r="Y242" s="47">
        <x:f>IF(K242&gt;0,K242+IF(T242&gt;0,T242,0),T242)</x:f>
      </x:c>
      <x:c r="Z242" s="40"/>
      <x:c r="AA242" s="43"/>
      <x:c r="AB242" s="50">
        <x:v>2</x:v>
      </x:c>
      <x:c r="AC242" s="8">
        <x:v>3016</x:v>
      </x:c>
      <x:c r="AD242" s="40"/>
      <x:c r="AE242" s="40"/>
      <x:c r="AF242" s="43"/>
      <x:c r="AG242" s="43"/>
      <x:c r="AH242" s="47">
        <x:f>(Y242-(90*Ventas!AE245*0.9644))</x:f>
      </x:c>
      <x:c r="AI242" s="49">
        <x:f>(AH242/(Ventas!AE245*0.9644)/80)</x:f>
      </x:c>
      <x:c r="AJ242" s="40"/>
      <x:c r="AK242" s="40"/>
      <x:c r="AL242" s="43"/>
      <x:c r="AM242" s="43"/>
      <x:c r="AN242" s="55">
        <x:f>(IF(AH242&gt;0,AH242,0)+IF(AJ242&gt;0,AJ242,0)+IF(AL242&gt;0,AL242,0))</x:f>
      </x:c>
      <x:c r="AO242" s="56">
        <x:f>(((AI242*7)+(AK242*1)+(AM242*1))/8)</x:f>
      </x:c>
      <x:c r="AP242" s="4" t="s">
        <x:v>35</x:v>
      </x:c>
    </x:row>
    <x:row r="243">
      <x:c r="A243" s="4" t="s">
        <x:v>757</x:v>
      </x:c>
      <x:c r="B243" s="4" t="s">
        <x:v>756</x:v>
      </x:c>
      <x:c r="C243" s="38" t="s">
        <x:v>755</x:v>
      </x:c>
      <x:c r="D243" s="41"/>
      <x:c r="E243" s="44"/>
      <x:c r="F243" s="8">
        <x:v>4</x:v>
      </x:c>
      <x:c r="G243" s="40"/>
      <x:c r="H243" s="43"/>
      <x:c r="I243" s="45">
        <x:v>46313</x:v>
      </x:c>
      <x:c r="J243" s="46">
        <x:v>81</x:v>
      </x:c>
      <x:c r="K243" s="47">
        <x:f>(F243-(0)+0-(J243*Ventas!AE246*1.0556))</x:f>
      </x:c>
      <x:c r="L243" s="6"/>
      <x:c r="M243" s="51">
        <x:f>(G243+0)</x:f>
      </x:c>
      <x:c r="N243" s="40"/>
      <x:c r="O243" s="54">
        <x:f>(H243+0)</x:f>
      </x:c>
      <x:c r="P243" s="43"/>
      <x:c r="Q243" s="55">
        <x:f>(K243+M243+O243)</x:f>
      </x:c>
      <x:c r="R243" s="56">
        <x:f>(((L243*7)+(N243*1)+(P243*0))/8)</x:f>
      </x:c>
      <x:c r="S243" s="47">
        <x:f>(180*(Ventas!AE246*0.9644) - IF(K243&gt;0,K243,0))</x:f>
      </x:c>
      <x:c r="T243" s="47">
        <x:f>IF(S243&gt;0,S243,0)</x:f>
      </x:c>
      <x:c r="U243" s="40"/>
      <x:c r="V243" s="40"/>
      <x:c r="W243" s="43"/>
      <x:c r="X243" s="43"/>
      <x:c r="Y243" s="47">
        <x:f>IF(K243&gt;0,K243+IF(T243&gt;0,T243,0),T243)</x:f>
      </x:c>
      <x:c r="Z243" s="40"/>
      <x:c r="AA243" s="43"/>
      <x:c r="AB243" s="50">
        <x:v>3.9</x:v>
      </x:c>
      <x:c r="AC243" s="8">
        <x:v>3006</x:v>
      </x:c>
      <x:c r="AD243" s="40"/>
      <x:c r="AE243" s="40"/>
      <x:c r="AF243" s="43"/>
      <x:c r="AG243" s="43"/>
      <x:c r="AH243" s="6"/>
      <x:c r="AI243" s="6"/>
      <x:c r="AJ243" s="40"/>
      <x:c r="AK243" s="40"/>
      <x:c r="AL243" s="43"/>
      <x:c r="AM243" s="43"/>
      <x:c r="AN243" s="55">
        <x:f>(IF(AH243&gt;0,AH243,0)+IF(AJ243&gt;0,AJ243,0)+IF(AL243&gt;0,AL243,0))</x:f>
      </x:c>
      <x:c r="AO243" s="56">
        <x:f>(((AI243*7)+(AK243*1)+(AM243*1))/8)</x:f>
      </x:c>
      <x:c r="AP243" s="4" t="s">
        <x:v>51</x:v>
      </x:c>
    </x:row>
    <x:row r="244">
      <x:c r="A244" s="4" t="s">
        <x:v>760</x:v>
      </x:c>
      <x:c r="B244" s="4" t="s">
        <x:v>759</x:v>
      </x:c>
      <x:c r="C244" s="38" t="s">
        <x:v>758</x:v>
      </x:c>
      <x:c r="D244" s="41"/>
      <x:c r="E244" s="44"/>
      <x:c r="F244" s="8">
        <x:v>93</x:v>
      </x:c>
      <x:c r="G244" s="40"/>
      <x:c r="H244" s="43"/>
      <x:c r="I244" s="45">
        <x:v>46313</x:v>
      </x:c>
      <x:c r="J244" s="46">
        <x:v>81</x:v>
      </x:c>
      <x:c r="K244" s="47">
        <x:f>(F244-(0)+0-(J244*Ventas!AE247*1.0556))</x:f>
      </x:c>
      <x:c r="L244" s="49">
        <x:f>(K244/(Ventas!AE247*1.0556)/80)</x:f>
      </x:c>
      <x:c r="M244" s="51">
        <x:f>(G244+0)</x:f>
      </x:c>
      <x:c r="N244" s="40"/>
      <x:c r="O244" s="54">
        <x:f>(H244+0)</x:f>
      </x:c>
      <x:c r="P244" s="43"/>
      <x:c r="Q244" s="55">
        <x:f>(K244+M244+O244)</x:f>
      </x:c>
      <x:c r="R244" s="56">
        <x:f>(((L244*7)+(N244*1)+(P244*0))/8)</x:f>
      </x:c>
      <x:c r="S244" s="47">
        <x:f>(180*(Ventas!AE247*0.9644) - IF(K244&gt;0,K244,0))</x:f>
      </x:c>
      <x:c r="T244" s="47">
        <x:f>IF(S244&gt;0,S244,0)</x:f>
      </x:c>
      <x:c r="U244" s="40"/>
      <x:c r="V244" s="40"/>
      <x:c r="W244" s="43"/>
      <x:c r="X244" s="43"/>
      <x:c r="Y244" s="47">
        <x:f>IF(K244&gt;0,K244+IF(T244&gt;0,T244,0),T244)</x:f>
      </x:c>
      <x:c r="Z244" s="40"/>
      <x:c r="AA244" s="43"/>
      <x:c r="AB244" s="50">
        <x:v>2.2</x:v>
      </x:c>
      <x:c r="AC244" s="8">
        <x:v>3016</x:v>
      </x:c>
      <x:c r="AD244" s="40"/>
      <x:c r="AE244" s="40"/>
      <x:c r="AF244" s="43"/>
      <x:c r="AG244" s="43"/>
      <x:c r="AH244" s="47">
        <x:f>(Y244-(90*Ventas!AE247*0.9644))</x:f>
      </x:c>
      <x:c r="AI244" s="49">
        <x:f>(AH244/(Ventas!AE247*0.9644)/80)</x:f>
      </x:c>
      <x:c r="AJ244" s="40"/>
      <x:c r="AK244" s="40"/>
      <x:c r="AL244" s="43"/>
      <x:c r="AM244" s="43"/>
      <x:c r="AN244" s="55">
        <x:f>(IF(AH244&gt;0,AH244,0)+IF(AJ244&gt;0,AJ244,0)+IF(AL244&gt;0,AL244,0))</x:f>
      </x:c>
      <x:c r="AO244" s="56">
        <x:f>(((AI244*7)+(AK244*1)+(AM244*1))/8)</x:f>
      </x:c>
      <x:c r="AP244" s="4" t="s">
        <x:v>35</x:v>
      </x:c>
    </x:row>
    <x:row r="245">
      <x:c r="A245" s="4" t="s">
        <x:v>763</x:v>
      </x:c>
      <x:c r="B245" s="4" t="s">
        <x:v>762</x:v>
      </x:c>
      <x:c r="C245" s="38" t="s">
        <x:v>761</x:v>
      </x:c>
      <x:c r="D245" s="41"/>
      <x:c r="E245" s="44"/>
      <x:c r="F245" s="8">
        <x:v>157</x:v>
      </x:c>
      <x:c r="G245" s="40"/>
      <x:c r="H245" s="43"/>
      <x:c r="I245" s="45">
        <x:v>46313</x:v>
      </x:c>
      <x:c r="J245" s="46">
        <x:v>81</x:v>
      </x:c>
      <x:c r="K245" s="47">
        <x:f>(F245-(0)+0-(J245*Ventas!AE248*1.0556))</x:f>
      </x:c>
      <x:c r="L245" s="49">
        <x:f>(K245/(Ventas!AE248*1.0556)/80)</x:f>
      </x:c>
      <x:c r="M245" s="51">
        <x:f>(G245+0)</x:f>
      </x:c>
      <x:c r="N245" s="40"/>
      <x:c r="O245" s="54">
        <x:f>(H245+0)</x:f>
      </x:c>
      <x:c r="P245" s="43"/>
      <x:c r="Q245" s="55">
        <x:f>(K245+M245+O245)</x:f>
      </x:c>
      <x:c r="R245" s="56">
        <x:f>(((L245*7)+(N245*1)+(P245*0))/8)</x:f>
      </x:c>
      <x:c r="S245" s="47">
        <x:f>(180*(Ventas!AE248*0.9644) - IF(K245&gt;0,K245,0))</x:f>
      </x:c>
      <x:c r="T245" s="47">
        <x:f>IF(S245&gt;0,S245,0)</x:f>
      </x:c>
      <x:c r="U245" s="40"/>
      <x:c r="V245" s="40"/>
      <x:c r="W245" s="43"/>
      <x:c r="X245" s="43"/>
      <x:c r="Y245" s="47">
        <x:f>IF(K245&gt;0,K245+IF(T245&gt;0,T245,0),T245)</x:f>
      </x:c>
      <x:c r="Z245" s="40"/>
      <x:c r="AA245" s="43"/>
      <x:c r="AB245" s="50">
        <x:v>2.4</x:v>
      </x:c>
      <x:c r="AC245" s="8">
        <x:v>3016</x:v>
      </x:c>
      <x:c r="AD245" s="40"/>
      <x:c r="AE245" s="40"/>
      <x:c r="AF245" s="43"/>
      <x:c r="AG245" s="43"/>
      <x:c r="AH245" s="47">
        <x:f>(Y245-(90*Ventas!AE248*0.9644))</x:f>
      </x:c>
      <x:c r="AI245" s="49">
        <x:f>(AH245/(Ventas!AE248*0.9644)/80)</x:f>
      </x:c>
      <x:c r="AJ245" s="40"/>
      <x:c r="AK245" s="40"/>
      <x:c r="AL245" s="43"/>
      <x:c r="AM245" s="43"/>
      <x:c r="AN245" s="55">
        <x:f>(IF(AH245&gt;0,AH245,0)+IF(AJ245&gt;0,AJ245,0)+IF(AL245&gt;0,AL245,0))</x:f>
      </x:c>
      <x:c r="AO245" s="56">
        <x:f>(((AI245*7)+(AK245*1)+(AM245*1))/8)</x:f>
      </x:c>
      <x:c r="AP245" s="4" t="s">
        <x:v>35</x:v>
      </x:c>
    </x:row>
    <x:row r="246">
      <x:c r="A246" s="4" t="s">
        <x:v>766</x:v>
      </x:c>
      <x:c r="B246" s="4" t="s">
        <x:v>765</x:v>
      </x:c>
      <x:c r="C246" s="38" t="s">
        <x:v>764</x:v>
      </x:c>
      <x:c r="D246" s="41"/>
      <x:c r="E246" s="44"/>
      <x:c r="F246" s="8">
        <x:v>2</x:v>
      </x:c>
      <x:c r="G246" s="40"/>
      <x:c r="H246" s="43"/>
      <x:c r="I246" s="45">
        <x:v>46313</x:v>
      </x:c>
      <x:c r="J246" s="46">
        <x:v>81</x:v>
      </x:c>
      <x:c r="K246" s="47">
        <x:f>(F246-(0)+0-(J246*Ventas!AE249*1.0556))</x:f>
      </x:c>
      <x:c r="L246" s="6"/>
      <x:c r="M246" s="51">
        <x:f>(G246+0)</x:f>
      </x:c>
      <x:c r="N246" s="40"/>
      <x:c r="O246" s="54">
        <x:f>(H246+0)</x:f>
      </x:c>
      <x:c r="P246" s="43"/>
      <x:c r="Q246" s="55">
        <x:f>(K246+M246+O246)</x:f>
      </x:c>
      <x:c r="R246" s="56">
        <x:f>(((L246*7)+(N246*1)+(P246*0))/8)</x:f>
      </x:c>
      <x:c r="S246" s="47">
        <x:f>(180*(Ventas!AE249*0.9644) - IF(K246&gt;0,K246,0))</x:f>
      </x:c>
      <x:c r="T246" s="47">
        <x:f>IF(S246&gt;0,S246,0)</x:f>
      </x:c>
      <x:c r="U246" s="40"/>
      <x:c r="V246" s="40"/>
      <x:c r="W246" s="43"/>
      <x:c r="X246" s="43"/>
      <x:c r="Y246" s="47">
        <x:f>IF(K246&gt;0,K246+IF(T246&gt;0,T246,0),T246)</x:f>
      </x:c>
      <x:c r="Z246" s="40"/>
      <x:c r="AA246" s="43"/>
      <x:c r="AB246" s="50">
        <x:v>22.8</x:v>
      </x:c>
      <x:c r="AC246" s="8">
        <x:v>3006</x:v>
      </x:c>
      <x:c r="AD246" s="40"/>
      <x:c r="AE246" s="40"/>
      <x:c r="AF246" s="43"/>
      <x:c r="AG246" s="43"/>
      <x:c r="AH246" s="6"/>
      <x:c r="AI246" s="6"/>
      <x:c r="AJ246" s="40"/>
      <x:c r="AK246" s="40"/>
      <x:c r="AL246" s="43"/>
      <x:c r="AM246" s="43"/>
      <x:c r="AN246" s="55">
        <x:f>(IF(AH246&gt;0,AH246,0)+IF(AJ246&gt;0,AJ246,0)+IF(AL246&gt;0,AL246,0))</x:f>
      </x:c>
      <x:c r="AO246" s="56">
        <x:f>(((AI246*7)+(AK246*1)+(AM246*1))/8)</x:f>
      </x:c>
      <x:c r="AP246" s="4" t="s">
        <x:v>51</x:v>
      </x:c>
    </x:row>
    <x:row r="247">
      <x:c r="A247" s="4" t="s">
        <x:v>769</x:v>
      </x:c>
      <x:c r="B247" s="4" t="s">
        <x:v>768</x:v>
      </x:c>
      <x:c r="C247" s="38" t="s">
        <x:v>767</x:v>
      </x:c>
      <x:c r="D247" s="41"/>
      <x:c r="E247" s="44"/>
      <x:c r="F247" s="6"/>
      <x:c r="G247" s="40"/>
      <x:c r="H247" s="43"/>
      <x:c r="I247" s="45">
        <x:v>46313</x:v>
      </x:c>
      <x:c r="J247" s="46">
        <x:v>81</x:v>
      </x:c>
      <x:c r="K247" s="47">
        <x:f>(F247-(0)+0-(J247*Ventas!AE250*1.0556))</x:f>
      </x:c>
      <x:c r="L247" s="6"/>
      <x:c r="M247" s="51">
        <x:f>(G247+0)</x:f>
      </x:c>
      <x:c r="N247" s="40"/>
      <x:c r="O247" s="54">
        <x:f>(H247+0)</x:f>
      </x:c>
      <x:c r="P247" s="43"/>
      <x:c r="Q247" s="55">
        <x:f>(K247+M247+O247)</x:f>
      </x:c>
      <x:c r="R247" s="56">
        <x:f>(((L247*7)+(N247*1)+(P247*0))/8)</x:f>
      </x:c>
      <x:c r="S247" s="47">
        <x:f>(180*(Ventas!AE250*0.9644) - IF(K247&gt;0,K247,0))</x:f>
      </x:c>
      <x:c r="T247" s="47">
        <x:f>IF(S247&gt;0,S247,0)</x:f>
      </x:c>
      <x:c r="U247" s="40"/>
      <x:c r="V247" s="40"/>
      <x:c r="W247" s="43"/>
      <x:c r="X247" s="43"/>
      <x:c r="Y247" s="47">
        <x:f>IF(K247&gt;0,K247+IF(T247&gt;0,T247,0),T247)</x:f>
      </x:c>
      <x:c r="Z247" s="40"/>
      <x:c r="AA247" s="43"/>
      <x:c r="AB247" s="50">
        <x:v>7.3</x:v>
      </x:c>
      <x:c r="AC247" s="8">
        <x:v>3016</x:v>
      </x:c>
      <x:c r="AD247" s="40"/>
      <x:c r="AE247" s="40"/>
      <x:c r="AF247" s="43"/>
      <x:c r="AG247" s="43"/>
      <x:c r="AH247" s="6"/>
      <x:c r="AI247" s="6"/>
      <x:c r="AJ247" s="40"/>
      <x:c r="AK247" s="40"/>
      <x:c r="AL247" s="43"/>
      <x:c r="AM247" s="43"/>
      <x:c r="AN247" s="55">
        <x:f>(IF(AH247&gt;0,AH247,0)+IF(AJ247&gt;0,AJ247,0)+IF(AL247&gt;0,AL247,0))</x:f>
      </x:c>
      <x:c r="AO247" s="56">
        <x:f>(((AI247*7)+(AK247*1)+(AM247*1))/8)</x:f>
      </x:c>
      <x:c r="AP247" s="4" t="s">
        <x:v>35</x:v>
      </x:c>
    </x:row>
    <x:row r="248">
      <x:c r="A248" s="4" t="s">
        <x:v>772</x:v>
      </x:c>
      <x:c r="B248" s="4" t="s">
        <x:v>771</x:v>
      </x:c>
      <x:c r="C248" s="38" t="s">
        <x:v>770</x:v>
      </x:c>
      <x:c r="D248" s="41"/>
      <x:c r="E248" s="44"/>
      <x:c r="F248" s="6"/>
      <x:c r="G248" s="40"/>
      <x:c r="H248" s="43"/>
      <x:c r="I248" s="45">
        <x:v>46313</x:v>
      </x:c>
      <x:c r="J248" s="46">
        <x:v>81</x:v>
      </x:c>
      <x:c r="K248" s="47">
        <x:f>(F248-(0)+0-(J248*Ventas!AE251*1.0556))</x:f>
      </x:c>
      <x:c r="L248" s="6"/>
      <x:c r="M248" s="51">
        <x:f>(G248+0)</x:f>
      </x:c>
      <x:c r="N248" s="40"/>
      <x:c r="O248" s="54">
        <x:f>(H248+0)</x:f>
      </x:c>
      <x:c r="P248" s="43"/>
      <x:c r="Q248" s="55">
        <x:f>(K248+M248+O248)</x:f>
      </x:c>
      <x:c r="R248" s="56">
        <x:f>(((L248*7)+(N248*1)+(P248*0))/8)</x:f>
      </x:c>
      <x:c r="S248" s="47">
        <x:f>(180*(Ventas!AE251*0.9644) - IF(K248&gt;0,K248,0))</x:f>
      </x:c>
      <x:c r="T248" s="47">
        <x:f>IF(S248&gt;0,S248,0)</x:f>
      </x:c>
      <x:c r="U248" s="40"/>
      <x:c r="V248" s="40"/>
      <x:c r="W248" s="43"/>
      <x:c r="X248" s="43"/>
      <x:c r="Y248" s="47">
        <x:f>IF(K248&gt;0,K248+IF(T248&gt;0,T248,0),T248)</x:f>
      </x:c>
      <x:c r="Z248" s="40"/>
      <x:c r="AA248" s="43"/>
      <x:c r="AB248" s="6"/>
      <x:c r="AC248" s="6"/>
      <x:c r="AD248" s="40"/>
      <x:c r="AE248" s="40"/>
      <x:c r="AF248" s="43"/>
      <x:c r="AG248" s="43"/>
      <x:c r="AH248" s="6"/>
      <x:c r="AI248" s="6"/>
      <x:c r="AJ248" s="40"/>
      <x:c r="AK248" s="40"/>
      <x:c r="AL248" s="43"/>
      <x:c r="AM248" s="43"/>
      <x:c r="AN248" s="55">
        <x:f>(IF(AH248&gt;0,AH248,0)+IF(AJ248&gt;0,AJ248,0)+IF(AL248&gt;0,AL248,0))</x:f>
      </x:c>
      <x:c r="AO248" s="56">
        <x:f>(((AI248*7)+(AK248*1)+(AM248*1))/8)</x:f>
      </x:c>
      <x:c r="AP248" s="4" t="s">
        <x:v>51</x:v>
      </x:c>
    </x:row>
    <x:row r="249">
      <x:c r="A249" s="4" t="s">
        <x:v>775</x:v>
      </x:c>
      <x:c r="B249" s="4" t="s">
        <x:v>774</x:v>
      </x:c>
      <x:c r="C249" s="38" t="s">
        <x:v>773</x:v>
      </x:c>
      <x:c r="D249" s="41"/>
      <x:c r="E249" s="44"/>
      <x:c r="F249" s="6"/>
      <x:c r="G249" s="40"/>
      <x:c r="H249" s="43"/>
      <x:c r="I249" s="45">
        <x:v>46313</x:v>
      </x:c>
      <x:c r="J249" s="46">
        <x:v>81</x:v>
      </x:c>
      <x:c r="K249" s="47">
        <x:f>(F249-(0)+0-(J249*Ventas!AE252*1.0556))</x:f>
      </x:c>
      <x:c r="L249" s="6"/>
      <x:c r="M249" s="51">
        <x:f>(G249+0)</x:f>
      </x:c>
      <x:c r="N249" s="40"/>
      <x:c r="O249" s="54">
        <x:f>(H249+0)</x:f>
      </x:c>
      <x:c r="P249" s="43"/>
      <x:c r="Q249" s="55">
        <x:f>(K249+M249+O249)</x:f>
      </x:c>
      <x:c r="R249" s="56">
        <x:f>(((L249*7)+(N249*1)+(P249*0))/8)</x:f>
      </x:c>
      <x:c r="S249" s="47">
        <x:f>(180*(Ventas!AE252*0.9644) - IF(K249&gt;0,K249,0))</x:f>
      </x:c>
      <x:c r="T249" s="47">
        <x:f>IF(S249&gt;0,S249,0)</x:f>
      </x:c>
      <x:c r="U249" s="40"/>
      <x:c r="V249" s="40"/>
      <x:c r="W249" s="43"/>
      <x:c r="X249" s="43"/>
      <x:c r="Y249" s="47">
        <x:f>IF(K249&gt;0,K249+IF(T249&gt;0,T249,0),T249)</x:f>
      </x:c>
      <x:c r="Z249" s="40"/>
      <x:c r="AA249" s="43"/>
      <x:c r="AB249" s="50">
        <x:v>11.35</x:v>
      </x:c>
      <x:c r="AC249" s="8">
        <x:v>3013</x:v>
      </x:c>
      <x:c r="AD249" s="40"/>
      <x:c r="AE249" s="40"/>
      <x:c r="AF249" s="43"/>
      <x:c r="AG249" s="43"/>
      <x:c r="AH249" s="6"/>
      <x:c r="AI249" s="6"/>
      <x:c r="AJ249" s="40"/>
      <x:c r="AK249" s="40"/>
      <x:c r="AL249" s="43"/>
      <x:c r="AM249" s="43"/>
      <x:c r="AN249" s="55">
        <x:f>(IF(AH249&gt;0,AH249,0)+IF(AJ249&gt;0,AJ249,0)+IF(AL249&gt;0,AL249,0))</x:f>
      </x:c>
      <x:c r="AO249" s="56">
        <x:f>(((AI249*7)+(AK249*1)+(AM249*1))/8)</x:f>
      </x:c>
      <x:c r="AP249" s="4" t="s">
        <x:v>35</x:v>
      </x:c>
    </x:row>
    <x:row r="250">
      <x:c r="A250" s="4" t="s">
        <x:v>778</x:v>
      </x:c>
      <x:c r="B250" s="4" t="s">
        <x:v>777</x:v>
      </x:c>
      <x:c r="C250" s="38" t="s">
        <x:v>776</x:v>
      </x:c>
      <x:c r="D250" s="41"/>
      <x:c r="E250" s="44"/>
      <x:c r="F250" s="8">
        <x:v>7</x:v>
      </x:c>
      <x:c r="G250" s="40"/>
      <x:c r="H250" s="43"/>
      <x:c r="I250" s="45">
        <x:v>46313</x:v>
      </x:c>
      <x:c r="J250" s="46">
        <x:v>81</x:v>
      </x:c>
      <x:c r="K250" s="47">
        <x:f>(F250-(0)+0-(J250*Ventas!AE253*1.0556))</x:f>
      </x:c>
      <x:c r="L250" s="49">
        <x:f>(K250/(Ventas!AE253*1.0556)/80)</x:f>
      </x:c>
      <x:c r="M250" s="51">
        <x:f>(G250+0)</x:f>
      </x:c>
      <x:c r="N250" s="40"/>
      <x:c r="O250" s="54">
        <x:f>(H250+0)</x:f>
      </x:c>
      <x:c r="P250" s="43"/>
      <x:c r="Q250" s="55">
        <x:f>(K250+M250+O250)</x:f>
      </x:c>
      <x:c r="R250" s="56">
        <x:f>(((L250*7)+(N250*1)+(P250*0))/8)</x:f>
      </x:c>
      <x:c r="S250" s="47">
        <x:f>(180*(Ventas!AE253*0.9644) - IF(K250&gt;0,K250,0))</x:f>
      </x:c>
      <x:c r="T250" s="47">
        <x:f>IF(S250&gt;0,S250,0)</x:f>
      </x:c>
      <x:c r="U250" s="40"/>
      <x:c r="V250" s="40"/>
      <x:c r="W250" s="43"/>
      <x:c r="X250" s="43"/>
      <x:c r="Y250" s="47">
        <x:f>IF(K250&gt;0,K250+IF(T250&gt;0,T250,0),T250)</x:f>
      </x:c>
      <x:c r="Z250" s="40"/>
      <x:c r="AA250" s="43"/>
      <x:c r="AB250" s="50">
        <x:v>2.6</x:v>
      </x:c>
      <x:c r="AC250" s="8">
        <x:v>3016</x:v>
      </x:c>
      <x:c r="AD250" s="40"/>
      <x:c r="AE250" s="40"/>
      <x:c r="AF250" s="43"/>
      <x:c r="AG250" s="43"/>
      <x:c r="AH250" s="47">
        <x:f>(Y250-(90*Ventas!AE253*0.9644))</x:f>
      </x:c>
      <x:c r="AI250" s="49">
        <x:f>(AH250/(Ventas!AE253*0.9644)/80)</x:f>
      </x:c>
      <x:c r="AJ250" s="40"/>
      <x:c r="AK250" s="40"/>
      <x:c r="AL250" s="43"/>
      <x:c r="AM250" s="43"/>
      <x:c r="AN250" s="55">
        <x:f>(IF(AH250&gt;0,AH250,0)+IF(AJ250&gt;0,AJ250,0)+IF(AL250&gt;0,AL250,0))</x:f>
      </x:c>
      <x:c r="AO250" s="56">
        <x:f>(((AI250*7)+(AK250*1)+(AM250*1))/8)</x:f>
      </x:c>
      <x:c r="AP250" s="4" t="s">
        <x:v>35</x:v>
      </x:c>
    </x:row>
    <x:row r="251">
      <x:c r="A251" s="4" t="s">
        <x:v>781</x:v>
      </x:c>
      <x:c r="B251" s="4" t="s">
        <x:v>780</x:v>
      </x:c>
      <x:c r="C251" s="38" t="s">
        <x:v>779</x:v>
      </x:c>
      <x:c r="D251" s="41"/>
      <x:c r="E251" s="44"/>
      <x:c r="F251" s="6"/>
      <x:c r="G251" s="40"/>
      <x:c r="H251" s="43"/>
      <x:c r="I251" s="45">
        <x:v>46313</x:v>
      </x:c>
      <x:c r="J251" s="46">
        <x:v>81</x:v>
      </x:c>
      <x:c r="K251" s="47">
        <x:f>(F251-(0)+0-(J251*Ventas!AE254*1.0556))</x:f>
      </x:c>
      <x:c r="L251" s="6"/>
      <x:c r="M251" s="51">
        <x:f>(G251+0)</x:f>
      </x:c>
      <x:c r="N251" s="40"/>
      <x:c r="O251" s="54">
        <x:f>(H251+0)</x:f>
      </x:c>
      <x:c r="P251" s="43"/>
      <x:c r="Q251" s="55">
        <x:f>(K251+M251+O251)</x:f>
      </x:c>
      <x:c r="R251" s="56">
        <x:f>(((L251*7)+(N251*1)+(P251*0))/8)</x:f>
      </x:c>
      <x:c r="S251" s="47">
        <x:f>(180*(Ventas!AE254*0.9644) - IF(K251&gt;0,K251,0))</x:f>
      </x:c>
      <x:c r="T251" s="47">
        <x:f>IF(S251&gt;0,S251,0)</x:f>
      </x:c>
      <x:c r="U251" s="40"/>
      <x:c r="V251" s="40"/>
      <x:c r="W251" s="43"/>
      <x:c r="X251" s="43"/>
      <x:c r="Y251" s="47">
        <x:f>IF(K251&gt;0,K251+IF(T251&gt;0,T251,0),T251)</x:f>
      </x:c>
      <x:c r="Z251" s="40"/>
      <x:c r="AA251" s="43"/>
      <x:c r="AB251" s="6"/>
      <x:c r="AC251" s="6"/>
      <x:c r="AD251" s="40"/>
      <x:c r="AE251" s="40"/>
      <x:c r="AF251" s="43"/>
      <x:c r="AG251" s="43"/>
      <x:c r="AH251" s="6"/>
      <x:c r="AI251" s="6"/>
      <x:c r="AJ251" s="40"/>
      <x:c r="AK251" s="40"/>
      <x:c r="AL251" s="43"/>
      <x:c r="AM251" s="43"/>
      <x:c r="AN251" s="55">
        <x:f>(IF(AH251&gt;0,AH251,0)+IF(AJ251&gt;0,AJ251,0)+IF(AL251&gt;0,AL251,0))</x:f>
      </x:c>
      <x:c r="AO251" s="56">
        <x:f>(((AI251*7)+(AK251*1)+(AM251*1))/8)</x:f>
      </x:c>
      <x:c r="AP251" s="4" t="s">
        <x:v>51</x:v>
      </x:c>
    </x:row>
    <x:row r="252">
      <x:c r="A252" s="4" t="s">
        <x:v>787</x:v>
      </x:c>
      <x:c r="B252" s="4" t="s">
        <x:v>786</x:v>
      </x:c>
      <x:c r="C252" s="38" t="s">
        <x:v>785</x:v>
      </x:c>
      <x:c r="D252" s="41"/>
      <x:c r="E252" s="44"/>
      <x:c r="F252" s="6"/>
      <x:c r="G252" s="40"/>
      <x:c r="H252" s="43"/>
      <x:c r="I252" s="45">
        <x:v>46313</x:v>
      </x:c>
      <x:c r="J252" s="46">
        <x:v>81</x:v>
      </x:c>
      <x:c r="K252" s="47">
        <x:f>(F252-(0)+0-(J252*Ventas!AE256*1.0556))</x:f>
      </x:c>
      <x:c r="L252" s="6"/>
      <x:c r="M252" s="51">
        <x:f>(G252+0)</x:f>
      </x:c>
      <x:c r="N252" s="40"/>
      <x:c r="O252" s="54">
        <x:f>(H252+0)</x:f>
      </x:c>
      <x:c r="P252" s="43"/>
      <x:c r="Q252" s="55">
        <x:f>(K252+M252+O252)</x:f>
      </x:c>
      <x:c r="R252" s="56">
        <x:f>(((L252*7)+(N252*1)+(P252*0))/8)</x:f>
      </x:c>
      <x:c r="S252" s="47">
        <x:f>(180*(Ventas!AE256*0.9644) - IF(K252&gt;0,K252,0))</x:f>
      </x:c>
      <x:c r="T252" s="47">
        <x:f>IF(S252&gt;0,S252,0)</x:f>
      </x:c>
      <x:c r="U252" s="40"/>
      <x:c r="V252" s="40"/>
      <x:c r="W252" s="43"/>
      <x:c r="X252" s="43"/>
      <x:c r="Y252" s="47">
        <x:f>IF(K252&gt;0,K252+IF(T252&gt;0,T252,0),T252)</x:f>
      </x:c>
      <x:c r="Z252" s="40"/>
      <x:c r="AA252" s="43"/>
      <x:c r="AB252" s="6"/>
      <x:c r="AC252" s="6"/>
      <x:c r="AD252" s="40"/>
      <x:c r="AE252" s="40"/>
      <x:c r="AF252" s="43"/>
      <x:c r="AG252" s="43"/>
      <x:c r="AH252" s="6"/>
      <x:c r="AI252" s="6"/>
      <x:c r="AJ252" s="40"/>
      <x:c r="AK252" s="40"/>
      <x:c r="AL252" s="43"/>
      <x:c r="AM252" s="43"/>
      <x:c r="AN252" s="55">
        <x:f>(IF(AH252&gt;0,AH252,0)+IF(AJ252&gt;0,AJ252,0)+IF(AL252&gt;0,AL252,0))</x:f>
      </x:c>
      <x:c r="AO252" s="56">
        <x:f>(((AI252*7)+(AK252*1)+(AM252*1))/8)</x:f>
      </x:c>
      <x:c r="AP252" s="4" t="s">
        <x:v>35</x:v>
      </x:c>
    </x:row>
    <x:row r="253">
      <x:c r="A253" s="4" t="s">
        <x:v>790</x:v>
      </x:c>
      <x:c r="B253" s="4" t="s">
        <x:v>789</x:v>
      </x:c>
      <x:c r="C253" s="38" t="s">
        <x:v>788</x:v>
      </x:c>
      <x:c r="D253" s="41"/>
      <x:c r="E253" s="44"/>
      <x:c r="F253" s="6"/>
      <x:c r="G253" s="40"/>
      <x:c r="H253" s="43"/>
      <x:c r="I253" s="45">
        <x:v>46313</x:v>
      </x:c>
      <x:c r="J253" s="46">
        <x:v>81</x:v>
      </x:c>
      <x:c r="K253" s="47">
        <x:f>(F253-(0)+0-(J253*Ventas!AE257*1.0556))</x:f>
      </x:c>
      <x:c r="L253" s="6"/>
      <x:c r="M253" s="51">
        <x:f>(G253+0)</x:f>
      </x:c>
      <x:c r="N253" s="40"/>
      <x:c r="O253" s="54">
        <x:f>(H253+0)</x:f>
      </x:c>
      <x:c r="P253" s="43"/>
      <x:c r="Q253" s="55">
        <x:f>(K253+M253+O253)</x:f>
      </x:c>
      <x:c r="R253" s="56">
        <x:f>(((L253*7)+(N253*1)+(P253*0))/8)</x:f>
      </x:c>
      <x:c r="S253" s="47">
        <x:f>(180*(Ventas!AE257*0.9644) - IF(K253&gt;0,K253,0))</x:f>
      </x:c>
      <x:c r="T253" s="47">
        <x:f>IF(S253&gt;0,S253,0)</x:f>
      </x:c>
      <x:c r="U253" s="40"/>
      <x:c r="V253" s="40"/>
      <x:c r="W253" s="43"/>
      <x:c r="X253" s="43"/>
      <x:c r="Y253" s="47">
        <x:f>IF(K253&gt;0,K253+IF(T253&gt;0,T253,0),T253)</x:f>
      </x:c>
      <x:c r="Z253" s="40"/>
      <x:c r="AA253" s="43"/>
      <x:c r="AB253" s="6"/>
      <x:c r="AC253" s="6"/>
      <x:c r="AD253" s="40"/>
      <x:c r="AE253" s="40"/>
      <x:c r="AF253" s="43"/>
      <x:c r="AG253" s="43"/>
      <x:c r="AH253" s="6"/>
      <x:c r="AI253" s="6"/>
      <x:c r="AJ253" s="40"/>
      <x:c r="AK253" s="40"/>
      <x:c r="AL253" s="43"/>
      <x:c r="AM253" s="43"/>
      <x:c r="AN253" s="55">
        <x:f>(IF(AH253&gt;0,AH253,0)+IF(AJ253&gt;0,AJ253,0)+IF(AL253&gt;0,AL253,0))</x:f>
      </x:c>
      <x:c r="AO253" s="56">
        <x:f>(((AI253*7)+(AK253*1)+(AM253*1))/8)</x:f>
      </x:c>
      <x:c r="AP253" s="4" t="s">
        <x:v>51</x:v>
      </x:c>
    </x:row>
    <x:row r="254">
      <x:c r="A254" s="4"/>
      <x:c r="B254" s="4" t="s">
        <x:v>792</x:v>
      </x:c>
      <x:c r="C254" s="38" t="s">
        <x:v>791</x:v>
      </x:c>
      <x:c r="D254" s="41"/>
      <x:c r="E254" s="44"/>
      <x:c r="F254" s="6"/>
      <x:c r="G254" s="40"/>
      <x:c r="H254" s="43"/>
      <x:c r="I254" s="45">
        <x:v>46313</x:v>
      </x:c>
      <x:c r="J254" s="46">
        <x:v>81</x:v>
      </x:c>
      <x:c r="K254" s="47">
        <x:f>(F254-(0)+0-(J254*Ventas!AE258*1.0556))</x:f>
      </x:c>
      <x:c r="L254" s="6"/>
      <x:c r="M254" s="51">
        <x:f>(G254+0)</x:f>
      </x:c>
      <x:c r="N254" s="40"/>
      <x:c r="O254" s="54">
        <x:f>(H254+0)</x:f>
      </x:c>
      <x:c r="P254" s="43"/>
      <x:c r="Q254" s="55">
        <x:f>(K254+M254+O254)</x:f>
      </x:c>
      <x:c r="R254" s="56">
        <x:f>(((L254*7)+(N254*1)+(P254*0))/8)</x:f>
      </x:c>
      <x:c r="S254" s="47">
        <x:f>(180*(Ventas!AE258*0.9644) - IF(K254&gt;0,K254,0))</x:f>
      </x:c>
      <x:c r="T254" s="47">
        <x:f>IF(S254&gt;0,S254,0)</x:f>
      </x:c>
      <x:c r="U254" s="40"/>
      <x:c r="V254" s="40"/>
      <x:c r="W254" s="43"/>
      <x:c r="X254" s="43"/>
      <x:c r="Y254" s="47">
        <x:f>IF(K254&gt;0,K254+IF(T254&gt;0,T254,0),T254)</x:f>
      </x:c>
      <x:c r="Z254" s="40"/>
      <x:c r="AA254" s="43"/>
      <x:c r="AB254" s="6"/>
      <x:c r="AC254" s="6"/>
      <x:c r="AD254" s="40"/>
      <x:c r="AE254" s="40"/>
      <x:c r="AF254" s="43"/>
      <x:c r="AG254" s="43"/>
      <x:c r="AH254" s="6"/>
      <x:c r="AI254" s="6"/>
      <x:c r="AJ254" s="40"/>
      <x:c r="AK254" s="40"/>
      <x:c r="AL254" s="43"/>
      <x:c r="AM254" s="43"/>
      <x:c r="AN254" s="55">
        <x:f>(IF(AH254&gt;0,AH254,0)+IF(AJ254&gt;0,AJ254,0)+IF(AL254&gt;0,AL254,0))</x:f>
      </x:c>
      <x:c r="AO254" s="56">
        <x:f>(((AI254*7)+(AK254*1)+(AM254*1))/8)</x:f>
      </x:c>
      <x:c r="AP254" s="4" t="s">
        <x:v>35</x:v>
      </x:c>
    </x:row>
    <x:row r="255">
      <x:c r="A255" s="4" t="s">
        <x:v>795</x:v>
      </x:c>
      <x:c r="B255" s="4" t="s">
        <x:v>794</x:v>
      </x:c>
      <x:c r="C255" s="38" t="s">
        <x:v>793</x:v>
      </x:c>
      <x:c r="D255" s="41"/>
      <x:c r="E255" s="44"/>
      <x:c r="F255" s="6"/>
      <x:c r="G255" s="40"/>
      <x:c r="H255" s="43"/>
      <x:c r="I255" s="45">
        <x:v>46313</x:v>
      </x:c>
      <x:c r="J255" s="46">
        <x:v>81</x:v>
      </x:c>
      <x:c r="K255" s="47">
        <x:f>(F255-(0)+0-(J255*Ventas!AE259*1.0556))</x:f>
      </x:c>
      <x:c r="L255" s="6"/>
      <x:c r="M255" s="51">
        <x:f>(G255+0)</x:f>
      </x:c>
      <x:c r="N255" s="40"/>
      <x:c r="O255" s="54">
        <x:f>(H255+0)</x:f>
      </x:c>
      <x:c r="P255" s="43"/>
      <x:c r="Q255" s="55">
        <x:f>(K255+M255+O255)</x:f>
      </x:c>
      <x:c r="R255" s="56">
        <x:f>(((L255*7)+(N255*1)+(P255*0))/8)</x:f>
      </x:c>
      <x:c r="S255" s="47">
        <x:f>(180*(Ventas!AE259*0.9644) - IF(K255&gt;0,K255,0))</x:f>
      </x:c>
      <x:c r="T255" s="47">
        <x:f>IF(S255&gt;0,S255,0)</x:f>
      </x:c>
      <x:c r="U255" s="40"/>
      <x:c r="V255" s="40"/>
      <x:c r="W255" s="43"/>
      <x:c r="X255" s="43"/>
      <x:c r="Y255" s="47">
        <x:f>IF(K255&gt;0,K255+IF(T255&gt;0,T255,0),T255)</x:f>
      </x:c>
      <x:c r="Z255" s="40"/>
      <x:c r="AA255" s="43"/>
      <x:c r="AB255" s="6"/>
      <x:c r="AC255" s="6"/>
      <x:c r="AD255" s="40"/>
      <x:c r="AE255" s="40"/>
      <x:c r="AF255" s="43"/>
      <x:c r="AG255" s="43"/>
      <x:c r="AH255" s="6"/>
      <x:c r="AI255" s="6"/>
      <x:c r="AJ255" s="40"/>
      <x:c r="AK255" s="40"/>
      <x:c r="AL255" s="43"/>
      <x:c r="AM255" s="43"/>
      <x:c r="AN255" s="55">
        <x:f>(IF(AH255&gt;0,AH255,0)+IF(AJ255&gt;0,AJ255,0)+IF(AL255&gt;0,AL255,0))</x:f>
      </x:c>
      <x:c r="AO255" s="56">
        <x:f>(((AI255*7)+(AK255*1)+(AM255*1))/8)</x:f>
      </x:c>
      <x:c r="AP255" s="4" t="s">
        <x:v>51</x:v>
      </x:c>
    </x:row>
    <x:row r="256">
      <x:c r="A256" s="4" t="s">
        <x:v>798</x:v>
      </x:c>
      <x:c r="B256" s="4" t="s">
        <x:v>797</x:v>
      </x:c>
      <x:c r="C256" s="38" t="s">
        <x:v>796</x:v>
      </x:c>
      <x:c r="D256" s="41"/>
      <x:c r="E256" s="44"/>
      <x:c r="F256" s="6"/>
      <x:c r="G256" s="40"/>
      <x:c r="H256" s="43"/>
      <x:c r="I256" s="45">
        <x:v>46313</x:v>
      </x:c>
      <x:c r="J256" s="46">
        <x:v>81</x:v>
      </x:c>
      <x:c r="K256" s="47">
        <x:f>(F256-(0)+0-(J256*Ventas!AE260*1.0556))</x:f>
      </x:c>
      <x:c r="L256" s="6"/>
      <x:c r="M256" s="51">
        <x:f>(G256+0)</x:f>
      </x:c>
      <x:c r="N256" s="40"/>
      <x:c r="O256" s="54">
        <x:f>(H256+0)</x:f>
      </x:c>
      <x:c r="P256" s="43"/>
      <x:c r="Q256" s="55">
        <x:f>(K256+M256+O256)</x:f>
      </x:c>
      <x:c r="R256" s="56">
        <x:f>(((L256*7)+(N256*1)+(P256*0))/8)</x:f>
      </x:c>
      <x:c r="S256" s="47">
        <x:f>(180*(Ventas!AE260*0.9644) - IF(K256&gt;0,K256,0))</x:f>
      </x:c>
      <x:c r="T256" s="47">
        <x:f>IF(S256&gt;0,S256,0)</x:f>
      </x:c>
      <x:c r="U256" s="40"/>
      <x:c r="V256" s="40"/>
      <x:c r="W256" s="43"/>
      <x:c r="X256" s="43"/>
      <x:c r="Y256" s="47">
        <x:f>IF(K256&gt;0,K256+IF(T256&gt;0,T256,0),T256)</x:f>
      </x:c>
      <x:c r="Z256" s="40"/>
      <x:c r="AA256" s="43"/>
      <x:c r="AB256" s="6"/>
      <x:c r="AC256" s="6"/>
      <x:c r="AD256" s="40"/>
      <x:c r="AE256" s="40"/>
      <x:c r="AF256" s="43"/>
      <x:c r="AG256" s="43"/>
      <x:c r="AH256" s="6"/>
      <x:c r="AI256" s="6"/>
      <x:c r="AJ256" s="40"/>
      <x:c r="AK256" s="40"/>
      <x:c r="AL256" s="43"/>
      <x:c r="AM256" s="43"/>
      <x:c r="AN256" s="55">
        <x:f>(IF(AH256&gt;0,AH256,0)+IF(AJ256&gt;0,AJ256,0)+IF(AL256&gt;0,AL256,0))</x:f>
      </x:c>
      <x:c r="AO256" s="56">
        <x:f>(((AI256*7)+(AK256*1)+(AM256*1))/8)</x:f>
      </x:c>
      <x:c r="AP256" s="4" t="s">
        <x:v>51</x:v>
      </x:c>
    </x:row>
    <x:row r="257">
      <x:c r="A257" s="4" t="s">
        <x:v>801</x:v>
      </x:c>
      <x:c r="B257" s="4" t="s">
        <x:v>800</x:v>
      </x:c>
      <x:c r="C257" s="38" t="s">
        <x:v>799</x:v>
      </x:c>
      <x:c r="D257" s="41"/>
      <x:c r="E257" s="44"/>
      <x:c r="F257" s="6"/>
      <x:c r="G257" s="40"/>
      <x:c r="H257" s="43"/>
      <x:c r="I257" s="45">
        <x:v>46313</x:v>
      </x:c>
      <x:c r="J257" s="46">
        <x:v>81</x:v>
      </x:c>
      <x:c r="K257" s="47">
        <x:f>(F257-(0)+0-(J257*Ventas!AE261*1.0556))</x:f>
      </x:c>
      <x:c r="L257" s="6"/>
      <x:c r="M257" s="51">
        <x:f>(G257+0)</x:f>
      </x:c>
      <x:c r="N257" s="40"/>
      <x:c r="O257" s="54">
        <x:f>(H257+0)</x:f>
      </x:c>
      <x:c r="P257" s="43"/>
      <x:c r="Q257" s="55">
        <x:f>(K257+M257+O257)</x:f>
      </x:c>
      <x:c r="R257" s="56">
        <x:f>(((L257*7)+(N257*1)+(P257*0))/8)</x:f>
      </x:c>
      <x:c r="S257" s="47">
        <x:f>(180*(Ventas!AE261*0.9644) - IF(K257&gt;0,K257,0))</x:f>
      </x:c>
      <x:c r="T257" s="47">
        <x:f>IF(S257&gt;0,S257,0)</x:f>
      </x:c>
      <x:c r="U257" s="40"/>
      <x:c r="V257" s="40"/>
      <x:c r="W257" s="43"/>
      <x:c r="X257" s="43"/>
      <x:c r="Y257" s="47">
        <x:f>IF(K257&gt;0,K257+IF(T257&gt;0,T257,0),T257)</x:f>
      </x:c>
      <x:c r="Z257" s="40"/>
      <x:c r="AA257" s="43"/>
      <x:c r="AB257" s="6"/>
      <x:c r="AC257" s="6"/>
      <x:c r="AD257" s="40"/>
      <x:c r="AE257" s="40"/>
      <x:c r="AF257" s="43"/>
      <x:c r="AG257" s="43"/>
      <x:c r="AH257" s="6"/>
      <x:c r="AI257" s="6"/>
      <x:c r="AJ257" s="40"/>
      <x:c r="AK257" s="40"/>
      <x:c r="AL257" s="43"/>
      <x:c r="AM257" s="43"/>
      <x:c r="AN257" s="55">
        <x:f>(IF(AH257&gt;0,AH257,0)+IF(AJ257&gt;0,AJ257,0)+IF(AL257&gt;0,AL257,0))</x:f>
      </x:c>
      <x:c r="AO257" s="56">
        <x:f>(((AI257*7)+(AK257*1)+(AM257*1))/8)</x:f>
      </x:c>
      <x:c r="AP257" s="4" t="s">
        <x:v>51</x:v>
      </x:c>
    </x:row>
    <x:row r="258">
      <x:c r="A258" s="4" t="s">
        <x:v>804</x:v>
      </x:c>
      <x:c r="B258" s="4" t="s">
        <x:v>803</x:v>
      </x:c>
      <x:c r="C258" s="38" t="s">
        <x:v>802</x:v>
      </x:c>
      <x:c r="D258" s="41"/>
      <x:c r="E258" s="44"/>
      <x:c r="F258" s="6"/>
      <x:c r="G258" s="40"/>
      <x:c r="H258" s="43"/>
      <x:c r="I258" s="45">
        <x:v>46313</x:v>
      </x:c>
      <x:c r="J258" s="46">
        <x:v>81</x:v>
      </x:c>
      <x:c r="K258" s="47">
        <x:f>(F258-(0)+0-(J258*Ventas!AE262*1.0556))</x:f>
      </x:c>
      <x:c r="L258" s="6"/>
      <x:c r="M258" s="51">
        <x:f>(G258+0)</x:f>
      </x:c>
      <x:c r="N258" s="40"/>
      <x:c r="O258" s="54">
        <x:f>(H258+0)</x:f>
      </x:c>
      <x:c r="P258" s="43"/>
      <x:c r="Q258" s="55">
        <x:f>(K258+M258+O258)</x:f>
      </x:c>
      <x:c r="R258" s="56">
        <x:f>(((L258*7)+(N258*1)+(P258*0))/8)</x:f>
      </x:c>
      <x:c r="S258" s="47">
        <x:f>(180*(Ventas!AE262*0.9644) - IF(K258&gt;0,K258,0))</x:f>
      </x:c>
      <x:c r="T258" s="47">
        <x:f>IF(S258&gt;0,S258,0)</x:f>
      </x:c>
      <x:c r="U258" s="40"/>
      <x:c r="V258" s="40"/>
      <x:c r="W258" s="43"/>
      <x:c r="X258" s="43"/>
      <x:c r="Y258" s="47">
        <x:f>IF(K258&gt;0,K258+IF(T258&gt;0,T258,0),T258)</x:f>
      </x:c>
      <x:c r="Z258" s="40"/>
      <x:c r="AA258" s="43"/>
      <x:c r="AB258" s="6"/>
      <x:c r="AC258" s="6"/>
      <x:c r="AD258" s="40"/>
      <x:c r="AE258" s="40"/>
      <x:c r="AF258" s="43"/>
      <x:c r="AG258" s="43"/>
      <x:c r="AH258" s="6"/>
      <x:c r="AI258" s="6"/>
      <x:c r="AJ258" s="40"/>
      <x:c r="AK258" s="40"/>
      <x:c r="AL258" s="43"/>
      <x:c r="AM258" s="43"/>
      <x:c r="AN258" s="55">
        <x:f>(IF(AH258&gt;0,AH258,0)+IF(AJ258&gt;0,AJ258,0)+IF(AL258&gt;0,AL258,0))</x:f>
      </x:c>
      <x:c r="AO258" s="56">
        <x:f>(((AI258*7)+(AK258*1)+(AM258*1))/8)</x:f>
      </x:c>
      <x:c r="AP258" s="4" t="s">
        <x:v>51</x:v>
      </x:c>
    </x:row>
    <x:row r="259">
      <x:c r="A259" s="4" t="s">
        <x:v>807</x:v>
      </x:c>
      <x:c r="B259" s="4" t="s">
        <x:v>806</x:v>
      </x:c>
      <x:c r="C259" s="38" t="s">
        <x:v>805</x:v>
      </x:c>
      <x:c r="D259" s="41"/>
      <x:c r="E259" s="44"/>
      <x:c r="F259" s="6"/>
      <x:c r="G259" s="40"/>
      <x:c r="H259" s="43"/>
      <x:c r="I259" s="45">
        <x:v>46313</x:v>
      </x:c>
      <x:c r="J259" s="46">
        <x:v>81</x:v>
      </x:c>
      <x:c r="K259" s="47">
        <x:f>(F259-(0)+0-(J259*Ventas!AE263*1.0556))</x:f>
      </x:c>
      <x:c r="L259" s="6"/>
      <x:c r="M259" s="51">
        <x:f>(G259+0)</x:f>
      </x:c>
      <x:c r="N259" s="40"/>
      <x:c r="O259" s="54">
        <x:f>(H259+0)</x:f>
      </x:c>
      <x:c r="P259" s="43"/>
      <x:c r="Q259" s="55">
        <x:f>(K259+M259+O259)</x:f>
      </x:c>
      <x:c r="R259" s="56">
        <x:f>(((L259*7)+(N259*1)+(P259*0))/8)</x:f>
      </x:c>
      <x:c r="S259" s="47">
        <x:f>(180*(Ventas!AE263*0.9644) - IF(K259&gt;0,K259,0))</x:f>
      </x:c>
      <x:c r="T259" s="47">
        <x:f>IF(S259&gt;0,S259,0)</x:f>
      </x:c>
      <x:c r="U259" s="40"/>
      <x:c r="V259" s="40"/>
      <x:c r="W259" s="43"/>
      <x:c r="X259" s="43"/>
      <x:c r="Y259" s="47">
        <x:f>IF(K259&gt;0,K259+IF(T259&gt;0,T259,0),T259)</x:f>
      </x:c>
      <x:c r="Z259" s="40"/>
      <x:c r="AA259" s="43"/>
      <x:c r="AB259" s="6"/>
      <x:c r="AC259" s="6"/>
      <x:c r="AD259" s="40"/>
      <x:c r="AE259" s="40"/>
      <x:c r="AF259" s="43"/>
      <x:c r="AG259" s="43"/>
      <x:c r="AH259" s="6"/>
      <x:c r="AI259" s="6"/>
      <x:c r="AJ259" s="40"/>
      <x:c r="AK259" s="40"/>
      <x:c r="AL259" s="43"/>
      <x:c r="AM259" s="43"/>
      <x:c r="AN259" s="55">
        <x:f>(IF(AH259&gt;0,AH259,0)+IF(AJ259&gt;0,AJ259,0)+IF(AL259&gt;0,AL259,0))</x:f>
      </x:c>
      <x:c r="AO259" s="56">
        <x:f>(((AI259*7)+(AK259*1)+(AM259*1))/8)</x:f>
      </x:c>
      <x:c r="AP259" s="4" t="s">
        <x:v>51</x:v>
      </x:c>
    </x:row>
    <x:row r="260">
      <x:c r="A260" s="4" t="s">
        <x:v>810</x:v>
      </x:c>
      <x:c r="B260" s="4" t="s">
        <x:v>809</x:v>
      </x:c>
      <x:c r="C260" s="38" t="s">
        <x:v>808</x:v>
      </x:c>
      <x:c r="D260" s="41" t="s">
        <x:v>1572</x:v>
      </x:c>
      <x:c r="E260" s="44"/>
      <x:c r="F260" s="8">
        <x:v>400</x:v>
      </x:c>
      <x:c r="G260" s="57">
        <x:v>85</x:v>
      </x:c>
      <x:c r="H260" s="43"/>
      <x:c r="I260" s="45">
        <x:v>46313</x:v>
      </x:c>
      <x:c r="J260" s="46">
        <x:v>81</x:v>
      </x:c>
      <x:c r="K260" s="47">
        <x:f>(F260-(0)+0-(J260*Ventas!AE264*1.0556))</x:f>
      </x:c>
      <x:c r="L260" s="49">
        <x:f>(K260/(Ventas!AE264*1.0556)/80)</x:f>
      </x:c>
      <x:c r="M260" s="51">
        <x:f>(G260-(0)+0-(J260*Ventas!AE526*1.0556))</x:f>
      </x:c>
      <x:c r="N260" s="52">
        <x:f>(M260/(Ventas!AE526*1.0556)/85)</x:f>
      </x:c>
      <x:c r="O260" s="54">
        <x:f>(H260+0)</x:f>
      </x:c>
      <x:c r="P260" s="43"/>
      <x:c r="Q260" s="55">
        <x:f>(K260+M260+O260)</x:f>
      </x:c>
      <x:c r="R260" s="56">
        <x:f>(((L260*7)+(N260*1)+(P260*0))/8)</x:f>
      </x:c>
      <x:c r="S260" s="47">
        <x:f>(180*(Ventas!AE264*0.9644) - IF(K260&gt;0,K260,0))</x:f>
      </x:c>
      <x:c r="T260" s="47">
        <x:f>IF(S260&gt;0,S260,0)</x:f>
      </x:c>
      <x:c r="U260" s="51">
        <x:f>(180*(Ventas!AE526*0.9644) - IF(M260&gt;0,M260,0))</x:f>
      </x:c>
      <x:c r="V260" s="51">
        <x:f>IF(U260&gt;0,U260,0)</x:f>
      </x:c>
      <x:c r="W260" s="43"/>
      <x:c r="X260" s="43"/>
      <x:c r="Y260" s="47">
        <x:f>IF(K260&gt;0,K260+IF(T260&gt;0,T260,0),T260)</x:f>
      </x:c>
      <x:c r="Z260" s="51">
        <x:f>IF(M260&gt;0,M260+IF(V260&gt;0,V260,0),V260)</x:f>
      </x:c>
      <x:c r="AA260" s="43"/>
      <x:c r="AB260" s="50">
        <x:v>3</x:v>
      </x:c>
      <x:c r="AC260" s="8">
        <x:v>3016</x:v>
      </x:c>
      <x:c r="AD260" s="53">
        <x:v>3</x:v>
      </x:c>
      <x:c r="AE260" s="40"/>
      <x:c r="AF260" s="43"/>
      <x:c r="AG260" s="43"/>
      <x:c r="AH260" s="47">
        <x:f>(Y260-(90*Ventas!AE264*0.9644))</x:f>
      </x:c>
      <x:c r="AI260" s="49">
        <x:f>(AH260/(Ventas!AE264*0.9644)/80)</x:f>
      </x:c>
      <x:c r="AJ260" s="51">
        <x:f>(Z260-(90*Ventas!AE526*0.9644))</x:f>
      </x:c>
      <x:c r="AK260" s="52">
        <x:f>(AJ260/(Ventas!AE526*0.9644)/85)</x:f>
      </x:c>
      <x:c r="AL260" s="43"/>
      <x:c r="AM260" s="43"/>
      <x:c r="AN260" s="55">
        <x:f>(IF(AH260&gt;0,AH260,0)+IF(AJ260&gt;0,AJ260,0)+IF(AL260&gt;0,AL260,0))</x:f>
      </x:c>
      <x:c r="AO260" s="56">
        <x:f>(((AI260*7)+(AK260*1)+(AM260*1))/8)</x:f>
      </x:c>
      <x:c r="AP260" s="4" t="s">
        <x:v>35</x:v>
      </x:c>
    </x:row>
    <x:row r="261">
      <x:c r="A261" s="4" t="s">
        <x:v>813</x:v>
      </x:c>
      <x:c r="B261" s="4" t="s">
        <x:v>812</x:v>
      </x:c>
      <x:c r="C261" s="38" t="s">
        <x:v>811</x:v>
      </x:c>
      <x:c r="D261" s="41"/>
      <x:c r="E261" s="44"/>
      <x:c r="F261" s="8">
        <x:v>2</x:v>
      </x:c>
      <x:c r="G261" s="40"/>
      <x:c r="H261" s="43"/>
      <x:c r="I261" s="45">
        <x:v>46313</x:v>
      </x:c>
      <x:c r="J261" s="46">
        <x:v>81</x:v>
      </x:c>
      <x:c r="K261" s="47">
        <x:f>(F261-(0)+0-(J261*Ventas!AE265*1.0556))</x:f>
      </x:c>
      <x:c r="L261" s="6"/>
      <x:c r="M261" s="51">
        <x:f>(G261+0)</x:f>
      </x:c>
      <x:c r="N261" s="40"/>
      <x:c r="O261" s="54">
        <x:f>(H261+0)</x:f>
      </x:c>
      <x:c r="P261" s="43"/>
      <x:c r="Q261" s="55">
        <x:f>(K261+M261+O261)</x:f>
      </x:c>
      <x:c r="R261" s="56">
        <x:f>(((L261*7)+(N261*1)+(P261*0))/8)</x:f>
      </x:c>
      <x:c r="S261" s="47">
        <x:f>(180*(Ventas!AE265*0.9644) - IF(K261&gt;0,K261,0))</x:f>
      </x:c>
      <x:c r="T261" s="47">
        <x:f>IF(S261&gt;0,S261,0)</x:f>
      </x:c>
      <x:c r="U261" s="40"/>
      <x:c r="V261" s="40"/>
      <x:c r="W261" s="43"/>
      <x:c r="X261" s="43"/>
      <x:c r="Y261" s="47">
        <x:f>IF(K261&gt;0,K261+IF(T261&gt;0,T261,0),T261)</x:f>
      </x:c>
      <x:c r="Z261" s="40"/>
      <x:c r="AA261" s="43"/>
      <x:c r="AB261" s="6"/>
      <x:c r="AC261" s="6"/>
      <x:c r="AD261" s="40"/>
      <x:c r="AE261" s="40"/>
      <x:c r="AF261" s="43"/>
      <x:c r="AG261" s="43"/>
      <x:c r="AH261" s="6"/>
      <x:c r="AI261" s="6"/>
      <x:c r="AJ261" s="40"/>
      <x:c r="AK261" s="40"/>
      <x:c r="AL261" s="43"/>
      <x:c r="AM261" s="43"/>
      <x:c r="AN261" s="55">
        <x:f>(IF(AH261&gt;0,AH261,0)+IF(AJ261&gt;0,AJ261,0)+IF(AL261&gt;0,AL261,0))</x:f>
      </x:c>
      <x:c r="AO261" s="56">
        <x:f>(((AI261*7)+(AK261*1)+(AM261*1))/8)</x:f>
      </x:c>
      <x:c r="AP261" s="4" t="s">
        <x:v>51</x:v>
      </x:c>
    </x:row>
    <x:row r="262">
      <x:c r="A262" s="4" t="s">
        <x:v>818</x:v>
      </x:c>
      <x:c r="B262" s="4" t="s">
        <x:v>817</x:v>
      </x:c>
      <x:c r="C262" s="38" t="s">
        <x:v>816</x:v>
      </x:c>
      <x:c r="D262" s="41"/>
      <x:c r="E262" s="44"/>
      <x:c r="F262" s="8">
        <x:v>203</x:v>
      </x:c>
      <x:c r="G262" s="40"/>
      <x:c r="H262" s="43"/>
      <x:c r="I262" s="45">
        <x:v>46313</x:v>
      </x:c>
      <x:c r="J262" s="46">
        <x:v>81</x:v>
      </x:c>
      <x:c r="K262" s="47">
        <x:f>(F262-(0)+0-(J262*Ventas!AE267*1.0556))</x:f>
      </x:c>
      <x:c r="L262" s="49">
        <x:f>(K262/(Ventas!AE267*1.0556)/80)</x:f>
      </x:c>
      <x:c r="M262" s="51">
        <x:f>(G262+0)</x:f>
      </x:c>
      <x:c r="N262" s="40"/>
      <x:c r="O262" s="54">
        <x:f>(H262+0)</x:f>
      </x:c>
      <x:c r="P262" s="43"/>
      <x:c r="Q262" s="55">
        <x:f>(K262+M262+O262)</x:f>
      </x:c>
      <x:c r="R262" s="56">
        <x:f>(((L262*7)+(N262*1)+(P262*0))/8)</x:f>
      </x:c>
      <x:c r="S262" s="47">
        <x:f>(180*(Ventas!AE267*0.9644) - IF(K262&gt;0,K262,0))</x:f>
      </x:c>
      <x:c r="T262" s="47">
        <x:f>IF(S262&gt;0,S262,0)</x:f>
      </x:c>
      <x:c r="U262" s="40"/>
      <x:c r="V262" s="40"/>
      <x:c r="W262" s="43"/>
      <x:c r="X262" s="43"/>
      <x:c r="Y262" s="47">
        <x:f>IF(K262&gt;0,K262+IF(T262&gt;0,T262,0),T262)</x:f>
      </x:c>
      <x:c r="Z262" s="40"/>
      <x:c r="AA262" s="43"/>
      <x:c r="AB262" s="50">
        <x:v>8.4</x:v>
      </x:c>
      <x:c r="AC262" s="8">
        <x:v>3016</x:v>
      </x:c>
      <x:c r="AD262" s="40"/>
      <x:c r="AE262" s="40"/>
      <x:c r="AF262" s="43"/>
      <x:c r="AG262" s="43"/>
      <x:c r="AH262" s="47">
        <x:f>(Y262-(90*Ventas!AE267*0.9644))</x:f>
      </x:c>
      <x:c r="AI262" s="49">
        <x:f>(AH262/(Ventas!AE267*0.9644)/80)</x:f>
      </x:c>
      <x:c r="AJ262" s="40"/>
      <x:c r="AK262" s="40"/>
      <x:c r="AL262" s="43"/>
      <x:c r="AM262" s="43"/>
      <x:c r="AN262" s="55">
        <x:f>(IF(AH262&gt;0,AH262,0)+IF(AJ262&gt;0,AJ262,0)+IF(AL262&gt;0,AL262,0))</x:f>
      </x:c>
      <x:c r="AO262" s="56">
        <x:f>(((AI262*7)+(AK262*1)+(AM262*1))/8)</x:f>
      </x:c>
      <x:c r="AP262" s="4" t="s">
        <x:v>35</x:v>
      </x:c>
    </x:row>
    <x:row r="263">
      <x:c r="A263" s="4" t="s">
        <x:v>347</x:v>
      </x:c>
      <x:c r="B263" s="4" t="s">
        <x:v>824</x:v>
      </x:c>
      <x:c r="C263" s="38" t="s">
        <x:v>823</x:v>
      </x:c>
      <x:c r="D263" s="41" t="s">
        <x:v>1579</x:v>
      </x:c>
      <x:c r="E263" s="44"/>
      <x:c r="F263" s="8">
        <x:v>173</x:v>
      </x:c>
      <x:c r="G263" s="57">
        <x:v>96</x:v>
      </x:c>
      <x:c r="H263" s="43"/>
      <x:c r="I263" s="45">
        <x:v>46313</x:v>
      </x:c>
      <x:c r="J263" s="46">
        <x:v>81</x:v>
      </x:c>
      <x:c r="K263" s="47">
        <x:f>(F263-(0)+0-(J263*Ventas!AE270*1.0556))</x:f>
      </x:c>
      <x:c r="L263" s="49">
        <x:f>(K263/(Ventas!AE270*1.0556)/80)</x:f>
      </x:c>
      <x:c r="M263" s="51">
        <x:f>(G263-(0)+0-(J263*Ventas!AE529*1.0556))</x:f>
      </x:c>
      <x:c r="N263" s="52">
        <x:f>(M263/(Ventas!AE529*1.0556)/85)</x:f>
      </x:c>
      <x:c r="O263" s="54">
        <x:f>(H263+0)</x:f>
      </x:c>
      <x:c r="P263" s="43"/>
      <x:c r="Q263" s="55">
        <x:f>(K263+M263+O263)</x:f>
      </x:c>
      <x:c r="R263" s="56">
        <x:f>(((L263*7)+(N263*1)+(P263*0))/8)</x:f>
      </x:c>
      <x:c r="S263" s="47">
        <x:f>(180*(Ventas!AE270*0.9644) - IF(K263&gt;0,K263,0))</x:f>
      </x:c>
      <x:c r="T263" s="47">
        <x:f>IF(S263&gt;0,S263,0)</x:f>
      </x:c>
      <x:c r="U263" s="51">
        <x:f>(180*(Ventas!AE529*0.9644) - IF(M263&gt;0,M263,0))</x:f>
      </x:c>
      <x:c r="V263" s="51">
        <x:f>IF(U263&gt;0,U263,0)</x:f>
      </x:c>
      <x:c r="W263" s="43"/>
      <x:c r="X263" s="43"/>
      <x:c r="Y263" s="47">
        <x:f>IF(K263&gt;0,K263+IF(T263&gt;0,T263,0),T263)</x:f>
      </x:c>
      <x:c r="Z263" s="51">
        <x:f>IF(M263&gt;0,M263+IF(V263&gt;0,V263,0),V263)</x:f>
      </x:c>
      <x:c r="AA263" s="43"/>
      <x:c r="AB263" s="50">
        <x:v>4.5</x:v>
      </x:c>
      <x:c r="AC263" s="8">
        <x:v>3016</x:v>
      </x:c>
      <x:c r="AD263" s="53">
        <x:v>4.5</x:v>
      </x:c>
      <x:c r="AE263" s="40"/>
      <x:c r="AF263" s="43"/>
      <x:c r="AG263" s="43"/>
      <x:c r="AH263" s="47">
        <x:f>(Y263-(90*Ventas!AE270*0.9644))</x:f>
      </x:c>
      <x:c r="AI263" s="49">
        <x:f>(AH263/(Ventas!AE270*0.9644)/80)</x:f>
      </x:c>
      <x:c r="AJ263" s="51">
        <x:f>(Z263-(90*Ventas!AE529*0.9644))</x:f>
      </x:c>
      <x:c r="AK263" s="52">
        <x:f>(AJ263/(Ventas!AE529*0.9644)/85)</x:f>
      </x:c>
      <x:c r="AL263" s="43"/>
      <x:c r="AM263" s="43"/>
      <x:c r="AN263" s="55">
        <x:f>(IF(AH263&gt;0,AH263,0)+IF(AJ263&gt;0,AJ263,0)+IF(AL263&gt;0,AL263,0))</x:f>
      </x:c>
      <x:c r="AO263" s="56">
        <x:f>(((AI263*7)+(AK263*1)+(AM263*1))/8)</x:f>
      </x:c>
      <x:c r="AP263" s="4" t="s">
        <x:v>35</x:v>
      </x:c>
    </x:row>
    <x:row r="264">
      <x:c r="A264" s="4" t="s">
        <x:v>829</x:v>
      </x:c>
      <x:c r="B264" s="4" t="s">
        <x:v>828</x:v>
      </x:c>
      <x:c r="C264" s="38" t="s">
        <x:v>827</x:v>
      </x:c>
      <x:c r="D264" s="41"/>
      <x:c r="E264" s="44"/>
      <x:c r="F264" s="8">
        <x:v>40</x:v>
      </x:c>
      <x:c r="G264" s="40"/>
      <x:c r="H264" s="43"/>
      <x:c r="I264" s="45">
        <x:v>46313</x:v>
      </x:c>
      <x:c r="J264" s="46">
        <x:v>81</x:v>
      </x:c>
      <x:c r="K264" s="47">
        <x:f>(F264-(0)+0-(J264*Ventas!AE272*1.0556))</x:f>
      </x:c>
      <x:c r="L264" s="49">
        <x:f>(K264/(Ventas!AE272*1.0556)/80)</x:f>
      </x:c>
      <x:c r="M264" s="51">
        <x:f>(G264+0)</x:f>
      </x:c>
      <x:c r="N264" s="40"/>
      <x:c r="O264" s="54">
        <x:f>(H264+0)</x:f>
      </x:c>
      <x:c r="P264" s="43"/>
      <x:c r="Q264" s="55">
        <x:f>(K264+M264+O264)</x:f>
      </x:c>
      <x:c r="R264" s="56">
        <x:f>(((L264*7)+(N264*1)+(P264*0))/8)</x:f>
      </x:c>
      <x:c r="S264" s="47">
        <x:f>(180*(Ventas!AE272*0.9644) - IF(K264&gt;0,K264,0))</x:f>
      </x:c>
      <x:c r="T264" s="47">
        <x:f>IF(S264&gt;0,S264,0)</x:f>
      </x:c>
      <x:c r="U264" s="40"/>
      <x:c r="V264" s="40"/>
      <x:c r="W264" s="43"/>
      <x:c r="X264" s="43"/>
      <x:c r="Y264" s="47">
        <x:f>IF(K264&gt;0,K264+IF(T264&gt;0,T264,0),T264)</x:f>
      </x:c>
      <x:c r="Z264" s="40"/>
      <x:c r="AA264" s="43"/>
      <x:c r="AB264" s="50">
        <x:v>2.6</x:v>
      </x:c>
      <x:c r="AC264" s="8">
        <x:v>3016</x:v>
      </x:c>
      <x:c r="AD264" s="40"/>
      <x:c r="AE264" s="40"/>
      <x:c r="AF264" s="43"/>
      <x:c r="AG264" s="43"/>
      <x:c r="AH264" s="47">
        <x:f>(Y264-(90*Ventas!AE272*0.9644))</x:f>
      </x:c>
      <x:c r="AI264" s="49">
        <x:f>(AH264/(Ventas!AE272*0.9644)/80)</x:f>
      </x:c>
      <x:c r="AJ264" s="40"/>
      <x:c r="AK264" s="40"/>
      <x:c r="AL264" s="43"/>
      <x:c r="AM264" s="43"/>
      <x:c r="AN264" s="55">
        <x:f>(IF(AH264&gt;0,AH264,0)+IF(AJ264&gt;0,AJ264,0)+IF(AL264&gt;0,AL264,0))</x:f>
      </x:c>
      <x:c r="AO264" s="56">
        <x:f>(((AI264*7)+(AK264*1)+(AM264*1))/8)</x:f>
      </x:c>
      <x:c r="AP264" s="4" t="s">
        <x:v>35</x:v>
      </x:c>
    </x:row>
    <x:row r="265">
      <x:c r="A265" s="4" t="s">
        <x:v>832</x:v>
      </x:c>
      <x:c r="B265" s="4" t="s">
        <x:v>831</x:v>
      </x:c>
      <x:c r="C265" s="38" t="s">
        <x:v>830</x:v>
      </x:c>
      <x:c r="D265" s="41"/>
      <x:c r="E265" s="44"/>
      <x:c r="F265" s="6"/>
      <x:c r="G265" s="40"/>
      <x:c r="H265" s="43"/>
      <x:c r="I265" s="45">
        <x:v>46313</x:v>
      </x:c>
      <x:c r="J265" s="46">
        <x:v>81</x:v>
      </x:c>
      <x:c r="K265" s="47">
        <x:f>(F265-(0)+0-(J265*Ventas!AE273*1.0556))</x:f>
      </x:c>
      <x:c r="L265" s="6"/>
      <x:c r="M265" s="51">
        <x:f>(G265+0)</x:f>
      </x:c>
      <x:c r="N265" s="40"/>
      <x:c r="O265" s="54">
        <x:f>(H265+0)</x:f>
      </x:c>
      <x:c r="P265" s="43"/>
      <x:c r="Q265" s="55">
        <x:f>(K265+M265+O265)</x:f>
      </x:c>
      <x:c r="R265" s="56">
        <x:f>(((L265*7)+(N265*1)+(P265*0))/8)</x:f>
      </x:c>
      <x:c r="S265" s="47">
        <x:f>(180*(Ventas!AE273*0.9644) - IF(K265&gt;0,K265,0))</x:f>
      </x:c>
      <x:c r="T265" s="47">
        <x:f>IF(S265&gt;0,S265,0)</x:f>
      </x:c>
      <x:c r="U265" s="40"/>
      <x:c r="V265" s="40"/>
      <x:c r="W265" s="43"/>
      <x:c r="X265" s="43"/>
      <x:c r="Y265" s="47">
        <x:f>IF(K265&gt;0,K265+IF(T265&gt;0,T265,0),T265)</x:f>
      </x:c>
      <x:c r="Z265" s="40"/>
      <x:c r="AA265" s="43"/>
      <x:c r="AB265" s="6"/>
      <x:c r="AC265" s="6"/>
      <x:c r="AD265" s="40"/>
      <x:c r="AE265" s="40"/>
      <x:c r="AF265" s="43"/>
      <x:c r="AG265" s="43"/>
      <x:c r="AH265" s="6"/>
      <x:c r="AI265" s="6"/>
      <x:c r="AJ265" s="40"/>
      <x:c r="AK265" s="40"/>
      <x:c r="AL265" s="43"/>
      <x:c r="AM265" s="43"/>
      <x:c r="AN265" s="55">
        <x:f>(IF(AH265&gt;0,AH265,0)+IF(AJ265&gt;0,AJ265,0)+IF(AL265&gt;0,AL265,0))</x:f>
      </x:c>
      <x:c r="AO265" s="56">
        <x:f>(((AI265*7)+(AK265*1)+(AM265*1))/8)</x:f>
      </x:c>
      <x:c r="AP265" s="4" t="s">
        <x:v>35</x:v>
      </x:c>
    </x:row>
    <x:row r="266">
      <x:c r="A266" s="4" t="s">
        <x:v>835</x:v>
      </x:c>
      <x:c r="B266" s="4" t="s">
        <x:v>834</x:v>
      </x:c>
      <x:c r="C266" s="38" t="s">
        <x:v>833</x:v>
      </x:c>
      <x:c r="D266" s="41"/>
      <x:c r="E266" s="44"/>
      <x:c r="F266" s="8">
        <x:v>1</x:v>
      </x:c>
      <x:c r="G266" s="40"/>
      <x:c r="H266" s="43"/>
      <x:c r="I266" s="45">
        <x:v>46313</x:v>
      </x:c>
      <x:c r="J266" s="46">
        <x:v>81</x:v>
      </x:c>
      <x:c r="K266" s="47">
        <x:f>(F266-(0)+0-(J266*Ventas!AE274*1.0556))</x:f>
      </x:c>
      <x:c r="L266" s="6"/>
      <x:c r="M266" s="51">
        <x:f>(G266+0)</x:f>
      </x:c>
      <x:c r="N266" s="40"/>
      <x:c r="O266" s="54">
        <x:f>(H266+0)</x:f>
      </x:c>
      <x:c r="P266" s="43"/>
      <x:c r="Q266" s="55">
        <x:f>(K266+M266+O266)</x:f>
      </x:c>
      <x:c r="R266" s="56">
        <x:f>(((L266*7)+(N266*1)+(P266*0))/8)</x:f>
      </x:c>
      <x:c r="S266" s="47">
        <x:f>(180*(Ventas!AE274*0.9644) - IF(K266&gt;0,K266,0))</x:f>
      </x:c>
      <x:c r="T266" s="47">
        <x:f>IF(S266&gt;0,S266,0)</x:f>
      </x:c>
      <x:c r="U266" s="40"/>
      <x:c r="V266" s="40"/>
      <x:c r="W266" s="43"/>
      <x:c r="X266" s="43"/>
      <x:c r="Y266" s="47">
        <x:f>IF(K266&gt;0,K266+IF(T266&gt;0,T266,0),T266)</x:f>
      </x:c>
      <x:c r="Z266" s="40"/>
      <x:c r="AA266" s="43"/>
      <x:c r="AB266" s="50">
        <x:v>10.5</x:v>
      </x:c>
      <x:c r="AC266" s="8">
        <x:v>3016</x:v>
      </x:c>
      <x:c r="AD266" s="40"/>
      <x:c r="AE266" s="40"/>
      <x:c r="AF266" s="43"/>
      <x:c r="AG266" s="43"/>
      <x:c r="AH266" s="6"/>
      <x:c r="AI266" s="6"/>
      <x:c r="AJ266" s="40"/>
      <x:c r="AK266" s="40"/>
      <x:c r="AL266" s="43"/>
      <x:c r="AM266" s="43"/>
      <x:c r="AN266" s="55">
        <x:f>(IF(AH266&gt;0,AH266,0)+IF(AJ266&gt;0,AJ266,0)+IF(AL266&gt;0,AL266,0))</x:f>
      </x:c>
      <x:c r="AO266" s="56">
        <x:f>(((AI266*7)+(AK266*1)+(AM266*1))/8)</x:f>
      </x:c>
      <x:c r="AP266" s="4" t="s">
        <x:v>35</x:v>
      </x:c>
    </x:row>
    <x:row r="267">
      <x:c r="A267" s="4" t="s">
        <x:v>838</x:v>
      </x:c>
      <x:c r="B267" s="4" t="s">
        <x:v>837</x:v>
      </x:c>
      <x:c r="C267" s="38" t="s">
        <x:v>836</x:v>
      </x:c>
      <x:c r="D267" s="41"/>
      <x:c r="E267" s="44"/>
      <x:c r="F267" s="8">
        <x:v>36</x:v>
      </x:c>
      <x:c r="G267" s="40"/>
      <x:c r="H267" s="43"/>
      <x:c r="I267" s="45">
        <x:v>46313</x:v>
      </x:c>
      <x:c r="J267" s="46">
        <x:v>81</x:v>
      </x:c>
      <x:c r="K267" s="47">
        <x:f>(F267-(0)+0-(J267*Ventas!AE275*1.0556))</x:f>
      </x:c>
      <x:c r="L267" s="49">
        <x:f>(K267/(Ventas!AE275*1.0556)/80)</x:f>
      </x:c>
      <x:c r="M267" s="51">
        <x:f>(G267+0)</x:f>
      </x:c>
      <x:c r="N267" s="40"/>
      <x:c r="O267" s="54">
        <x:f>(H267+0)</x:f>
      </x:c>
      <x:c r="P267" s="43"/>
      <x:c r="Q267" s="55">
        <x:f>(K267+M267+O267)</x:f>
      </x:c>
      <x:c r="R267" s="56">
        <x:f>(((L267*7)+(N267*1)+(P267*0))/8)</x:f>
      </x:c>
      <x:c r="S267" s="47">
        <x:f>(180*(Ventas!AE275*0.9644) - IF(K267&gt;0,K267,0))</x:f>
      </x:c>
      <x:c r="T267" s="47">
        <x:f>IF(S267&gt;0,S267,0)</x:f>
      </x:c>
      <x:c r="U267" s="40"/>
      <x:c r="V267" s="40"/>
      <x:c r="W267" s="43"/>
      <x:c r="X267" s="43"/>
      <x:c r="Y267" s="47">
        <x:f>IF(K267&gt;0,K267+IF(T267&gt;0,T267,0),T267)</x:f>
      </x:c>
      <x:c r="Z267" s="40"/>
      <x:c r="AA267" s="43"/>
      <x:c r="AB267" s="50">
        <x:v>3.3</x:v>
      </x:c>
      <x:c r="AC267" s="8">
        <x:v>3016</x:v>
      </x:c>
      <x:c r="AD267" s="40"/>
      <x:c r="AE267" s="40"/>
      <x:c r="AF267" s="43"/>
      <x:c r="AG267" s="43"/>
      <x:c r="AH267" s="47">
        <x:f>(Y267-(90*Ventas!AE275*0.9644))</x:f>
      </x:c>
      <x:c r="AI267" s="49">
        <x:f>(AH267/(Ventas!AE275*0.9644)/80)</x:f>
      </x:c>
      <x:c r="AJ267" s="40"/>
      <x:c r="AK267" s="40"/>
      <x:c r="AL267" s="43"/>
      <x:c r="AM267" s="43"/>
      <x:c r="AN267" s="55">
        <x:f>(IF(AH267&gt;0,AH267,0)+IF(AJ267&gt;0,AJ267,0)+IF(AL267&gt;0,AL267,0))</x:f>
      </x:c>
      <x:c r="AO267" s="56">
        <x:f>(((AI267*7)+(AK267*1)+(AM267*1))/8)</x:f>
      </x:c>
      <x:c r="AP267" s="4" t="s">
        <x:v>35</x:v>
      </x:c>
    </x:row>
    <x:row r="268">
      <x:c r="A268" s="4" t="s">
        <x:v>841</x:v>
      </x:c>
      <x:c r="B268" s="4" t="s">
        <x:v>840</x:v>
      </x:c>
      <x:c r="C268" s="38" t="s">
        <x:v>839</x:v>
      </x:c>
      <x:c r="D268" s="41" t="s">
        <x:v>1581</x:v>
      </x:c>
      <x:c r="E268" s="44"/>
      <x:c r="F268" s="8">
        <x:v>1499</x:v>
      </x:c>
      <x:c r="G268" s="57">
        <x:v>233</x:v>
      </x:c>
      <x:c r="H268" s="43"/>
      <x:c r="I268" s="45">
        <x:v>46313</x:v>
      </x:c>
      <x:c r="J268" s="46">
        <x:v>81</x:v>
      </x:c>
      <x:c r="K268" s="47">
        <x:f>(F268-(0)+0-(J268*Ventas!AE276*1.0556))</x:f>
      </x:c>
      <x:c r="L268" s="49">
        <x:f>(K268/(Ventas!AE276*1.0556)/80)</x:f>
      </x:c>
      <x:c r="M268" s="51">
        <x:f>(G268-(0)+0-(J268*Ventas!AE530*1.0556))</x:f>
      </x:c>
      <x:c r="N268" s="52">
        <x:f>(M268/(Ventas!AE530*1.0556)/85)</x:f>
      </x:c>
      <x:c r="O268" s="54">
        <x:f>(H268+0)</x:f>
      </x:c>
      <x:c r="P268" s="43"/>
      <x:c r="Q268" s="55">
        <x:f>(K268+M268+O268)</x:f>
      </x:c>
      <x:c r="R268" s="56">
        <x:f>(((L268*7)+(N268*1)+(P268*0))/8)</x:f>
      </x:c>
      <x:c r="S268" s="47">
        <x:f>(180*(Ventas!AE276*0.9644) - IF(K268&gt;0,K268,0))</x:f>
      </x:c>
      <x:c r="T268" s="47">
        <x:f>IF(S268&gt;0,S268,0)</x:f>
      </x:c>
      <x:c r="U268" s="51">
        <x:f>(180*(Ventas!AE530*0.9644) - IF(M268&gt;0,M268,0))</x:f>
      </x:c>
      <x:c r="V268" s="51">
        <x:f>IF(U268&gt;0,U268,0)</x:f>
      </x:c>
      <x:c r="W268" s="43"/>
      <x:c r="X268" s="43"/>
      <x:c r="Y268" s="47">
        <x:f>IF(K268&gt;0,K268+IF(T268&gt;0,T268,0),T268)</x:f>
      </x:c>
      <x:c r="Z268" s="51">
        <x:f>IF(M268&gt;0,M268+IF(V268&gt;0,V268,0),V268)</x:f>
      </x:c>
      <x:c r="AA268" s="43"/>
      <x:c r="AB268" s="50">
        <x:v>3.15</x:v>
      </x:c>
      <x:c r="AC268" s="8">
        <x:v>3016</x:v>
      </x:c>
      <x:c r="AD268" s="53">
        <x:v>3.2</x:v>
      </x:c>
      <x:c r="AE268" s="40"/>
      <x:c r="AF268" s="43"/>
      <x:c r="AG268" s="43"/>
      <x:c r="AH268" s="47">
        <x:f>(Y268-(90*Ventas!AE276*0.9644))</x:f>
      </x:c>
      <x:c r="AI268" s="49">
        <x:f>(AH268/(Ventas!AE276*0.9644)/80)</x:f>
      </x:c>
      <x:c r="AJ268" s="51">
        <x:f>(Z268-(90*Ventas!AE530*0.9644))</x:f>
      </x:c>
      <x:c r="AK268" s="52">
        <x:f>(AJ268/(Ventas!AE530*0.9644)/85)</x:f>
      </x:c>
      <x:c r="AL268" s="43"/>
      <x:c r="AM268" s="43"/>
      <x:c r="AN268" s="55">
        <x:f>(IF(AH268&gt;0,AH268,0)+IF(AJ268&gt;0,AJ268,0)+IF(AL268&gt;0,AL268,0))</x:f>
      </x:c>
      <x:c r="AO268" s="56">
        <x:f>(((AI268*7)+(AK268*1)+(AM268*1))/8)</x:f>
      </x:c>
      <x:c r="AP268" s="4" t="s">
        <x:v>35</x:v>
      </x:c>
    </x:row>
    <x:row r="269">
      <x:c r="A269" s="4" t="s">
        <x:v>844</x:v>
      </x:c>
      <x:c r="B269" s="4" t="s">
        <x:v>843</x:v>
      </x:c>
      <x:c r="C269" s="38" t="s">
        <x:v>842</x:v>
      </x:c>
      <x:c r="D269" s="41"/>
      <x:c r="E269" s="44"/>
      <x:c r="F269" s="6"/>
      <x:c r="G269" s="40"/>
      <x:c r="H269" s="43"/>
      <x:c r="I269" s="45">
        <x:v>46313</x:v>
      </x:c>
      <x:c r="J269" s="46">
        <x:v>81</x:v>
      </x:c>
      <x:c r="K269" s="47">
        <x:f>(F269-(0)+0-(J269*Ventas!AE277*1.0556))</x:f>
      </x:c>
      <x:c r="L269" s="6"/>
      <x:c r="M269" s="51">
        <x:f>(G269+0)</x:f>
      </x:c>
      <x:c r="N269" s="40"/>
      <x:c r="O269" s="54">
        <x:f>(H269+0)</x:f>
      </x:c>
      <x:c r="P269" s="43"/>
      <x:c r="Q269" s="55">
        <x:f>(K269+M269+O269)</x:f>
      </x:c>
      <x:c r="R269" s="56">
        <x:f>(((L269*7)+(N269*1)+(P269*0))/8)</x:f>
      </x:c>
      <x:c r="S269" s="47">
        <x:f>(180*(Ventas!AE277*0.9644) - IF(K269&gt;0,K269,0))</x:f>
      </x:c>
      <x:c r="T269" s="47">
        <x:f>IF(S269&gt;0,S269,0)</x:f>
      </x:c>
      <x:c r="U269" s="40"/>
      <x:c r="V269" s="40"/>
      <x:c r="W269" s="43"/>
      <x:c r="X269" s="43"/>
      <x:c r="Y269" s="47">
        <x:f>IF(K269&gt;0,K269+IF(T269&gt;0,T269,0),T269)</x:f>
      </x:c>
      <x:c r="Z269" s="40"/>
      <x:c r="AA269" s="43"/>
      <x:c r="AB269" s="6"/>
      <x:c r="AC269" s="6"/>
      <x:c r="AD269" s="40"/>
      <x:c r="AE269" s="40"/>
      <x:c r="AF269" s="43"/>
      <x:c r="AG269" s="43"/>
      <x:c r="AH269" s="6"/>
      <x:c r="AI269" s="6"/>
      <x:c r="AJ269" s="40"/>
      <x:c r="AK269" s="40"/>
      <x:c r="AL269" s="43"/>
      <x:c r="AM269" s="43"/>
      <x:c r="AN269" s="55">
        <x:f>(IF(AH269&gt;0,AH269,0)+IF(AJ269&gt;0,AJ269,0)+IF(AL269&gt;0,AL269,0))</x:f>
      </x:c>
      <x:c r="AO269" s="56">
        <x:f>(((AI269*7)+(AK269*1)+(AM269*1))/8)</x:f>
      </x:c>
      <x:c r="AP269" s="4" t="s">
        <x:v>51</x:v>
      </x:c>
    </x:row>
    <x:row r="270">
      <x:c r="A270" s="4" t="s">
        <x:v>847</x:v>
      </x:c>
      <x:c r="B270" s="4" t="s">
        <x:v>846</x:v>
      </x:c>
      <x:c r="C270" s="38" t="s">
        <x:v>845</x:v>
      </x:c>
      <x:c r="D270" s="41"/>
      <x:c r="E270" s="44"/>
      <x:c r="F270" s="8">
        <x:v>78</x:v>
      </x:c>
      <x:c r="G270" s="40"/>
      <x:c r="H270" s="43"/>
      <x:c r="I270" s="45">
        <x:v>46313</x:v>
      </x:c>
      <x:c r="J270" s="46">
        <x:v>81</x:v>
      </x:c>
      <x:c r="K270" s="47">
        <x:f>(F270-(0)+0-(J270*Ventas!AE278*1.0556))</x:f>
      </x:c>
      <x:c r="L270" s="49">
        <x:f>(K270/(Ventas!AE278*1.0556)/80)</x:f>
      </x:c>
      <x:c r="M270" s="51">
        <x:f>(G270+0)</x:f>
      </x:c>
      <x:c r="N270" s="40"/>
      <x:c r="O270" s="54">
        <x:f>(H270+0)</x:f>
      </x:c>
      <x:c r="P270" s="43"/>
      <x:c r="Q270" s="55">
        <x:f>(K270+M270+O270)</x:f>
      </x:c>
      <x:c r="R270" s="56">
        <x:f>(((L270*7)+(N270*1)+(P270*0))/8)</x:f>
      </x:c>
      <x:c r="S270" s="47">
        <x:f>(180*(Ventas!AE278*0.9644) - IF(K270&gt;0,K270,0))</x:f>
      </x:c>
      <x:c r="T270" s="47">
        <x:f>IF(S270&gt;0,S270,0)</x:f>
      </x:c>
      <x:c r="U270" s="40"/>
      <x:c r="V270" s="40"/>
      <x:c r="W270" s="43"/>
      <x:c r="X270" s="43"/>
      <x:c r="Y270" s="47">
        <x:f>IF(K270&gt;0,K270+IF(T270&gt;0,T270,0),T270)</x:f>
      </x:c>
      <x:c r="Z270" s="40"/>
      <x:c r="AA270" s="43"/>
      <x:c r="AB270" s="50">
        <x:v>3.3</x:v>
      </x:c>
      <x:c r="AC270" s="8">
        <x:v>3016</x:v>
      </x:c>
      <x:c r="AD270" s="40"/>
      <x:c r="AE270" s="40"/>
      <x:c r="AF270" s="43"/>
      <x:c r="AG270" s="43"/>
      <x:c r="AH270" s="47">
        <x:f>(Y270-(90*Ventas!AE278*0.9644))</x:f>
      </x:c>
      <x:c r="AI270" s="49">
        <x:f>(AH270/(Ventas!AE278*0.9644)/80)</x:f>
      </x:c>
      <x:c r="AJ270" s="40"/>
      <x:c r="AK270" s="40"/>
      <x:c r="AL270" s="43"/>
      <x:c r="AM270" s="43"/>
      <x:c r="AN270" s="55">
        <x:f>(IF(AH270&gt;0,AH270,0)+IF(AJ270&gt;0,AJ270,0)+IF(AL270&gt;0,AL270,0))</x:f>
      </x:c>
      <x:c r="AO270" s="56">
        <x:f>(((AI270*7)+(AK270*1)+(AM270*1))/8)</x:f>
      </x:c>
      <x:c r="AP270" s="4" t="s">
        <x:v>35</x:v>
      </x:c>
    </x:row>
    <x:row r="271">
      <x:c r="A271" s="4" t="s">
        <x:v>850</x:v>
      </x:c>
      <x:c r="B271" s="4" t="s">
        <x:v>849</x:v>
      </x:c>
      <x:c r="C271" s="38" t="s">
        <x:v>848</x:v>
      </x:c>
      <x:c r="D271" s="41"/>
      <x:c r="E271" s="44"/>
      <x:c r="F271" s="8">
        <x:v>71</x:v>
      </x:c>
      <x:c r="G271" s="40"/>
      <x:c r="H271" s="43"/>
      <x:c r="I271" s="45">
        <x:v>46313</x:v>
      </x:c>
      <x:c r="J271" s="46">
        <x:v>81</x:v>
      </x:c>
      <x:c r="K271" s="47">
        <x:f>(F271-(0)+0-(J271*Ventas!AE279*1.0556))</x:f>
      </x:c>
      <x:c r="L271" s="49">
        <x:f>(K271/(Ventas!AE279*1.0556)/80)</x:f>
      </x:c>
      <x:c r="M271" s="51">
        <x:f>(G271+0)</x:f>
      </x:c>
      <x:c r="N271" s="40"/>
      <x:c r="O271" s="54">
        <x:f>(H271+0)</x:f>
      </x:c>
      <x:c r="P271" s="43"/>
      <x:c r="Q271" s="55">
        <x:f>(K271+M271+O271)</x:f>
      </x:c>
      <x:c r="R271" s="56">
        <x:f>(((L271*7)+(N271*1)+(P271*0))/8)</x:f>
      </x:c>
      <x:c r="S271" s="47">
        <x:f>(180*(Ventas!AE279*0.9644) - IF(K271&gt;0,K271,0))</x:f>
      </x:c>
      <x:c r="T271" s="47">
        <x:f>IF(S271&gt;0,S271,0)</x:f>
      </x:c>
      <x:c r="U271" s="40"/>
      <x:c r="V271" s="40"/>
      <x:c r="W271" s="43"/>
      <x:c r="X271" s="43"/>
      <x:c r="Y271" s="47">
        <x:f>IF(K271&gt;0,K271+IF(T271&gt;0,T271,0),T271)</x:f>
      </x:c>
      <x:c r="Z271" s="40"/>
      <x:c r="AA271" s="43"/>
      <x:c r="AB271" s="50">
        <x:v>2.2</x:v>
      </x:c>
      <x:c r="AC271" s="8">
        <x:v>3016</x:v>
      </x:c>
      <x:c r="AD271" s="40"/>
      <x:c r="AE271" s="40"/>
      <x:c r="AF271" s="43"/>
      <x:c r="AG271" s="43"/>
      <x:c r="AH271" s="47">
        <x:f>(Y271-(90*Ventas!AE279*0.9644))</x:f>
      </x:c>
      <x:c r="AI271" s="49">
        <x:f>(AH271/(Ventas!AE279*0.9644)/80)</x:f>
      </x:c>
      <x:c r="AJ271" s="40"/>
      <x:c r="AK271" s="40"/>
      <x:c r="AL271" s="43"/>
      <x:c r="AM271" s="43"/>
      <x:c r="AN271" s="55">
        <x:f>(IF(AH271&gt;0,AH271,0)+IF(AJ271&gt;0,AJ271,0)+IF(AL271&gt;0,AL271,0))</x:f>
      </x:c>
      <x:c r="AO271" s="56">
        <x:f>(((AI271*7)+(AK271*1)+(AM271*1))/8)</x:f>
      </x:c>
      <x:c r="AP271" s="4" t="s">
        <x:v>35</x:v>
      </x:c>
    </x:row>
    <x:row r="272">
      <x:c r="A272" s="4" t="s">
        <x:v>853</x:v>
      </x:c>
      <x:c r="B272" s="4" t="s">
        <x:v>852</x:v>
      </x:c>
      <x:c r="C272" s="38" t="s">
        <x:v>851</x:v>
      </x:c>
      <x:c r="D272" s="41"/>
      <x:c r="E272" s="44"/>
      <x:c r="F272" s="8">
        <x:v>17</x:v>
      </x:c>
      <x:c r="G272" s="40"/>
      <x:c r="H272" s="43"/>
      <x:c r="I272" s="45">
        <x:v>46313</x:v>
      </x:c>
      <x:c r="J272" s="46">
        <x:v>81</x:v>
      </x:c>
      <x:c r="K272" s="47">
        <x:f>(F272-(0)+0-(J272*Ventas!AE280*1.0556))</x:f>
      </x:c>
      <x:c r="L272" s="49">
        <x:f>(K272/(Ventas!AE280*1.0556)/80)</x:f>
      </x:c>
      <x:c r="M272" s="51">
        <x:f>(G272+0)</x:f>
      </x:c>
      <x:c r="N272" s="40"/>
      <x:c r="O272" s="54">
        <x:f>(H272+0)</x:f>
      </x:c>
      <x:c r="P272" s="43"/>
      <x:c r="Q272" s="55">
        <x:f>(K272+M272+O272)</x:f>
      </x:c>
      <x:c r="R272" s="56">
        <x:f>(((L272*7)+(N272*1)+(P272*0))/8)</x:f>
      </x:c>
      <x:c r="S272" s="47">
        <x:f>(180*(Ventas!AE280*0.9644) - IF(K272&gt;0,K272,0))</x:f>
      </x:c>
      <x:c r="T272" s="47">
        <x:f>IF(S272&gt;0,S272,0)</x:f>
      </x:c>
      <x:c r="U272" s="40"/>
      <x:c r="V272" s="40"/>
      <x:c r="W272" s="43"/>
      <x:c r="X272" s="43"/>
      <x:c r="Y272" s="47">
        <x:f>IF(K272&gt;0,K272+IF(T272&gt;0,T272,0),T272)</x:f>
      </x:c>
      <x:c r="Z272" s="40"/>
      <x:c r="AA272" s="43"/>
      <x:c r="AB272" s="50">
        <x:v>3.5</x:v>
      </x:c>
      <x:c r="AC272" s="8">
        <x:v>3016</x:v>
      </x:c>
      <x:c r="AD272" s="40"/>
      <x:c r="AE272" s="40"/>
      <x:c r="AF272" s="43"/>
      <x:c r="AG272" s="43"/>
      <x:c r="AH272" s="47">
        <x:f>(Y272-(90*Ventas!AE280*0.9644))</x:f>
      </x:c>
      <x:c r="AI272" s="49">
        <x:f>(AH272/(Ventas!AE280*0.9644)/80)</x:f>
      </x:c>
      <x:c r="AJ272" s="40"/>
      <x:c r="AK272" s="40"/>
      <x:c r="AL272" s="43"/>
      <x:c r="AM272" s="43"/>
      <x:c r="AN272" s="55">
        <x:f>(IF(AH272&gt;0,AH272,0)+IF(AJ272&gt;0,AJ272,0)+IF(AL272&gt;0,AL272,0))</x:f>
      </x:c>
      <x:c r="AO272" s="56">
        <x:f>(((AI272*7)+(AK272*1)+(AM272*1))/8)</x:f>
      </x:c>
      <x:c r="AP272" s="4" t="s">
        <x:v>35</x:v>
      </x:c>
    </x:row>
    <x:row r="273">
      <x:c r="A273" s="4" t="s">
        <x:v>856</x:v>
      </x:c>
      <x:c r="B273" s="4" t="s">
        <x:v>855</x:v>
      </x:c>
      <x:c r="C273" s="38" t="s">
        <x:v>854</x:v>
      </x:c>
      <x:c r="D273" s="41"/>
      <x:c r="E273" s="44"/>
      <x:c r="F273" s="6"/>
      <x:c r="G273" s="40"/>
      <x:c r="H273" s="43"/>
      <x:c r="I273" s="45">
        <x:v>46313</x:v>
      </x:c>
      <x:c r="J273" s="46">
        <x:v>81</x:v>
      </x:c>
      <x:c r="K273" s="47">
        <x:f>(F273-(0)+0-(J273*Ventas!AE281*1.0556))</x:f>
      </x:c>
      <x:c r="L273" s="6"/>
      <x:c r="M273" s="51">
        <x:f>(G273+0)</x:f>
      </x:c>
      <x:c r="N273" s="40"/>
      <x:c r="O273" s="54">
        <x:f>(H273+0)</x:f>
      </x:c>
      <x:c r="P273" s="43"/>
      <x:c r="Q273" s="55">
        <x:f>(K273+M273+O273)</x:f>
      </x:c>
      <x:c r="R273" s="56">
        <x:f>(((L273*7)+(N273*1)+(P273*0))/8)</x:f>
      </x:c>
      <x:c r="S273" s="47">
        <x:f>(180*(Ventas!AE281*0.9644) - IF(K273&gt;0,K273,0))</x:f>
      </x:c>
      <x:c r="T273" s="47">
        <x:f>IF(S273&gt;0,S273,0)</x:f>
      </x:c>
      <x:c r="U273" s="40"/>
      <x:c r="V273" s="40"/>
      <x:c r="W273" s="43"/>
      <x:c r="X273" s="43"/>
      <x:c r="Y273" s="47">
        <x:f>IF(K273&gt;0,K273+IF(T273&gt;0,T273,0),T273)</x:f>
      </x:c>
      <x:c r="Z273" s="40"/>
      <x:c r="AA273" s="43"/>
      <x:c r="AB273" s="6"/>
      <x:c r="AC273" s="6"/>
      <x:c r="AD273" s="40"/>
      <x:c r="AE273" s="40"/>
      <x:c r="AF273" s="43"/>
      <x:c r="AG273" s="43"/>
      <x:c r="AH273" s="6"/>
      <x:c r="AI273" s="6"/>
      <x:c r="AJ273" s="40"/>
      <x:c r="AK273" s="40"/>
      <x:c r="AL273" s="43"/>
      <x:c r="AM273" s="43"/>
      <x:c r="AN273" s="55">
        <x:f>(IF(AH273&gt;0,AH273,0)+IF(AJ273&gt;0,AJ273,0)+IF(AL273&gt;0,AL273,0))</x:f>
      </x:c>
      <x:c r="AO273" s="56">
        <x:f>(((AI273*7)+(AK273*1)+(AM273*1))/8)</x:f>
      </x:c>
      <x:c r="AP273" s="4" t="s">
        <x:v>51</x:v>
      </x:c>
    </x:row>
    <x:row r="274">
      <x:c r="A274" s="4" t="s">
        <x:v>859</x:v>
      </x:c>
      <x:c r="B274" s="4" t="s">
        <x:v>858</x:v>
      </x:c>
      <x:c r="C274" s="38" t="s">
        <x:v>857</x:v>
      </x:c>
      <x:c r="D274" s="41"/>
      <x:c r="E274" s="44"/>
      <x:c r="F274" s="6"/>
      <x:c r="G274" s="40"/>
      <x:c r="H274" s="43"/>
      <x:c r="I274" s="45">
        <x:v>46313</x:v>
      </x:c>
      <x:c r="J274" s="46">
        <x:v>81</x:v>
      </x:c>
      <x:c r="K274" s="47">
        <x:f>(F274-(0)+0-(J274*Ventas!AE282*1.0556))</x:f>
      </x:c>
      <x:c r="L274" s="6"/>
      <x:c r="M274" s="51">
        <x:f>(G274+0)</x:f>
      </x:c>
      <x:c r="N274" s="40"/>
      <x:c r="O274" s="54">
        <x:f>(H274+0)</x:f>
      </x:c>
      <x:c r="P274" s="43"/>
      <x:c r="Q274" s="55">
        <x:f>(K274+M274+O274)</x:f>
      </x:c>
      <x:c r="R274" s="56">
        <x:f>(((L274*7)+(N274*1)+(P274*0))/8)</x:f>
      </x:c>
      <x:c r="S274" s="47">
        <x:f>(180*(Ventas!AE282*0.9644) - IF(K274&gt;0,K274,0))</x:f>
      </x:c>
      <x:c r="T274" s="47">
        <x:f>IF(S274&gt;0,S274,0)</x:f>
      </x:c>
      <x:c r="U274" s="40"/>
      <x:c r="V274" s="40"/>
      <x:c r="W274" s="43"/>
      <x:c r="X274" s="43"/>
      <x:c r="Y274" s="47">
        <x:f>IF(K274&gt;0,K274+IF(T274&gt;0,T274,0),T274)</x:f>
      </x:c>
      <x:c r="Z274" s="40"/>
      <x:c r="AA274" s="43"/>
      <x:c r="AB274" s="6"/>
      <x:c r="AC274" s="6"/>
      <x:c r="AD274" s="40"/>
      <x:c r="AE274" s="40"/>
      <x:c r="AF274" s="43"/>
      <x:c r="AG274" s="43"/>
      <x:c r="AH274" s="6"/>
      <x:c r="AI274" s="6"/>
      <x:c r="AJ274" s="40"/>
      <x:c r="AK274" s="40"/>
      <x:c r="AL274" s="43"/>
      <x:c r="AM274" s="43"/>
      <x:c r="AN274" s="55">
        <x:f>(IF(AH274&gt;0,AH274,0)+IF(AJ274&gt;0,AJ274,0)+IF(AL274&gt;0,AL274,0))</x:f>
      </x:c>
      <x:c r="AO274" s="56">
        <x:f>(((AI274*7)+(AK274*1)+(AM274*1))/8)</x:f>
      </x:c>
      <x:c r="AP274" s="4" t="s">
        <x:v>51</x:v>
      </x:c>
    </x:row>
    <x:row r="275">
      <x:c r="A275" s="4" t="s">
        <x:v>862</x:v>
      </x:c>
      <x:c r="B275" s="4" t="s">
        <x:v>861</x:v>
      </x:c>
      <x:c r="C275" s="38" t="s">
        <x:v>860</x:v>
      </x:c>
      <x:c r="D275" s="41"/>
      <x:c r="E275" s="44"/>
      <x:c r="F275" s="6"/>
      <x:c r="G275" s="40"/>
      <x:c r="H275" s="43"/>
      <x:c r="I275" s="45">
        <x:v>46313</x:v>
      </x:c>
      <x:c r="J275" s="46">
        <x:v>81</x:v>
      </x:c>
      <x:c r="K275" s="47">
        <x:f>(F275-(0)+0-(J275*Ventas!AE283*1.0556))</x:f>
      </x:c>
      <x:c r="L275" s="6"/>
      <x:c r="M275" s="51">
        <x:f>(G275+0)</x:f>
      </x:c>
      <x:c r="N275" s="40"/>
      <x:c r="O275" s="54">
        <x:f>(H275+0)</x:f>
      </x:c>
      <x:c r="P275" s="43"/>
      <x:c r="Q275" s="55">
        <x:f>(K275+M275+O275)</x:f>
      </x:c>
      <x:c r="R275" s="56">
        <x:f>(((L275*7)+(N275*1)+(P275*0))/8)</x:f>
      </x:c>
      <x:c r="S275" s="47">
        <x:f>(180*(Ventas!AE283*0.9644) - IF(K275&gt;0,K275,0))</x:f>
      </x:c>
      <x:c r="T275" s="47">
        <x:f>IF(S275&gt;0,S275,0)</x:f>
      </x:c>
      <x:c r="U275" s="40"/>
      <x:c r="V275" s="40"/>
      <x:c r="W275" s="43"/>
      <x:c r="X275" s="43"/>
      <x:c r="Y275" s="47">
        <x:f>IF(K275&gt;0,K275+IF(T275&gt;0,T275,0),T275)</x:f>
      </x:c>
      <x:c r="Z275" s="40"/>
      <x:c r="AA275" s="43"/>
      <x:c r="AB275" s="6"/>
      <x:c r="AC275" s="6"/>
      <x:c r="AD275" s="40"/>
      <x:c r="AE275" s="40"/>
      <x:c r="AF275" s="43"/>
      <x:c r="AG275" s="43"/>
      <x:c r="AH275" s="6"/>
      <x:c r="AI275" s="6"/>
      <x:c r="AJ275" s="40"/>
      <x:c r="AK275" s="40"/>
      <x:c r="AL275" s="43"/>
      <x:c r="AM275" s="43"/>
      <x:c r="AN275" s="55">
        <x:f>(IF(AH275&gt;0,AH275,0)+IF(AJ275&gt;0,AJ275,0)+IF(AL275&gt;0,AL275,0))</x:f>
      </x:c>
      <x:c r="AO275" s="56">
        <x:f>(((AI275*7)+(AK275*1)+(AM275*1))/8)</x:f>
      </x:c>
      <x:c r="AP275" s="4" t="s">
        <x:v>51</x:v>
      </x:c>
    </x:row>
    <x:row r="276">
      <x:c r="A276" s="4" t="s">
        <x:v>865</x:v>
      </x:c>
      <x:c r="B276" s="4" t="s">
        <x:v>864</x:v>
      </x:c>
      <x:c r="C276" s="38" t="s">
        <x:v>863</x:v>
      </x:c>
      <x:c r="D276" s="41"/>
      <x:c r="E276" s="44"/>
      <x:c r="F276" s="8">
        <x:v>13</x:v>
      </x:c>
      <x:c r="G276" s="40"/>
      <x:c r="H276" s="43"/>
      <x:c r="I276" s="45">
        <x:v>46313</x:v>
      </x:c>
      <x:c r="J276" s="46">
        <x:v>81</x:v>
      </x:c>
      <x:c r="K276" s="47">
        <x:f>(F276-(0)+0-(J276*Ventas!AE284*1.0556))</x:f>
      </x:c>
      <x:c r="L276" s="49">
        <x:f>(K276/(Ventas!AE284*1.0556)/80)</x:f>
      </x:c>
      <x:c r="M276" s="51">
        <x:f>(G276+0)</x:f>
      </x:c>
      <x:c r="N276" s="40"/>
      <x:c r="O276" s="54">
        <x:f>(H276+0)</x:f>
      </x:c>
      <x:c r="P276" s="43"/>
      <x:c r="Q276" s="55">
        <x:f>(K276+M276+O276)</x:f>
      </x:c>
      <x:c r="R276" s="56">
        <x:f>(((L276*7)+(N276*1)+(P276*0))/8)</x:f>
      </x:c>
      <x:c r="S276" s="47">
        <x:f>(180*(Ventas!AE284*0.9644) - IF(K276&gt;0,K276,0))</x:f>
      </x:c>
      <x:c r="T276" s="47">
        <x:f>IF(S276&gt;0,S276,0)</x:f>
      </x:c>
      <x:c r="U276" s="40"/>
      <x:c r="V276" s="40"/>
      <x:c r="W276" s="43"/>
      <x:c r="X276" s="43"/>
      <x:c r="Y276" s="47">
        <x:f>IF(K276&gt;0,K276+IF(T276&gt;0,T276,0),T276)</x:f>
      </x:c>
      <x:c r="Z276" s="40"/>
      <x:c r="AA276" s="43"/>
      <x:c r="AB276" s="50">
        <x:v>4.3</x:v>
      </x:c>
      <x:c r="AC276" s="8">
        <x:v>3016</x:v>
      </x:c>
      <x:c r="AD276" s="40"/>
      <x:c r="AE276" s="40"/>
      <x:c r="AF276" s="43"/>
      <x:c r="AG276" s="43"/>
      <x:c r="AH276" s="47">
        <x:f>(Y276-(90*Ventas!AE284*0.9644))</x:f>
      </x:c>
      <x:c r="AI276" s="49">
        <x:f>(AH276/(Ventas!AE284*0.9644)/80)</x:f>
      </x:c>
      <x:c r="AJ276" s="40"/>
      <x:c r="AK276" s="40"/>
      <x:c r="AL276" s="43"/>
      <x:c r="AM276" s="43"/>
      <x:c r="AN276" s="55">
        <x:f>(IF(AH276&gt;0,AH276,0)+IF(AJ276&gt;0,AJ276,0)+IF(AL276&gt;0,AL276,0))</x:f>
      </x:c>
      <x:c r="AO276" s="56">
        <x:f>(((AI276*7)+(AK276*1)+(AM276*1))/8)</x:f>
      </x:c>
      <x:c r="AP276" s="4" t="s">
        <x:v>35</x:v>
      </x:c>
    </x:row>
    <x:row r="277">
      <x:c r="A277" s="4" t="s">
        <x:v>868</x:v>
      </x:c>
      <x:c r="B277" s="4" t="s">
        <x:v>867</x:v>
      </x:c>
      <x:c r="C277" s="38" t="s">
        <x:v>866</x:v>
      </x:c>
      <x:c r="D277" s="41"/>
      <x:c r="E277" s="44"/>
      <x:c r="F277" s="6"/>
      <x:c r="G277" s="40"/>
      <x:c r="H277" s="43"/>
      <x:c r="I277" s="45">
        <x:v>46313</x:v>
      </x:c>
      <x:c r="J277" s="46">
        <x:v>81</x:v>
      </x:c>
      <x:c r="K277" s="47">
        <x:f>(F277-(0)+0-(J277*Ventas!AE285*1.0556))</x:f>
      </x:c>
      <x:c r="L277" s="6"/>
      <x:c r="M277" s="51">
        <x:f>(G277+0)</x:f>
      </x:c>
      <x:c r="N277" s="40"/>
      <x:c r="O277" s="54">
        <x:f>(H277+0)</x:f>
      </x:c>
      <x:c r="P277" s="43"/>
      <x:c r="Q277" s="55">
        <x:f>(K277+M277+O277)</x:f>
      </x:c>
      <x:c r="R277" s="56">
        <x:f>(((L277*7)+(N277*1)+(P277*0))/8)</x:f>
      </x:c>
      <x:c r="S277" s="47">
        <x:f>(180*(Ventas!AE285*0.9644) - IF(K277&gt;0,K277,0))</x:f>
      </x:c>
      <x:c r="T277" s="47">
        <x:f>IF(S277&gt;0,S277,0)</x:f>
      </x:c>
      <x:c r="U277" s="40"/>
      <x:c r="V277" s="40"/>
      <x:c r="W277" s="43"/>
      <x:c r="X277" s="43"/>
      <x:c r="Y277" s="47">
        <x:f>IF(K277&gt;0,K277+IF(T277&gt;0,T277,0),T277)</x:f>
      </x:c>
      <x:c r="Z277" s="40"/>
      <x:c r="AA277" s="43"/>
      <x:c r="AB277" s="6"/>
      <x:c r="AC277" s="6"/>
      <x:c r="AD277" s="40"/>
      <x:c r="AE277" s="40"/>
      <x:c r="AF277" s="43"/>
      <x:c r="AG277" s="43"/>
      <x:c r="AH277" s="6"/>
      <x:c r="AI277" s="6"/>
      <x:c r="AJ277" s="40"/>
      <x:c r="AK277" s="40"/>
      <x:c r="AL277" s="43"/>
      <x:c r="AM277" s="43"/>
      <x:c r="AN277" s="55">
        <x:f>(IF(AH277&gt;0,AH277,0)+IF(AJ277&gt;0,AJ277,0)+IF(AL277&gt;0,AL277,0))</x:f>
      </x:c>
      <x:c r="AO277" s="56">
        <x:f>(((AI277*7)+(AK277*1)+(AM277*1))/8)</x:f>
      </x:c>
      <x:c r="AP277" s="4" t="s">
        <x:v>51</x:v>
      </x:c>
    </x:row>
    <x:row r="278">
      <x:c r="A278" s="4" t="s">
        <x:v>871</x:v>
      </x:c>
      <x:c r="B278" s="4" t="s">
        <x:v>870</x:v>
      </x:c>
      <x:c r="C278" s="38" t="s">
        <x:v>869</x:v>
      </x:c>
      <x:c r="D278" s="41"/>
      <x:c r="E278" s="44"/>
      <x:c r="F278" s="8">
        <x:v>73</x:v>
      </x:c>
      <x:c r="G278" s="40"/>
      <x:c r="H278" s="43"/>
      <x:c r="I278" s="45">
        <x:v>46313</x:v>
      </x:c>
      <x:c r="J278" s="46">
        <x:v>81</x:v>
      </x:c>
      <x:c r="K278" s="47">
        <x:f>(F278-(0)+0-(J278*Ventas!AE286*1.0556))</x:f>
      </x:c>
      <x:c r="L278" s="49">
        <x:f>(K278/(Ventas!AE286*1.0556)/80)</x:f>
      </x:c>
      <x:c r="M278" s="51">
        <x:f>(G278+0)</x:f>
      </x:c>
      <x:c r="N278" s="40"/>
      <x:c r="O278" s="54">
        <x:f>(H278+0)</x:f>
      </x:c>
      <x:c r="P278" s="43"/>
      <x:c r="Q278" s="55">
        <x:f>(K278+M278+O278)</x:f>
      </x:c>
      <x:c r="R278" s="56">
        <x:f>(((L278*7)+(N278*1)+(P278*0))/8)</x:f>
      </x:c>
      <x:c r="S278" s="47">
        <x:f>(180*(Ventas!AE286*0.9644) - IF(K278&gt;0,K278,0))</x:f>
      </x:c>
      <x:c r="T278" s="47">
        <x:f>IF(S278&gt;0,S278,0)</x:f>
      </x:c>
      <x:c r="U278" s="40"/>
      <x:c r="V278" s="40"/>
      <x:c r="W278" s="43"/>
      <x:c r="X278" s="43"/>
      <x:c r="Y278" s="47">
        <x:f>IF(K278&gt;0,K278+IF(T278&gt;0,T278,0),T278)</x:f>
      </x:c>
      <x:c r="Z278" s="40"/>
      <x:c r="AA278" s="43"/>
      <x:c r="AB278" s="50">
        <x:v>2.8</x:v>
      </x:c>
      <x:c r="AC278" s="8">
        <x:v>3016</x:v>
      </x:c>
      <x:c r="AD278" s="40"/>
      <x:c r="AE278" s="40"/>
      <x:c r="AF278" s="43"/>
      <x:c r="AG278" s="43"/>
      <x:c r="AH278" s="47">
        <x:f>(Y278-(90*Ventas!AE286*0.9644))</x:f>
      </x:c>
      <x:c r="AI278" s="49">
        <x:f>(AH278/(Ventas!AE286*0.9644)/80)</x:f>
      </x:c>
      <x:c r="AJ278" s="40"/>
      <x:c r="AK278" s="40"/>
      <x:c r="AL278" s="43"/>
      <x:c r="AM278" s="43"/>
      <x:c r="AN278" s="55">
        <x:f>(IF(AH278&gt;0,AH278,0)+IF(AJ278&gt;0,AJ278,0)+IF(AL278&gt;0,AL278,0))</x:f>
      </x:c>
      <x:c r="AO278" s="56">
        <x:f>(((AI278*7)+(AK278*1)+(AM278*1))/8)</x:f>
      </x:c>
      <x:c r="AP278" s="4" t="s">
        <x:v>35</x:v>
      </x:c>
    </x:row>
    <x:row r="279">
      <x:c r="A279" s="4" t="s">
        <x:v>874</x:v>
      </x:c>
      <x:c r="B279" s="4" t="s">
        <x:v>873</x:v>
      </x:c>
      <x:c r="C279" s="38" t="s">
        <x:v>872</x:v>
      </x:c>
      <x:c r="D279" s="41"/>
      <x:c r="E279" s="44"/>
      <x:c r="F279" s="8">
        <x:v>627</x:v>
      </x:c>
      <x:c r="G279" s="40"/>
      <x:c r="H279" s="43"/>
      <x:c r="I279" s="45">
        <x:v>46313</x:v>
      </x:c>
      <x:c r="J279" s="46">
        <x:v>81</x:v>
      </x:c>
      <x:c r="K279" s="47">
        <x:f>(F279-(0)+0-(J279*Ventas!AE287*1.0556))</x:f>
      </x:c>
      <x:c r="L279" s="49">
        <x:f>(K279/(Ventas!AE287*1.0556)/80)</x:f>
      </x:c>
      <x:c r="M279" s="51">
        <x:f>(G279+0)</x:f>
      </x:c>
      <x:c r="N279" s="40"/>
      <x:c r="O279" s="54">
        <x:f>(H279+0)</x:f>
      </x:c>
      <x:c r="P279" s="43"/>
      <x:c r="Q279" s="55">
        <x:f>(K279+M279+O279)</x:f>
      </x:c>
      <x:c r="R279" s="56">
        <x:f>(((L279*7)+(N279*1)+(P279*0))/8)</x:f>
      </x:c>
      <x:c r="S279" s="47">
        <x:f>(180*(Ventas!AE287*0.9644) - IF(K279&gt;0,K279,0))</x:f>
      </x:c>
      <x:c r="T279" s="47">
        <x:f>IF(S279&gt;0,S279,0)</x:f>
      </x:c>
      <x:c r="U279" s="40"/>
      <x:c r="V279" s="40"/>
      <x:c r="W279" s="43"/>
      <x:c r="X279" s="43"/>
      <x:c r="Y279" s="47">
        <x:f>IF(K279&gt;0,K279+IF(T279&gt;0,T279,0),T279)</x:f>
      </x:c>
      <x:c r="Z279" s="40"/>
      <x:c r="AA279" s="43"/>
      <x:c r="AB279" s="50">
        <x:v>3</x:v>
      </x:c>
      <x:c r="AC279" s="8">
        <x:v>3016</x:v>
      </x:c>
      <x:c r="AD279" s="40"/>
      <x:c r="AE279" s="40"/>
      <x:c r="AF279" s="43"/>
      <x:c r="AG279" s="43"/>
      <x:c r="AH279" s="47">
        <x:f>(Y279-(90*Ventas!AE287*0.9644))</x:f>
      </x:c>
      <x:c r="AI279" s="49">
        <x:f>(AH279/(Ventas!AE287*0.9644)/80)</x:f>
      </x:c>
      <x:c r="AJ279" s="40"/>
      <x:c r="AK279" s="40"/>
      <x:c r="AL279" s="43"/>
      <x:c r="AM279" s="43"/>
      <x:c r="AN279" s="55">
        <x:f>(IF(AH279&gt;0,AH279,0)+IF(AJ279&gt;0,AJ279,0)+IF(AL279&gt;0,AL279,0))</x:f>
      </x:c>
      <x:c r="AO279" s="56">
        <x:f>(((AI279*7)+(AK279*1)+(AM279*1))/8)</x:f>
      </x:c>
      <x:c r="AP279" s="4" t="s">
        <x:v>35</x:v>
      </x:c>
    </x:row>
    <x:row r="280">
      <x:c r="A280" s="4"/>
      <x:c r="B280" s="4" t="s">
        <x:v>876</x:v>
      </x:c>
      <x:c r="C280" s="38" t="s">
        <x:v>875</x:v>
      </x:c>
      <x:c r="D280" s="41"/>
      <x:c r="E280" s="44"/>
      <x:c r="F280" s="6"/>
      <x:c r="G280" s="40"/>
      <x:c r="H280" s="43"/>
      <x:c r="I280" s="45">
        <x:v>46313</x:v>
      </x:c>
      <x:c r="J280" s="46">
        <x:v>81</x:v>
      </x:c>
      <x:c r="K280" s="47">
        <x:f>(F280-(0)+0-(J280*Ventas!AE288*1.0556))</x:f>
      </x:c>
      <x:c r="L280" s="6"/>
      <x:c r="M280" s="51">
        <x:f>(G280+0)</x:f>
      </x:c>
      <x:c r="N280" s="40"/>
      <x:c r="O280" s="54">
        <x:f>(H280+0)</x:f>
      </x:c>
      <x:c r="P280" s="43"/>
      <x:c r="Q280" s="55">
        <x:f>(K280+M280+O280)</x:f>
      </x:c>
      <x:c r="R280" s="56">
        <x:f>(((L280*7)+(N280*1)+(P280*0))/8)</x:f>
      </x:c>
      <x:c r="S280" s="47">
        <x:f>(180*(Ventas!AE288*0.9644) - IF(K280&gt;0,K280,0))</x:f>
      </x:c>
      <x:c r="T280" s="47">
        <x:f>IF(S280&gt;0,S280,0)</x:f>
      </x:c>
      <x:c r="U280" s="40"/>
      <x:c r="V280" s="40"/>
      <x:c r="W280" s="43"/>
      <x:c r="X280" s="43"/>
      <x:c r="Y280" s="47">
        <x:f>IF(K280&gt;0,K280+IF(T280&gt;0,T280,0),T280)</x:f>
      </x:c>
      <x:c r="Z280" s="40"/>
      <x:c r="AA280" s="43"/>
      <x:c r="AB280" s="50">
        <x:v>3.89</x:v>
      </x:c>
      <x:c r="AC280" s="8">
        <x:v>3022</x:v>
      </x:c>
      <x:c r="AD280" s="40"/>
      <x:c r="AE280" s="40"/>
      <x:c r="AF280" s="43"/>
      <x:c r="AG280" s="43"/>
      <x:c r="AH280" s="6"/>
      <x:c r="AI280" s="6"/>
      <x:c r="AJ280" s="40"/>
      <x:c r="AK280" s="40"/>
      <x:c r="AL280" s="43"/>
      <x:c r="AM280" s="43"/>
      <x:c r="AN280" s="55">
        <x:f>(IF(AH280&gt;0,AH280,0)+IF(AJ280&gt;0,AJ280,0)+IF(AL280&gt;0,AL280,0))</x:f>
      </x:c>
      <x:c r="AO280" s="56">
        <x:f>(((AI280*7)+(AK280*1)+(AM280*1))/8)</x:f>
      </x:c>
      <x:c r="AP280" s="4" t="s">
        <x:v>35</x:v>
      </x:c>
    </x:row>
    <x:row r="281">
      <x:c r="A281" s="4" t="s">
        <x:v>879</x:v>
      </x:c>
      <x:c r="B281" s="4" t="s">
        <x:v>878</x:v>
      </x:c>
      <x:c r="C281" s="38" t="s">
        <x:v>877</x:v>
      </x:c>
      <x:c r="D281" s="41"/>
      <x:c r="E281" s="44"/>
      <x:c r="F281" s="6"/>
      <x:c r="G281" s="40"/>
      <x:c r="H281" s="43"/>
      <x:c r="I281" s="45">
        <x:v>46313</x:v>
      </x:c>
      <x:c r="J281" s="46">
        <x:v>81</x:v>
      </x:c>
      <x:c r="K281" s="47">
        <x:f>(F281-(0)+0-(J281*Ventas!AE289*1.0556))</x:f>
      </x:c>
      <x:c r="L281" s="6"/>
      <x:c r="M281" s="51">
        <x:f>(G281+0)</x:f>
      </x:c>
      <x:c r="N281" s="40"/>
      <x:c r="O281" s="54">
        <x:f>(H281+0)</x:f>
      </x:c>
      <x:c r="P281" s="43"/>
      <x:c r="Q281" s="55">
        <x:f>(K281+M281+O281)</x:f>
      </x:c>
      <x:c r="R281" s="56">
        <x:f>(((L281*7)+(N281*1)+(P281*0))/8)</x:f>
      </x:c>
      <x:c r="S281" s="47">
        <x:f>(180*(Ventas!AE289*0.9644) - IF(K281&gt;0,K281,0))</x:f>
      </x:c>
      <x:c r="T281" s="47">
        <x:f>IF(S281&gt;0,S281,0)</x:f>
      </x:c>
      <x:c r="U281" s="40"/>
      <x:c r="V281" s="40"/>
      <x:c r="W281" s="43"/>
      <x:c r="X281" s="43"/>
      <x:c r="Y281" s="47">
        <x:f>IF(K281&gt;0,K281+IF(T281&gt;0,T281,0),T281)</x:f>
      </x:c>
      <x:c r="Z281" s="40"/>
      <x:c r="AA281" s="43"/>
      <x:c r="AB281" s="6"/>
      <x:c r="AC281" s="6"/>
      <x:c r="AD281" s="40"/>
      <x:c r="AE281" s="40"/>
      <x:c r="AF281" s="43"/>
      <x:c r="AG281" s="43"/>
      <x:c r="AH281" s="6"/>
      <x:c r="AI281" s="6"/>
      <x:c r="AJ281" s="40"/>
      <x:c r="AK281" s="40"/>
      <x:c r="AL281" s="43"/>
      <x:c r="AM281" s="43"/>
      <x:c r="AN281" s="55">
        <x:f>(IF(AH281&gt;0,AH281,0)+IF(AJ281&gt;0,AJ281,0)+IF(AL281&gt;0,AL281,0))</x:f>
      </x:c>
      <x:c r="AO281" s="56">
        <x:f>(((AI281*7)+(AK281*1)+(AM281*1))/8)</x:f>
      </x:c>
      <x:c r="AP281" s="4" t="s">
        <x:v>35</x:v>
      </x:c>
    </x:row>
    <x:row r="282">
      <x:c r="A282" s="4" t="s">
        <x:v>882</x:v>
      </x:c>
      <x:c r="B282" s="4" t="s">
        <x:v>881</x:v>
      </x:c>
      <x:c r="C282" s="38" t="s">
        <x:v>880</x:v>
      </x:c>
      <x:c r="D282" s="41"/>
      <x:c r="E282" s="44"/>
      <x:c r="F282" s="6"/>
      <x:c r="G282" s="40"/>
      <x:c r="H282" s="43"/>
      <x:c r="I282" s="45">
        <x:v>46313</x:v>
      </x:c>
      <x:c r="J282" s="46">
        <x:v>81</x:v>
      </x:c>
      <x:c r="K282" s="47">
        <x:f>(F282-(0)+0-(J282*Ventas!AE290*1.0556))</x:f>
      </x:c>
      <x:c r="L282" s="6"/>
      <x:c r="M282" s="51">
        <x:f>(G282+0)</x:f>
      </x:c>
      <x:c r="N282" s="40"/>
      <x:c r="O282" s="54">
        <x:f>(H282+0)</x:f>
      </x:c>
      <x:c r="P282" s="43"/>
      <x:c r="Q282" s="55">
        <x:f>(K282+M282+O282)</x:f>
      </x:c>
      <x:c r="R282" s="56">
        <x:f>(((L282*7)+(N282*1)+(P282*0))/8)</x:f>
      </x:c>
      <x:c r="S282" s="47">
        <x:f>(180*(Ventas!AE290*0.9644) - IF(K282&gt;0,K282,0))</x:f>
      </x:c>
      <x:c r="T282" s="47">
        <x:f>IF(S282&gt;0,S282,0)</x:f>
      </x:c>
      <x:c r="U282" s="40"/>
      <x:c r="V282" s="40"/>
      <x:c r="W282" s="43"/>
      <x:c r="X282" s="43"/>
      <x:c r="Y282" s="47">
        <x:f>IF(K282&gt;0,K282+IF(T282&gt;0,T282,0),T282)</x:f>
      </x:c>
      <x:c r="Z282" s="40"/>
      <x:c r="AA282" s="43"/>
      <x:c r="AB282" s="6"/>
      <x:c r="AC282" s="6"/>
      <x:c r="AD282" s="40"/>
      <x:c r="AE282" s="40"/>
      <x:c r="AF282" s="43"/>
      <x:c r="AG282" s="43"/>
      <x:c r="AH282" s="6"/>
      <x:c r="AI282" s="6"/>
      <x:c r="AJ282" s="40"/>
      <x:c r="AK282" s="40"/>
      <x:c r="AL282" s="43"/>
      <x:c r="AM282" s="43"/>
      <x:c r="AN282" s="55">
        <x:f>(IF(AH282&gt;0,AH282,0)+IF(AJ282&gt;0,AJ282,0)+IF(AL282&gt;0,AL282,0))</x:f>
      </x:c>
      <x:c r="AO282" s="56">
        <x:f>(((AI282*7)+(AK282*1)+(AM282*1))/8)</x:f>
      </x:c>
      <x:c r="AP282" s="4" t="s">
        <x:v>51</x:v>
      </x:c>
    </x:row>
    <x:row r="283">
      <x:c r="A283" s="4" t="s">
        <x:v>885</x:v>
      </x:c>
      <x:c r="B283" s="4" t="s">
        <x:v>884</x:v>
      </x:c>
      <x:c r="C283" s="38" t="s">
        <x:v>883</x:v>
      </x:c>
      <x:c r="D283" s="41"/>
      <x:c r="E283" s="44"/>
      <x:c r="F283" s="8">
        <x:v>5</x:v>
      </x:c>
      <x:c r="G283" s="40"/>
      <x:c r="H283" s="43"/>
      <x:c r="I283" s="45">
        <x:v>46313</x:v>
      </x:c>
      <x:c r="J283" s="46">
        <x:v>81</x:v>
      </x:c>
      <x:c r="K283" s="47">
        <x:f>(F283-(0)+0-(J283*Ventas!AE291*1.0556))</x:f>
      </x:c>
      <x:c r="L283" s="49">
        <x:f>(K283/(Ventas!AE291*1.0556)/80)</x:f>
      </x:c>
      <x:c r="M283" s="51">
        <x:f>(G283+0)</x:f>
      </x:c>
      <x:c r="N283" s="40"/>
      <x:c r="O283" s="54">
        <x:f>(H283+0)</x:f>
      </x:c>
      <x:c r="P283" s="43"/>
      <x:c r="Q283" s="55">
        <x:f>(K283+M283+O283)</x:f>
      </x:c>
      <x:c r="R283" s="56">
        <x:f>(((L283*7)+(N283*1)+(P283*0))/8)</x:f>
      </x:c>
      <x:c r="S283" s="47">
        <x:f>(180*(Ventas!AE291*0.9644) - IF(K283&gt;0,K283,0))</x:f>
      </x:c>
      <x:c r="T283" s="47">
        <x:f>IF(S283&gt;0,S283,0)</x:f>
      </x:c>
      <x:c r="U283" s="40"/>
      <x:c r="V283" s="40"/>
      <x:c r="W283" s="43"/>
      <x:c r="X283" s="43"/>
      <x:c r="Y283" s="47">
        <x:f>IF(K283&gt;0,K283+IF(T283&gt;0,T283,0),T283)</x:f>
      </x:c>
      <x:c r="Z283" s="40"/>
      <x:c r="AA283" s="43"/>
      <x:c r="AB283" s="50">
        <x:v>5.2965</x:v>
      </x:c>
      <x:c r="AC283" s="8">
        <x:v>3022</x:v>
      </x:c>
      <x:c r="AD283" s="40"/>
      <x:c r="AE283" s="40"/>
      <x:c r="AF283" s="43"/>
      <x:c r="AG283" s="43"/>
      <x:c r="AH283" s="47">
        <x:f>(Y283-(90*Ventas!AE291*0.9644))</x:f>
      </x:c>
      <x:c r="AI283" s="49">
        <x:f>(AH283/(Ventas!AE291*0.9644)/80)</x:f>
      </x:c>
      <x:c r="AJ283" s="40"/>
      <x:c r="AK283" s="40"/>
      <x:c r="AL283" s="43"/>
      <x:c r="AM283" s="43"/>
      <x:c r="AN283" s="55">
        <x:f>(IF(AH283&gt;0,AH283,0)+IF(AJ283&gt;0,AJ283,0)+IF(AL283&gt;0,AL283,0))</x:f>
      </x:c>
      <x:c r="AO283" s="56">
        <x:f>(((AI283*7)+(AK283*1)+(AM283*1))/8)</x:f>
      </x:c>
      <x:c r="AP283" s="4" t="s">
        <x:v>35</x:v>
      </x:c>
    </x:row>
    <x:row r="284">
      <x:c r="A284" s="4" t="s">
        <x:v>888</x:v>
      </x:c>
      <x:c r="B284" s="4" t="s">
        <x:v>887</x:v>
      </x:c>
      <x:c r="C284" s="38" t="s">
        <x:v>886</x:v>
      </x:c>
      <x:c r="D284" s="41"/>
      <x:c r="E284" s="44"/>
      <x:c r="F284" s="8">
        <x:v>43</x:v>
      </x:c>
      <x:c r="G284" s="40"/>
      <x:c r="H284" s="43"/>
      <x:c r="I284" s="45">
        <x:v>46313</x:v>
      </x:c>
      <x:c r="J284" s="46">
        <x:v>81</x:v>
      </x:c>
      <x:c r="K284" s="47">
        <x:f>(F284-(0)+0-(J284*Ventas!AE292*1.0556))</x:f>
      </x:c>
      <x:c r="L284" s="49">
        <x:f>(K284/(Ventas!AE292*1.0556)/80)</x:f>
      </x:c>
      <x:c r="M284" s="51">
        <x:f>(G284+0)</x:f>
      </x:c>
      <x:c r="N284" s="40"/>
      <x:c r="O284" s="54">
        <x:f>(H284+0)</x:f>
      </x:c>
      <x:c r="P284" s="43"/>
      <x:c r="Q284" s="55">
        <x:f>(K284+M284+O284)</x:f>
      </x:c>
      <x:c r="R284" s="56">
        <x:f>(((L284*7)+(N284*1)+(P284*0))/8)</x:f>
      </x:c>
      <x:c r="S284" s="47">
        <x:f>(180*(Ventas!AE292*0.9644) - IF(K284&gt;0,K284,0))</x:f>
      </x:c>
      <x:c r="T284" s="47">
        <x:f>IF(S284&gt;0,S284,0)</x:f>
      </x:c>
      <x:c r="U284" s="40"/>
      <x:c r="V284" s="40"/>
      <x:c r="W284" s="43"/>
      <x:c r="X284" s="43"/>
      <x:c r="Y284" s="47">
        <x:f>IF(K284&gt;0,K284+IF(T284&gt;0,T284,0),T284)</x:f>
      </x:c>
      <x:c r="Z284" s="40"/>
      <x:c r="AA284" s="43"/>
      <x:c r="AB284" s="50">
        <x:v>4</x:v>
      </x:c>
      <x:c r="AC284" s="8">
        <x:v>3016</x:v>
      </x:c>
      <x:c r="AD284" s="40"/>
      <x:c r="AE284" s="40"/>
      <x:c r="AF284" s="43"/>
      <x:c r="AG284" s="43"/>
      <x:c r="AH284" s="47">
        <x:f>(Y284-(90*Ventas!AE292*0.9644))</x:f>
      </x:c>
      <x:c r="AI284" s="49">
        <x:f>(AH284/(Ventas!AE292*0.9644)/80)</x:f>
      </x:c>
      <x:c r="AJ284" s="40"/>
      <x:c r="AK284" s="40"/>
      <x:c r="AL284" s="43"/>
      <x:c r="AM284" s="43"/>
      <x:c r="AN284" s="55">
        <x:f>(IF(AH284&gt;0,AH284,0)+IF(AJ284&gt;0,AJ284,0)+IF(AL284&gt;0,AL284,0))</x:f>
      </x:c>
      <x:c r="AO284" s="56">
        <x:f>(((AI284*7)+(AK284*1)+(AM284*1))/8)</x:f>
      </x:c>
      <x:c r="AP284" s="4" t="s">
        <x:v>35</x:v>
      </x:c>
    </x:row>
    <x:row r="285">
      <x:c r="A285" s="4" t="s">
        <x:v>891</x:v>
      </x:c>
      <x:c r="B285" s="4" t="s">
        <x:v>890</x:v>
      </x:c>
      <x:c r="C285" s="38" t="s">
        <x:v>889</x:v>
      </x:c>
      <x:c r="D285" s="41"/>
      <x:c r="E285" s="44"/>
      <x:c r="F285" s="6"/>
      <x:c r="G285" s="40"/>
      <x:c r="H285" s="43"/>
      <x:c r="I285" s="45">
        <x:v>46313</x:v>
      </x:c>
      <x:c r="J285" s="46">
        <x:v>81</x:v>
      </x:c>
      <x:c r="K285" s="47">
        <x:f>(F285-(0)+0-(J285*Ventas!AE293*1.0556))</x:f>
      </x:c>
      <x:c r="L285" s="6"/>
      <x:c r="M285" s="51">
        <x:f>(G285+0)</x:f>
      </x:c>
      <x:c r="N285" s="40"/>
      <x:c r="O285" s="54">
        <x:f>(H285+0)</x:f>
      </x:c>
      <x:c r="P285" s="43"/>
      <x:c r="Q285" s="55">
        <x:f>(K285+M285+O285)</x:f>
      </x:c>
      <x:c r="R285" s="56">
        <x:f>(((L285*7)+(N285*1)+(P285*0))/8)</x:f>
      </x:c>
      <x:c r="S285" s="47">
        <x:f>(180*(Ventas!AE293*0.9644) - IF(K285&gt;0,K285,0))</x:f>
      </x:c>
      <x:c r="T285" s="47">
        <x:f>IF(S285&gt;0,S285,0)</x:f>
      </x:c>
      <x:c r="U285" s="40"/>
      <x:c r="V285" s="40"/>
      <x:c r="W285" s="43"/>
      <x:c r="X285" s="43"/>
      <x:c r="Y285" s="47">
        <x:f>IF(K285&gt;0,K285+IF(T285&gt;0,T285,0),T285)</x:f>
      </x:c>
      <x:c r="Z285" s="40"/>
      <x:c r="AA285" s="43"/>
      <x:c r="AB285" s="6"/>
      <x:c r="AC285" s="6"/>
      <x:c r="AD285" s="40"/>
      <x:c r="AE285" s="40"/>
      <x:c r="AF285" s="43"/>
      <x:c r="AG285" s="43"/>
      <x:c r="AH285" s="6"/>
      <x:c r="AI285" s="6"/>
      <x:c r="AJ285" s="40"/>
      <x:c r="AK285" s="40"/>
      <x:c r="AL285" s="43"/>
      <x:c r="AM285" s="43"/>
      <x:c r="AN285" s="55">
        <x:f>(IF(AH285&gt;0,AH285,0)+IF(AJ285&gt;0,AJ285,0)+IF(AL285&gt;0,AL285,0))</x:f>
      </x:c>
      <x:c r="AO285" s="56">
        <x:f>(((AI285*7)+(AK285*1)+(AM285*1))/8)</x:f>
      </x:c>
      <x:c r="AP285" s="4" t="s">
        <x:v>35</x:v>
      </x:c>
    </x:row>
    <x:row r="286">
      <x:c r="A286" s="4" t="s">
        <x:v>894</x:v>
      </x:c>
      <x:c r="B286" s="4" t="s">
        <x:v>893</x:v>
      </x:c>
      <x:c r="C286" s="38" t="s">
        <x:v>892</x:v>
      </x:c>
      <x:c r="D286" s="41"/>
      <x:c r="E286" s="44"/>
      <x:c r="F286" s="6"/>
      <x:c r="G286" s="40"/>
      <x:c r="H286" s="43"/>
      <x:c r="I286" s="45">
        <x:v>46313</x:v>
      </x:c>
      <x:c r="J286" s="46">
        <x:v>81</x:v>
      </x:c>
      <x:c r="K286" s="47">
        <x:f>(F286-(0)+0-(J286*Ventas!AE294*1.0556))</x:f>
      </x:c>
      <x:c r="L286" s="6"/>
      <x:c r="M286" s="51">
        <x:f>(G286+0)</x:f>
      </x:c>
      <x:c r="N286" s="40"/>
      <x:c r="O286" s="54">
        <x:f>(H286+0)</x:f>
      </x:c>
      <x:c r="P286" s="43"/>
      <x:c r="Q286" s="55">
        <x:f>(K286+M286+O286)</x:f>
      </x:c>
      <x:c r="R286" s="56">
        <x:f>(((L286*7)+(N286*1)+(P286*0))/8)</x:f>
      </x:c>
      <x:c r="S286" s="47">
        <x:f>(180*(Ventas!AE294*0.9644) - IF(K286&gt;0,K286,0))</x:f>
      </x:c>
      <x:c r="T286" s="47">
        <x:f>IF(S286&gt;0,S286,0)</x:f>
      </x:c>
      <x:c r="U286" s="40"/>
      <x:c r="V286" s="40"/>
      <x:c r="W286" s="43"/>
      <x:c r="X286" s="43"/>
      <x:c r="Y286" s="47">
        <x:f>IF(K286&gt;0,K286+IF(T286&gt;0,T286,0),T286)</x:f>
      </x:c>
      <x:c r="Z286" s="40"/>
      <x:c r="AA286" s="43"/>
      <x:c r="AB286" s="6"/>
      <x:c r="AC286" s="6"/>
      <x:c r="AD286" s="40"/>
      <x:c r="AE286" s="40"/>
      <x:c r="AF286" s="43"/>
      <x:c r="AG286" s="43"/>
      <x:c r="AH286" s="6"/>
      <x:c r="AI286" s="6"/>
      <x:c r="AJ286" s="40"/>
      <x:c r="AK286" s="40"/>
      <x:c r="AL286" s="43"/>
      <x:c r="AM286" s="43"/>
      <x:c r="AN286" s="55">
        <x:f>(IF(AH286&gt;0,AH286,0)+IF(AJ286&gt;0,AJ286,0)+IF(AL286&gt;0,AL286,0))</x:f>
      </x:c>
      <x:c r="AO286" s="56">
        <x:f>(((AI286*7)+(AK286*1)+(AM286*1))/8)</x:f>
      </x:c>
      <x:c r="AP286" s="4" t="s">
        <x:v>35</x:v>
      </x:c>
    </x:row>
    <x:row r="287">
      <x:c r="A287" s="4" t="s">
        <x:v>897</x:v>
      </x:c>
      <x:c r="B287" s="4" t="s">
        <x:v>896</x:v>
      </x:c>
      <x:c r="C287" s="38" t="s">
        <x:v>895</x:v>
      </x:c>
      <x:c r="D287" s="41"/>
      <x:c r="E287" s="44"/>
      <x:c r="F287" s="8">
        <x:v>99</x:v>
      </x:c>
      <x:c r="G287" s="40"/>
      <x:c r="H287" s="43"/>
      <x:c r="I287" s="45">
        <x:v>46313</x:v>
      </x:c>
      <x:c r="J287" s="46">
        <x:v>81</x:v>
      </x:c>
      <x:c r="K287" s="47">
        <x:f>(F287-(0)+0-(J287*Ventas!AE295*1.0556))</x:f>
      </x:c>
      <x:c r="L287" s="49">
        <x:f>(K287/(Ventas!AE295*1.0556)/80)</x:f>
      </x:c>
      <x:c r="M287" s="51">
        <x:f>(G287+0)</x:f>
      </x:c>
      <x:c r="N287" s="40"/>
      <x:c r="O287" s="54">
        <x:f>(H287+0)</x:f>
      </x:c>
      <x:c r="P287" s="43"/>
      <x:c r="Q287" s="55">
        <x:f>(K287+M287+O287)</x:f>
      </x:c>
      <x:c r="R287" s="56">
        <x:f>(((L287*7)+(N287*1)+(P287*0))/8)</x:f>
      </x:c>
      <x:c r="S287" s="47">
        <x:f>(180*(Ventas!AE295*0.9644) - IF(K287&gt;0,K287,0))</x:f>
      </x:c>
      <x:c r="T287" s="47">
        <x:f>IF(S287&gt;0,S287,0)</x:f>
      </x:c>
      <x:c r="U287" s="40"/>
      <x:c r="V287" s="40"/>
      <x:c r="W287" s="43"/>
      <x:c r="X287" s="43"/>
      <x:c r="Y287" s="47">
        <x:f>IF(K287&gt;0,K287+IF(T287&gt;0,T287,0),T287)</x:f>
      </x:c>
      <x:c r="Z287" s="40"/>
      <x:c r="AA287" s="43"/>
      <x:c r="AB287" s="50">
        <x:v>3.6</x:v>
      </x:c>
      <x:c r="AC287" s="8">
        <x:v>3016</x:v>
      </x:c>
      <x:c r="AD287" s="40"/>
      <x:c r="AE287" s="40"/>
      <x:c r="AF287" s="43"/>
      <x:c r="AG287" s="43"/>
      <x:c r="AH287" s="47">
        <x:f>(Y287-(90*Ventas!AE295*0.9644))</x:f>
      </x:c>
      <x:c r="AI287" s="49">
        <x:f>(AH287/(Ventas!AE295*0.9644)/80)</x:f>
      </x:c>
      <x:c r="AJ287" s="40"/>
      <x:c r="AK287" s="40"/>
      <x:c r="AL287" s="43"/>
      <x:c r="AM287" s="43"/>
      <x:c r="AN287" s="55">
        <x:f>(IF(AH287&gt;0,AH287,0)+IF(AJ287&gt;0,AJ287,0)+IF(AL287&gt;0,AL287,0))</x:f>
      </x:c>
      <x:c r="AO287" s="56">
        <x:f>(((AI287*7)+(AK287*1)+(AM287*1))/8)</x:f>
      </x:c>
      <x:c r="AP287" s="4" t="s">
        <x:v>35</x:v>
      </x:c>
    </x:row>
    <x:row r="288">
      <x:c r="A288" s="4" t="s">
        <x:v>900</x:v>
      </x:c>
      <x:c r="B288" s="4" t="s">
        <x:v>899</x:v>
      </x:c>
      <x:c r="C288" s="38" t="s">
        <x:v>898</x:v>
      </x:c>
      <x:c r="D288" s="41"/>
      <x:c r="E288" s="44"/>
      <x:c r="F288" s="8">
        <x:v>68</x:v>
      </x:c>
      <x:c r="G288" s="40"/>
      <x:c r="H288" s="43"/>
      <x:c r="I288" s="45">
        <x:v>46313</x:v>
      </x:c>
      <x:c r="J288" s="46">
        <x:v>81</x:v>
      </x:c>
      <x:c r="K288" s="47">
        <x:f>(F288-(0)+0-(J288*Ventas!AE296*1.0556))</x:f>
      </x:c>
      <x:c r="L288" s="49">
        <x:f>(K288/(Ventas!AE296*1.0556)/80)</x:f>
      </x:c>
      <x:c r="M288" s="51">
        <x:f>(G288+0)</x:f>
      </x:c>
      <x:c r="N288" s="40"/>
      <x:c r="O288" s="54">
        <x:f>(H288+0)</x:f>
      </x:c>
      <x:c r="P288" s="43"/>
      <x:c r="Q288" s="55">
        <x:f>(K288+M288+O288)</x:f>
      </x:c>
      <x:c r="R288" s="56">
        <x:f>(((L288*7)+(N288*1)+(P288*0))/8)</x:f>
      </x:c>
      <x:c r="S288" s="47">
        <x:f>(180*(Ventas!AE296*0.9644) - IF(K288&gt;0,K288,0))</x:f>
      </x:c>
      <x:c r="T288" s="47">
        <x:f>IF(S288&gt;0,S288,0)</x:f>
      </x:c>
      <x:c r="U288" s="40"/>
      <x:c r="V288" s="40"/>
      <x:c r="W288" s="43"/>
      <x:c r="X288" s="43"/>
      <x:c r="Y288" s="47">
        <x:f>IF(K288&gt;0,K288+IF(T288&gt;0,T288,0),T288)</x:f>
      </x:c>
      <x:c r="Z288" s="40"/>
      <x:c r="AA288" s="43"/>
      <x:c r="AB288" s="50">
        <x:v>3.6</x:v>
      </x:c>
      <x:c r="AC288" s="8">
        <x:v>3016</x:v>
      </x:c>
      <x:c r="AD288" s="40"/>
      <x:c r="AE288" s="40"/>
      <x:c r="AF288" s="43"/>
      <x:c r="AG288" s="43"/>
      <x:c r="AH288" s="47">
        <x:f>(Y288-(90*Ventas!AE296*0.9644))</x:f>
      </x:c>
      <x:c r="AI288" s="49">
        <x:f>(AH288/(Ventas!AE296*0.9644)/80)</x:f>
      </x:c>
      <x:c r="AJ288" s="40"/>
      <x:c r="AK288" s="40"/>
      <x:c r="AL288" s="43"/>
      <x:c r="AM288" s="43"/>
      <x:c r="AN288" s="55">
        <x:f>(IF(AH288&gt;0,AH288,0)+IF(AJ288&gt;0,AJ288,0)+IF(AL288&gt;0,AL288,0))</x:f>
      </x:c>
      <x:c r="AO288" s="56">
        <x:f>(((AI288*7)+(AK288*1)+(AM288*1))/8)</x:f>
      </x:c>
      <x:c r="AP288" s="4" t="s">
        <x:v>35</x:v>
      </x:c>
    </x:row>
    <x:row r="289">
      <x:c r="A289" s="4" t="s">
        <x:v>903</x:v>
      </x:c>
      <x:c r="B289" s="4" t="s">
        <x:v>902</x:v>
      </x:c>
      <x:c r="C289" s="38" t="s">
        <x:v>901</x:v>
      </x:c>
      <x:c r="D289" s="41"/>
      <x:c r="E289" s="44"/>
      <x:c r="F289" s="6"/>
      <x:c r="G289" s="40"/>
      <x:c r="H289" s="43"/>
      <x:c r="I289" s="45">
        <x:v>46313</x:v>
      </x:c>
      <x:c r="J289" s="46">
        <x:v>81</x:v>
      </x:c>
      <x:c r="K289" s="47">
        <x:f>(F289-(0)+0-(J289*Ventas!AE297*1.0556))</x:f>
      </x:c>
      <x:c r="L289" s="6"/>
      <x:c r="M289" s="51">
        <x:f>(G289+0)</x:f>
      </x:c>
      <x:c r="N289" s="40"/>
      <x:c r="O289" s="54">
        <x:f>(H289+0)</x:f>
      </x:c>
      <x:c r="P289" s="43"/>
      <x:c r="Q289" s="55">
        <x:f>(K289+M289+O289)</x:f>
      </x:c>
      <x:c r="R289" s="56">
        <x:f>(((L289*7)+(N289*1)+(P289*0))/8)</x:f>
      </x:c>
      <x:c r="S289" s="47">
        <x:f>(180*(Ventas!AE297*0.9644) - IF(K289&gt;0,K289,0))</x:f>
      </x:c>
      <x:c r="T289" s="47">
        <x:f>IF(S289&gt;0,S289,0)</x:f>
      </x:c>
      <x:c r="U289" s="40"/>
      <x:c r="V289" s="40"/>
      <x:c r="W289" s="43"/>
      <x:c r="X289" s="43"/>
      <x:c r="Y289" s="47">
        <x:f>IF(K289&gt;0,K289+IF(T289&gt;0,T289,0),T289)</x:f>
      </x:c>
      <x:c r="Z289" s="40"/>
      <x:c r="AA289" s="43"/>
      <x:c r="AB289" s="50">
        <x:v>2.0075</x:v>
      </x:c>
      <x:c r="AC289" s="8">
        <x:v>3022</x:v>
      </x:c>
      <x:c r="AD289" s="40"/>
      <x:c r="AE289" s="40"/>
      <x:c r="AF289" s="43"/>
      <x:c r="AG289" s="43"/>
      <x:c r="AH289" s="6"/>
      <x:c r="AI289" s="6"/>
      <x:c r="AJ289" s="40"/>
      <x:c r="AK289" s="40"/>
      <x:c r="AL289" s="43"/>
      <x:c r="AM289" s="43"/>
      <x:c r="AN289" s="55">
        <x:f>(IF(AH289&gt;0,AH289,0)+IF(AJ289&gt;0,AJ289,0)+IF(AL289&gt;0,AL289,0))</x:f>
      </x:c>
      <x:c r="AO289" s="56">
        <x:f>(((AI289*7)+(AK289*1)+(AM289*1))/8)</x:f>
      </x:c>
      <x:c r="AP289" s="4" t="s">
        <x:v>35</x:v>
      </x:c>
    </x:row>
    <x:row r="290">
      <x:c r="A290" s="4" t="s">
        <x:v>906</x:v>
      </x:c>
      <x:c r="B290" s="4" t="s">
        <x:v>905</x:v>
      </x:c>
      <x:c r="C290" s="38" t="s">
        <x:v>904</x:v>
      </x:c>
      <x:c r="D290" s="41"/>
      <x:c r="E290" s="44"/>
      <x:c r="F290" s="8">
        <x:v>63</x:v>
      </x:c>
      <x:c r="G290" s="40"/>
      <x:c r="H290" s="43"/>
      <x:c r="I290" s="45">
        <x:v>46313</x:v>
      </x:c>
      <x:c r="J290" s="46">
        <x:v>81</x:v>
      </x:c>
      <x:c r="K290" s="47">
        <x:f>(F290-(0)+0-(J290*Ventas!AE298*1.0556))</x:f>
      </x:c>
      <x:c r="L290" s="49">
        <x:f>(K290/(Ventas!AE298*1.0556)/80)</x:f>
      </x:c>
      <x:c r="M290" s="51">
        <x:f>(G290+0)</x:f>
      </x:c>
      <x:c r="N290" s="40"/>
      <x:c r="O290" s="54">
        <x:f>(H290+0)</x:f>
      </x:c>
      <x:c r="P290" s="43"/>
      <x:c r="Q290" s="55">
        <x:f>(K290+M290+O290)</x:f>
      </x:c>
      <x:c r="R290" s="56">
        <x:f>(((L290*7)+(N290*1)+(P290*0))/8)</x:f>
      </x:c>
      <x:c r="S290" s="47">
        <x:f>(180*(Ventas!AE298*0.9644) - IF(K290&gt;0,K290,0))</x:f>
      </x:c>
      <x:c r="T290" s="47">
        <x:f>IF(S290&gt;0,S290,0)</x:f>
      </x:c>
      <x:c r="U290" s="40"/>
      <x:c r="V290" s="40"/>
      <x:c r="W290" s="43"/>
      <x:c r="X290" s="43"/>
      <x:c r="Y290" s="47">
        <x:f>IF(K290&gt;0,K290+IF(T290&gt;0,T290,0),T290)</x:f>
      </x:c>
      <x:c r="Z290" s="40"/>
      <x:c r="AA290" s="43"/>
      <x:c r="AB290" s="50">
        <x:v>2.75</x:v>
      </x:c>
      <x:c r="AC290" s="8">
        <x:v>3016</x:v>
      </x:c>
      <x:c r="AD290" s="40"/>
      <x:c r="AE290" s="40"/>
      <x:c r="AF290" s="43"/>
      <x:c r="AG290" s="43"/>
      <x:c r="AH290" s="47">
        <x:f>(Y290-(90*Ventas!AE298*0.9644))</x:f>
      </x:c>
      <x:c r="AI290" s="49">
        <x:f>(AH290/(Ventas!AE298*0.9644)/80)</x:f>
      </x:c>
      <x:c r="AJ290" s="40"/>
      <x:c r="AK290" s="40"/>
      <x:c r="AL290" s="43"/>
      <x:c r="AM290" s="43"/>
      <x:c r="AN290" s="55">
        <x:f>(IF(AH290&gt;0,AH290,0)+IF(AJ290&gt;0,AJ290,0)+IF(AL290&gt;0,AL290,0))</x:f>
      </x:c>
      <x:c r="AO290" s="56">
        <x:f>(((AI290*7)+(AK290*1)+(AM290*1))/8)</x:f>
      </x:c>
      <x:c r="AP290" s="4" t="s">
        <x:v>35</x:v>
      </x:c>
    </x:row>
    <x:row r="291">
      <x:c r="A291" s="4" t="s">
        <x:v>909</x:v>
      </x:c>
      <x:c r="B291" s="4" t="s">
        <x:v>908</x:v>
      </x:c>
      <x:c r="C291" s="38" t="s">
        <x:v>907</x:v>
      </x:c>
      <x:c r="D291" s="41"/>
      <x:c r="E291" s="44"/>
      <x:c r="F291" s="6"/>
      <x:c r="G291" s="40"/>
      <x:c r="H291" s="43"/>
      <x:c r="I291" s="45">
        <x:v>46313</x:v>
      </x:c>
      <x:c r="J291" s="46">
        <x:v>81</x:v>
      </x:c>
      <x:c r="K291" s="47">
        <x:f>(F291-(0)+0-(J291*Ventas!AE299*1.0556))</x:f>
      </x:c>
      <x:c r="L291" s="6"/>
      <x:c r="M291" s="51">
        <x:f>(G291+0)</x:f>
      </x:c>
      <x:c r="N291" s="40"/>
      <x:c r="O291" s="54">
        <x:f>(H291+0)</x:f>
      </x:c>
      <x:c r="P291" s="43"/>
      <x:c r="Q291" s="55">
        <x:f>(K291+M291+O291)</x:f>
      </x:c>
      <x:c r="R291" s="56">
        <x:f>(((L291*7)+(N291*1)+(P291*0))/8)</x:f>
      </x:c>
      <x:c r="S291" s="47">
        <x:f>(180*(Ventas!AE299*0.9644) - IF(K291&gt;0,K291,0))</x:f>
      </x:c>
      <x:c r="T291" s="47">
        <x:f>IF(S291&gt;0,S291,0)</x:f>
      </x:c>
      <x:c r="U291" s="40"/>
      <x:c r="V291" s="40"/>
      <x:c r="W291" s="43"/>
      <x:c r="X291" s="43"/>
      <x:c r="Y291" s="47">
        <x:f>IF(K291&gt;0,K291+IF(T291&gt;0,T291,0),T291)</x:f>
      </x:c>
      <x:c r="Z291" s="40"/>
      <x:c r="AA291" s="43"/>
      <x:c r="AB291" s="6"/>
      <x:c r="AC291" s="6"/>
      <x:c r="AD291" s="40"/>
      <x:c r="AE291" s="40"/>
      <x:c r="AF291" s="43"/>
      <x:c r="AG291" s="43"/>
      <x:c r="AH291" s="6"/>
      <x:c r="AI291" s="6"/>
      <x:c r="AJ291" s="40"/>
      <x:c r="AK291" s="40"/>
      <x:c r="AL291" s="43"/>
      <x:c r="AM291" s="43"/>
      <x:c r="AN291" s="55">
        <x:f>(IF(AH291&gt;0,AH291,0)+IF(AJ291&gt;0,AJ291,0)+IF(AL291&gt;0,AL291,0))</x:f>
      </x:c>
      <x:c r="AO291" s="56">
        <x:f>(((AI291*7)+(AK291*1)+(AM291*1))/8)</x:f>
      </x:c>
      <x:c r="AP291" s="4" t="s">
        <x:v>51</x:v>
      </x:c>
    </x:row>
    <x:row r="292">
      <x:c r="A292" s="4" t="s">
        <x:v>912</x:v>
      </x:c>
      <x:c r="B292" s="4" t="s">
        <x:v>911</x:v>
      </x:c>
      <x:c r="C292" s="38" t="s">
        <x:v>910</x:v>
      </x:c>
      <x:c r="D292" s="41"/>
      <x:c r="E292" s="44"/>
      <x:c r="F292" s="8">
        <x:v>135</x:v>
      </x:c>
      <x:c r="G292" s="40"/>
      <x:c r="H292" s="43"/>
      <x:c r="I292" s="45">
        <x:v>46313</x:v>
      </x:c>
      <x:c r="J292" s="46">
        <x:v>81</x:v>
      </x:c>
      <x:c r="K292" s="47">
        <x:f>(F292-(0)+0-(J292*Ventas!AE300*1.0556))</x:f>
      </x:c>
      <x:c r="L292" s="49">
        <x:f>(K292/(Ventas!AE300*1.0556)/80)</x:f>
      </x:c>
      <x:c r="M292" s="51">
        <x:f>(G292+0)</x:f>
      </x:c>
      <x:c r="N292" s="40"/>
      <x:c r="O292" s="54">
        <x:f>(H292+0)</x:f>
      </x:c>
      <x:c r="P292" s="43"/>
      <x:c r="Q292" s="55">
        <x:f>(K292+M292+O292)</x:f>
      </x:c>
      <x:c r="R292" s="56">
        <x:f>(((L292*7)+(N292*1)+(P292*0))/8)</x:f>
      </x:c>
      <x:c r="S292" s="47">
        <x:f>(180*(Ventas!AE300*0.9644) - IF(K292&gt;0,K292,0))</x:f>
      </x:c>
      <x:c r="T292" s="47">
        <x:f>IF(S292&gt;0,S292,0)</x:f>
      </x:c>
      <x:c r="U292" s="40"/>
      <x:c r="V292" s="40"/>
      <x:c r="W292" s="43"/>
      <x:c r="X292" s="43"/>
      <x:c r="Y292" s="47">
        <x:f>IF(K292&gt;0,K292+IF(T292&gt;0,T292,0),T292)</x:f>
      </x:c>
      <x:c r="Z292" s="40"/>
      <x:c r="AA292" s="43"/>
      <x:c r="AB292" s="50">
        <x:v>3.4</x:v>
      </x:c>
      <x:c r="AC292" s="8">
        <x:v>3016</x:v>
      </x:c>
      <x:c r="AD292" s="40"/>
      <x:c r="AE292" s="40"/>
      <x:c r="AF292" s="43"/>
      <x:c r="AG292" s="43"/>
      <x:c r="AH292" s="47">
        <x:f>(Y292-(90*Ventas!AE300*0.9644))</x:f>
      </x:c>
      <x:c r="AI292" s="49">
        <x:f>(AH292/(Ventas!AE300*0.9644)/80)</x:f>
      </x:c>
      <x:c r="AJ292" s="40"/>
      <x:c r="AK292" s="40"/>
      <x:c r="AL292" s="43"/>
      <x:c r="AM292" s="43"/>
      <x:c r="AN292" s="55">
        <x:f>(IF(AH292&gt;0,AH292,0)+IF(AJ292&gt;0,AJ292,0)+IF(AL292&gt;0,AL292,0))</x:f>
      </x:c>
      <x:c r="AO292" s="56">
        <x:f>(((AI292*7)+(AK292*1)+(AM292*1))/8)</x:f>
      </x:c>
      <x:c r="AP292" s="4" t="s">
        <x:v>35</x:v>
      </x:c>
    </x:row>
    <x:row r="293">
      <x:c r="A293" s="4" t="s">
        <x:v>915</x:v>
      </x:c>
      <x:c r="B293" s="4" t="s">
        <x:v>914</x:v>
      </x:c>
      <x:c r="C293" s="38" t="s">
        <x:v>913</x:v>
      </x:c>
      <x:c r="D293" s="41"/>
      <x:c r="E293" s="44"/>
      <x:c r="F293" s="8">
        <x:v>82</x:v>
      </x:c>
      <x:c r="G293" s="40"/>
      <x:c r="H293" s="43"/>
      <x:c r="I293" s="45">
        <x:v>46313</x:v>
      </x:c>
      <x:c r="J293" s="46">
        <x:v>81</x:v>
      </x:c>
      <x:c r="K293" s="47">
        <x:f>(F293-(0)+0-(J293*Ventas!AE301*1.0556))</x:f>
      </x:c>
      <x:c r="L293" s="49">
        <x:f>(K293/(Ventas!AE301*1.0556)/80)</x:f>
      </x:c>
      <x:c r="M293" s="51">
        <x:f>(G293+0)</x:f>
      </x:c>
      <x:c r="N293" s="40"/>
      <x:c r="O293" s="54">
        <x:f>(H293+0)</x:f>
      </x:c>
      <x:c r="P293" s="43"/>
      <x:c r="Q293" s="55">
        <x:f>(K293+M293+O293)</x:f>
      </x:c>
      <x:c r="R293" s="56">
        <x:f>(((L293*7)+(N293*1)+(P293*0))/8)</x:f>
      </x:c>
      <x:c r="S293" s="47">
        <x:f>(180*(Ventas!AE301*0.9644) - IF(K293&gt;0,K293,0))</x:f>
      </x:c>
      <x:c r="T293" s="47">
        <x:f>IF(S293&gt;0,S293,0)</x:f>
      </x:c>
      <x:c r="U293" s="40"/>
      <x:c r="V293" s="40"/>
      <x:c r="W293" s="43"/>
      <x:c r="X293" s="43"/>
      <x:c r="Y293" s="47">
        <x:f>IF(K293&gt;0,K293+IF(T293&gt;0,T293,0),T293)</x:f>
      </x:c>
      <x:c r="Z293" s="40"/>
      <x:c r="AA293" s="43"/>
      <x:c r="AB293" s="50">
        <x:v>3.1</x:v>
      </x:c>
      <x:c r="AC293" s="8">
        <x:v>3016</x:v>
      </x:c>
      <x:c r="AD293" s="40"/>
      <x:c r="AE293" s="40"/>
      <x:c r="AF293" s="43"/>
      <x:c r="AG293" s="43"/>
      <x:c r="AH293" s="47">
        <x:f>(Y293-(90*Ventas!AE301*0.9644))</x:f>
      </x:c>
      <x:c r="AI293" s="49">
        <x:f>(AH293/(Ventas!AE301*0.9644)/80)</x:f>
      </x:c>
      <x:c r="AJ293" s="40"/>
      <x:c r="AK293" s="40"/>
      <x:c r="AL293" s="43"/>
      <x:c r="AM293" s="43"/>
      <x:c r="AN293" s="55">
        <x:f>(IF(AH293&gt;0,AH293,0)+IF(AJ293&gt;0,AJ293,0)+IF(AL293&gt;0,AL293,0))</x:f>
      </x:c>
      <x:c r="AO293" s="56">
        <x:f>(((AI293*7)+(AK293*1)+(AM293*1))/8)</x:f>
      </x:c>
      <x:c r="AP293" s="4" t="s">
        <x:v>35</x:v>
      </x:c>
    </x:row>
    <x:row r="294">
      <x:c r="A294" s="4" t="s">
        <x:v>918</x:v>
      </x:c>
      <x:c r="B294" s="4" t="s">
        <x:v>917</x:v>
      </x:c>
      <x:c r="C294" s="38" t="s">
        <x:v>916</x:v>
      </x:c>
      <x:c r="D294" s="41"/>
      <x:c r="E294" s="44"/>
      <x:c r="F294" s="6"/>
      <x:c r="G294" s="40"/>
      <x:c r="H294" s="43"/>
      <x:c r="I294" s="45">
        <x:v>46313</x:v>
      </x:c>
      <x:c r="J294" s="46">
        <x:v>81</x:v>
      </x:c>
      <x:c r="K294" s="47">
        <x:f>(F294-(0)+0-(J294*Ventas!AE302*1.0556))</x:f>
      </x:c>
      <x:c r="L294" s="49">
        <x:f>(K294/(Ventas!AE302*1.0556)/80)</x:f>
      </x:c>
      <x:c r="M294" s="51">
        <x:f>(G294+0)</x:f>
      </x:c>
      <x:c r="N294" s="40"/>
      <x:c r="O294" s="54">
        <x:f>(H294+0)</x:f>
      </x:c>
      <x:c r="P294" s="43"/>
      <x:c r="Q294" s="55">
        <x:f>(K294+M294+O294)</x:f>
      </x:c>
      <x:c r="R294" s="56">
        <x:f>(((L294*7)+(N294*1)+(P294*0))/8)</x:f>
      </x:c>
      <x:c r="S294" s="47">
        <x:f>(180*(Ventas!AE302*0.9644) - IF(K294&gt;0,K294,0))</x:f>
      </x:c>
      <x:c r="T294" s="47">
        <x:f>IF(S294&gt;0,S294,0)</x:f>
      </x:c>
      <x:c r="U294" s="40"/>
      <x:c r="V294" s="40"/>
      <x:c r="W294" s="43"/>
      <x:c r="X294" s="43"/>
      <x:c r="Y294" s="47">
        <x:f>IF(K294&gt;0,K294+IF(T294&gt;0,T294,0),T294)</x:f>
      </x:c>
      <x:c r="Z294" s="40"/>
      <x:c r="AA294" s="43"/>
      <x:c r="AB294" s="50">
        <x:v>3.25</x:v>
      </x:c>
      <x:c r="AC294" s="8">
        <x:v>3016</x:v>
      </x:c>
      <x:c r="AD294" s="40"/>
      <x:c r="AE294" s="40"/>
      <x:c r="AF294" s="43"/>
      <x:c r="AG294" s="43"/>
      <x:c r="AH294" s="47">
        <x:f>(Y294-(90*Ventas!AE302*0.9644))</x:f>
      </x:c>
      <x:c r="AI294" s="49">
        <x:f>(AH294/(Ventas!AE302*0.9644)/80)</x:f>
      </x:c>
      <x:c r="AJ294" s="40"/>
      <x:c r="AK294" s="40"/>
      <x:c r="AL294" s="43"/>
      <x:c r="AM294" s="43"/>
      <x:c r="AN294" s="55">
        <x:f>(IF(AH294&gt;0,AH294,0)+IF(AJ294&gt;0,AJ294,0)+IF(AL294&gt;0,AL294,0))</x:f>
      </x:c>
      <x:c r="AO294" s="56">
        <x:f>(((AI294*7)+(AK294*1)+(AM294*1))/8)</x:f>
      </x:c>
      <x:c r="AP294" s="4" t="s">
        <x:v>35</x:v>
      </x:c>
    </x:row>
    <x:row r="295">
      <x:c r="A295" s="4" t="s">
        <x:v>921</x:v>
      </x:c>
      <x:c r="B295" s="4" t="s">
        <x:v>920</x:v>
      </x:c>
      <x:c r="C295" s="38" t="s">
        <x:v>919</x:v>
      </x:c>
      <x:c r="D295" s="41"/>
      <x:c r="E295" s="44"/>
      <x:c r="F295" s="6"/>
      <x:c r="G295" s="40"/>
      <x:c r="H295" s="43"/>
      <x:c r="I295" s="45">
        <x:v>46313</x:v>
      </x:c>
      <x:c r="J295" s="46">
        <x:v>81</x:v>
      </x:c>
      <x:c r="K295" s="47">
        <x:f>(F295-(0)+0-(J295*Ventas!AE303*1.0556))</x:f>
      </x:c>
      <x:c r="L295" s="6"/>
      <x:c r="M295" s="51">
        <x:f>(G295+0)</x:f>
      </x:c>
      <x:c r="N295" s="40"/>
      <x:c r="O295" s="54">
        <x:f>(H295+0)</x:f>
      </x:c>
      <x:c r="P295" s="43"/>
      <x:c r="Q295" s="55">
        <x:f>(K295+M295+O295)</x:f>
      </x:c>
      <x:c r="R295" s="56">
        <x:f>(((L295*7)+(N295*1)+(P295*0))/8)</x:f>
      </x:c>
      <x:c r="S295" s="47">
        <x:f>(180*(Ventas!AE303*0.9644) - IF(K295&gt;0,K295,0))</x:f>
      </x:c>
      <x:c r="T295" s="47">
        <x:f>IF(S295&gt;0,S295,0)</x:f>
      </x:c>
      <x:c r="U295" s="40"/>
      <x:c r="V295" s="40"/>
      <x:c r="W295" s="43"/>
      <x:c r="X295" s="43"/>
      <x:c r="Y295" s="47">
        <x:f>IF(K295&gt;0,K295+IF(T295&gt;0,T295,0),T295)</x:f>
      </x:c>
      <x:c r="Z295" s="40"/>
      <x:c r="AA295" s="43"/>
      <x:c r="AB295" s="50">
        <x:v>5.55</x:v>
      </x:c>
      <x:c r="AC295" s="8">
        <x:v>3022</x:v>
      </x:c>
      <x:c r="AD295" s="40"/>
      <x:c r="AE295" s="40"/>
      <x:c r="AF295" s="43"/>
      <x:c r="AG295" s="43"/>
      <x:c r="AH295" s="6"/>
      <x:c r="AI295" s="6"/>
      <x:c r="AJ295" s="40"/>
      <x:c r="AK295" s="40"/>
      <x:c r="AL295" s="43"/>
      <x:c r="AM295" s="43"/>
      <x:c r="AN295" s="55">
        <x:f>(IF(AH295&gt;0,AH295,0)+IF(AJ295&gt;0,AJ295,0)+IF(AL295&gt;0,AL295,0))</x:f>
      </x:c>
      <x:c r="AO295" s="56">
        <x:f>(((AI295*7)+(AK295*1)+(AM295*1))/8)</x:f>
      </x:c>
      <x:c r="AP295" s="4" t="s">
        <x:v>35</x:v>
      </x:c>
    </x:row>
    <x:row r="296">
      <x:c r="A296" s="4" t="s">
        <x:v>924</x:v>
      </x:c>
      <x:c r="B296" s="4" t="s">
        <x:v>923</x:v>
      </x:c>
      <x:c r="C296" s="38" t="s">
        <x:v>922</x:v>
      </x:c>
      <x:c r="D296" s="41"/>
      <x:c r="E296" s="44"/>
      <x:c r="F296" s="6"/>
      <x:c r="G296" s="40"/>
      <x:c r="H296" s="43"/>
      <x:c r="I296" s="45">
        <x:v>46313</x:v>
      </x:c>
      <x:c r="J296" s="46">
        <x:v>81</x:v>
      </x:c>
      <x:c r="K296" s="47">
        <x:f>(F296-(0)+0-(J296*Ventas!AE304*1.0556))</x:f>
      </x:c>
      <x:c r="L296" s="6"/>
      <x:c r="M296" s="51">
        <x:f>(G296+0)</x:f>
      </x:c>
      <x:c r="N296" s="40"/>
      <x:c r="O296" s="54">
        <x:f>(H296+0)</x:f>
      </x:c>
      <x:c r="P296" s="43"/>
      <x:c r="Q296" s="55">
        <x:f>(K296+M296+O296)</x:f>
      </x:c>
      <x:c r="R296" s="56">
        <x:f>(((L296*7)+(N296*1)+(P296*0))/8)</x:f>
      </x:c>
      <x:c r="S296" s="47">
        <x:f>(180*(Ventas!AE304*0.9644) - IF(K296&gt;0,K296,0))</x:f>
      </x:c>
      <x:c r="T296" s="47">
        <x:f>IF(S296&gt;0,S296,0)</x:f>
      </x:c>
      <x:c r="U296" s="40"/>
      <x:c r="V296" s="40"/>
      <x:c r="W296" s="43"/>
      <x:c r="X296" s="43"/>
      <x:c r="Y296" s="47">
        <x:f>IF(K296&gt;0,K296+IF(T296&gt;0,T296,0),T296)</x:f>
      </x:c>
      <x:c r="Z296" s="40"/>
      <x:c r="AA296" s="43"/>
      <x:c r="AB296" s="6"/>
      <x:c r="AC296" s="6"/>
      <x:c r="AD296" s="40"/>
      <x:c r="AE296" s="40"/>
      <x:c r="AF296" s="43"/>
      <x:c r="AG296" s="43"/>
      <x:c r="AH296" s="6"/>
      <x:c r="AI296" s="6"/>
      <x:c r="AJ296" s="40"/>
      <x:c r="AK296" s="40"/>
      <x:c r="AL296" s="43"/>
      <x:c r="AM296" s="43"/>
      <x:c r="AN296" s="55">
        <x:f>(IF(AH296&gt;0,AH296,0)+IF(AJ296&gt;0,AJ296,0)+IF(AL296&gt;0,AL296,0))</x:f>
      </x:c>
      <x:c r="AO296" s="56">
        <x:f>(((AI296*7)+(AK296*1)+(AM296*1))/8)</x:f>
      </x:c>
      <x:c r="AP296" s="4" t="s">
        <x:v>51</x:v>
      </x:c>
    </x:row>
    <x:row r="297">
      <x:c r="A297" s="4" t="s">
        <x:v>927</x:v>
      </x:c>
      <x:c r="B297" s="4" t="s">
        <x:v>926</x:v>
      </x:c>
      <x:c r="C297" s="38" t="s">
        <x:v>925</x:v>
      </x:c>
      <x:c r="D297" s="41"/>
      <x:c r="E297" s="44"/>
      <x:c r="F297" s="8">
        <x:v>12</x:v>
      </x:c>
      <x:c r="G297" s="40"/>
      <x:c r="H297" s="43"/>
      <x:c r="I297" s="45">
        <x:v>46313</x:v>
      </x:c>
      <x:c r="J297" s="46">
        <x:v>81</x:v>
      </x:c>
      <x:c r="K297" s="47">
        <x:f>(F297-(0)+0-(J297*Ventas!AE305*1.0556))</x:f>
      </x:c>
      <x:c r="L297" s="49">
        <x:f>(K297/(Ventas!AE305*1.0556)/80)</x:f>
      </x:c>
      <x:c r="M297" s="51">
        <x:f>(G297+0)</x:f>
      </x:c>
      <x:c r="N297" s="40"/>
      <x:c r="O297" s="54">
        <x:f>(H297+0)</x:f>
      </x:c>
      <x:c r="P297" s="43"/>
      <x:c r="Q297" s="55">
        <x:f>(K297+M297+O297)</x:f>
      </x:c>
      <x:c r="R297" s="56">
        <x:f>(((L297*7)+(N297*1)+(P297*0))/8)</x:f>
      </x:c>
      <x:c r="S297" s="47">
        <x:f>(180*(Ventas!AE305*0.9644) - IF(K297&gt;0,K297,0))</x:f>
      </x:c>
      <x:c r="T297" s="47">
        <x:f>IF(S297&gt;0,S297,0)</x:f>
      </x:c>
      <x:c r="U297" s="40"/>
      <x:c r="V297" s="40"/>
      <x:c r="W297" s="43"/>
      <x:c r="X297" s="43"/>
      <x:c r="Y297" s="47">
        <x:f>IF(K297&gt;0,K297+IF(T297&gt;0,T297,0),T297)</x:f>
      </x:c>
      <x:c r="Z297" s="40"/>
      <x:c r="AA297" s="43"/>
      <x:c r="AB297" s="50">
        <x:v>2.6</x:v>
      </x:c>
      <x:c r="AC297" s="8">
        <x:v>3016</x:v>
      </x:c>
      <x:c r="AD297" s="40"/>
      <x:c r="AE297" s="40"/>
      <x:c r="AF297" s="43"/>
      <x:c r="AG297" s="43"/>
      <x:c r="AH297" s="47">
        <x:f>(Y297-(90*Ventas!AE305*0.9644))</x:f>
      </x:c>
      <x:c r="AI297" s="49">
        <x:f>(AH297/(Ventas!AE305*0.9644)/80)</x:f>
      </x:c>
      <x:c r="AJ297" s="40"/>
      <x:c r="AK297" s="40"/>
      <x:c r="AL297" s="43"/>
      <x:c r="AM297" s="43"/>
      <x:c r="AN297" s="55">
        <x:f>(IF(AH297&gt;0,AH297,0)+IF(AJ297&gt;0,AJ297,0)+IF(AL297&gt;0,AL297,0))</x:f>
      </x:c>
      <x:c r="AO297" s="56">
        <x:f>(((AI297*7)+(AK297*1)+(AM297*1))/8)</x:f>
      </x:c>
      <x:c r="AP297" s="4" t="s">
        <x:v>35</x:v>
      </x:c>
    </x:row>
    <x:row r="298">
      <x:c r="A298" s="4" t="s">
        <x:v>930</x:v>
      </x:c>
      <x:c r="B298" s="4" t="s">
        <x:v>929</x:v>
      </x:c>
      <x:c r="C298" s="38" t="s">
        <x:v>928</x:v>
      </x:c>
      <x:c r="D298" s="41"/>
      <x:c r="E298" s="44"/>
      <x:c r="F298" s="6"/>
      <x:c r="G298" s="40"/>
      <x:c r="H298" s="43"/>
      <x:c r="I298" s="45">
        <x:v>46313</x:v>
      </x:c>
      <x:c r="J298" s="46">
        <x:v>81</x:v>
      </x:c>
      <x:c r="K298" s="47">
        <x:f>(F298-(0)+0-(J298*Ventas!AE306*1.0556))</x:f>
      </x:c>
      <x:c r="L298" s="6"/>
      <x:c r="M298" s="51">
        <x:f>(G298+0)</x:f>
      </x:c>
      <x:c r="N298" s="40"/>
      <x:c r="O298" s="54">
        <x:f>(H298+0)</x:f>
      </x:c>
      <x:c r="P298" s="43"/>
      <x:c r="Q298" s="55">
        <x:f>(K298+M298+O298)</x:f>
      </x:c>
      <x:c r="R298" s="56">
        <x:f>(((L298*7)+(N298*1)+(P298*0))/8)</x:f>
      </x:c>
      <x:c r="S298" s="47">
        <x:f>(180*(Ventas!AE306*0.9644) - IF(K298&gt;0,K298,0))</x:f>
      </x:c>
      <x:c r="T298" s="47">
        <x:f>IF(S298&gt;0,S298,0)</x:f>
      </x:c>
      <x:c r="U298" s="40"/>
      <x:c r="V298" s="40"/>
      <x:c r="W298" s="43"/>
      <x:c r="X298" s="43"/>
      <x:c r="Y298" s="47">
        <x:f>IF(K298&gt;0,K298+IF(T298&gt;0,T298,0),T298)</x:f>
      </x:c>
      <x:c r="Z298" s="40"/>
      <x:c r="AA298" s="43"/>
      <x:c r="AB298" s="6"/>
      <x:c r="AC298" s="6"/>
      <x:c r="AD298" s="40"/>
      <x:c r="AE298" s="40"/>
      <x:c r="AF298" s="43"/>
      <x:c r="AG298" s="43"/>
      <x:c r="AH298" s="6"/>
      <x:c r="AI298" s="6"/>
      <x:c r="AJ298" s="40"/>
      <x:c r="AK298" s="40"/>
      <x:c r="AL298" s="43"/>
      <x:c r="AM298" s="43"/>
      <x:c r="AN298" s="55">
        <x:f>(IF(AH298&gt;0,AH298,0)+IF(AJ298&gt;0,AJ298,0)+IF(AL298&gt;0,AL298,0))</x:f>
      </x:c>
      <x:c r="AO298" s="56">
        <x:f>(((AI298*7)+(AK298*1)+(AM298*1))/8)</x:f>
      </x:c>
      <x:c r="AP298" s="4" t="s">
        <x:v>35</x:v>
      </x:c>
    </x:row>
    <x:row r="299">
      <x:c r="A299" s="4" t="s">
        <x:v>933</x:v>
      </x:c>
      <x:c r="B299" s="4" t="s">
        <x:v>932</x:v>
      </x:c>
      <x:c r="C299" s="38" t="s">
        <x:v>931</x:v>
      </x:c>
      <x:c r="D299" s="41"/>
      <x:c r="E299" s="44"/>
      <x:c r="F299" s="6"/>
      <x:c r="G299" s="40"/>
      <x:c r="H299" s="43"/>
      <x:c r="I299" s="45">
        <x:v>46313</x:v>
      </x:c>
      <x:c r="J299" s="46">
        <x:v>81</x:v>
      </x:c>
      <x:c r="K299" s="47">
        <x:f>(F299-(0)+0-(J299*Ventas!AE307*1.0556))</x:f>
      </x:c>
      <x:c r="L299" s="6"/>
      <x:c r="M299" s="51">
        <x:f>(G299+0)</x:f>
      </x:c>
      <x:c r="N299" s="40"/>
      <x:c r="O299" s="54">
        <x:f>(H299+0)</x:f>
      </x:c>
      <x:c r="P299" s="43"/>
      <x:c r="Q299" s="55">
        <x:f>(K299+M299+O299)</x:f>
      </x:c>
      <x:c r="R299" s="56">
        <x:f>(((L299*7)+(N299*1)+(P299*0))/8)</x:f>
      </x:c>
      <x:c r="S299" s="47">
        <x:f>(180*(Ventas!AE307*0.9644) - IF(K299&gt;0,K299,0))</x:f>
      </x:c>
      <x:c r="T299" s="47">
        <x:f>IF(S299&gt;0,S299,0)</x:f>
      </x:c>
      <x:c r="U299" s="40"/>
      <x:c r="V299" s="40"/>
      <x:c r="W299" s="43"/>
      <x:c r="X299" s="43"/>
      <x:c r="Y299" s="47">
        <x:f>IF(K299&gt;0,K299+IF(T299&gt;0,T299,0),T299)</x:f>
      </x:c>
      <x:c r="Z299" s="40"/>
      <x:c r="AA299" s="43"/>
      <x:c r="AB299" s="6"/>
      <x:c r="AC299" s="6"/>
      <x:c r="AD299" s="40"/>
      <x:c r="AE299" s="40"/>
      <x:c r="AF299" s="43"/>
      <x:c r="AG299" s="43"/>
      <x:c r="AH299" s="6"/>
      <x:c r="AI299" s="6"/>
      <x:c r="AJ299" s="40"/>
      <x:c r="AK299" s="40"/>
      <x:c r="AL299" s="43"/>
      <x:c r="AM299" s="43"/>
      <x:c r="AN299" s="55">
        <x:f>(IF(AH299&gt;0,AH299,0)+IF(AJ299&gt;0,AJ299,0)+IF(AL299&gt;0,AL299,0))</x:f>
      </x:c>
      <x:c r="AO299" s="56">
        <x:f>(((AI299*7)+(AK299*1)+(AM299*1))/8)</x:f>
      </x:c>
      <x:c r="AP299" s="4" t="s">
        <x:v>35</x:v>
      </x:c>
    </x:row>
    <x:row r="300">
      <x:c r="A300" s="4" t="s">
        <x:v>936</x:v>
      </x:c>
      <x:c r="B300" s="4" t="s">
        <x:v>935</x:v>
      </x:c>
      <x:c r="C300" s="38" t="s">
        <x:v>934</x:v>
      </x:c>
      <x:c r="D300" s="41"/>
      <x:c r="E300" s="44"/>
      <x:c r="F300" s="6"/>
      <x:c r="G300" s="40"/>
      <x:c r="H300" s="43"/>
      <x:c r="I300" s="45">
        <x:v>46313</x:v>
      </x:c>
      <x:c r="J300" s="46">
        <x:v>81</x:v>
      </x:c>
      <x:c r="K300" s="47">
        <x:f>(F300-(0)+0-(J300*Ventas!AE308*1.0556))</x:f>
      </x:c>
      <x:c r="L300" s="6"/>
      <x:c r="M300" s="51">
        <x:f>(G300+0)</x:f>
      </x:c>
      <x:c r="N300" s="40"/>
      <x:c r="O300" s="54">
        <x:f>(H300+0)</x:f>
      </x:c>
      <x:c r="P300" s="43"/>
      <x:c r="Q300" s="55">
        <x:f>(K300+M300+O300)</x:f>
      </x:c>
      <x:c r="R300" s="56">
        <x:f>(((L300*7)+(N300*1)+(P300*0))/8)</x:f>
      </x:c>
      <x:c r="S300" s="47">
        <x:f>(180*(Ventas!AE308*0.9644) - IF(K300&gt;0,K300,0))</x:f>
      </x:c>
      <x:c r="T300" s="47">
        <x:f>IF(S300&gt;0,S300,0)</x:f>
      </x:c>
      <x:c r="U300" s="40"/>
      <x:c r="V300" s="40"/>
      <x:c r="W300" s="43"/>
      <x:c r="X300" s="43"/>
      <x:c r="Y300" s="47">
        <x:f>IF(K300&gt;0,K300+IF(T300&gt;0,T300,0),T300)</x:f>
      </x:c>
      <x:c r="Z300" s="40"/>
      <x:c r="AA300" s="43"/>
      <x:c r="AB300" s="6"/>
      <x:c r="AC300" s="6"/>
      <x:c r="AD300" s="40"/>
      <x:c r="AE300" s="40"/>
      <x:c r="AF300" s="43"/>
      <x:c r="AG300" s="43"/>
      <x:c r="AH300" s="6"/>
      <x:c r="AI300" s="6"/>
      <x:c r="AJ300" s="40"/>
      <x:c r="AK300" s="40"/>
      <x:c r="AL300" s="43"/>
      <x:c r="AM300" s="43"/>
      <x:c r="AN300" s="55">
        <x:f>(IF(AH300&gt;0,AH300,0)+IF(AJ300&gt;0,AJ300,0)+IF(AL300&gt;0,AL300,0))</x:f>
      </x:c>
      <x:c r="AO300" s="56">
        <x:f>(((AI300*7)+(AK300*1)+(AM300*1))/8)</x:f>
      </x:c>
      <x:c r="AP300" s="4" t="s">
        <x:v>51</x:v>
      </x:c>
    </x:row>
    <x:row r="301">
      <x:c r="A301" s="4" t="s">
        <x:v>939</x:v>
      </x:c>
      <x:c r="B301" s="4" t="s">
        <x:v>938</x:v>
      </x:c>
      <x:c r="C301" s="38" t="s">
        <x:v>937</x:v>
      </x:c>
      <x:c r="D301" s="41"/>
      <x:c r="E301" s="44"/>
      <x:c r="F301" s="6"/>
      <x:c r="G301" s="40"/>
      <x:c r="H301" s="43"/>
      <x:c r="I301" s="45">
        <x:v>46313</x:v>
      </x:c>
      <x:c r="J301" s="46">
        <x:v>81</x:v>
      </x:c>
      <x:c r="K301" s="47">
        <x:f>(F301-(0)+0-(J301*Ventas!AE309*1.0556))</x:f>
      </x:c>
      <x:c r="L301" s="6"/>
      <x:c r="M301" s="51">
        <x:f>(G301+0)</x:f>
      </x:c>
      <x:c r="N301" s="40"/>
      <x:c r="O301" s="54">
        <x:f>(H301+0)</x:f>
      </x:c>
      <x:c r="P301" s="43"/>
      <x:c r="Q301" s="55">
        <x:f>(K301+M301+O301)</x:f>
      </x:c>
      <x:c r="R301" s="56">
        <x:f>(((L301*7)+(N301*1)+(P301*0))/8)</x:f>
      </x:c>
      <x:c r="S301" s="47">
        <x:f>(180*(Ventas!AE309*0.9644) - IF(K301&gt;0,K301,0))</x:f>
      </x:c>
      <x:c r="T301" s="47">
        <x:f>IF(S301&gt;0,S301,0)</x:f>
      </x:c>
      <x:c r="U301" s="40"/>
      <x:c r="V301" s="40"/>
      <x:c r="W301" s="43"/>
      <x:c r="X301" s="43"/>
      <x:c r="Y301" s="47">
        <x:f>IF(K301&gt;0,K301+IF(T301&gt;0,T301,0),T301)</x:f>
      </x:c>
      <x:c r="Z301" s="40"/>
      <x:c r="AA301" s="43"/>
      <x:c r="AB301" s="6"/>
      <x:c r="AC301" s="6"/>
      <x:c r="AD301" s="40"/>
      <x:c r="AE301" s="40"/>
      <x:c r="AF301" s="43"/>
      <x:c r="AG301" s="43"/>
      <x:c r="AH301" s="6"/>
      <x:c r="AI301" s="6"/>
      <x:c r="AJ301" s="40"/>
      <x:c r="AK301" s="40"/>
      <x:c r="AL301" s="43"/>
      <x:c r="AM301" s="43"/>
      <x:c r="AN301" s="55">
        <x:f>(IF(AH301&gt;0,AH301,0)+IF(AJ301&gt;0,AJ301,0)+IF(AL301&gt;0,AL301,0))</x:f>
      </x:c>
      <x:c r="AO301" s="56">
        <x:f>(((AI301*7)+(AK301*1)+(AM301*1))/8)</x:f>
      </x:c>
      <x:c r="AP301" s="4" t="s">
        <x:v>51</x:v>
      </x:c>
    </x:row>
    <x:row r="302">
      <x:c r="A302" s="4" t="s">
        <x:v>942</x:v>
      </x:c>
      <x:c r="B302" s="4" t="s">
        <x:v>941</x:v>
      </x:c>
      <x:c r="C302" s="38" t="s">
        <x:v>940</x:v>
      </x:c>
      <x:c r="D302" s="41"/>
      <x:c r="E302" s="44"/>
      <x:c r="F302" s="6"/>
      <x:c r="G302" s="40"/>
      <x:c r="H302" s="43"/>
      <x:c r="I302" s="45">
        <x:v>46313</x:v>
      </x:c>
      <x:c r="J302" s="46">
        <x:v>81</x:v>
      </x:c>
      <x:c r="K302" s="47">
        <x:f>(F302-(0)+0-(J302*Ventas!AE310*1.0556))</x:f>
      </x:c>
      <x:c r="L302" s="6"/>
      <x:c r="M302" s="51">
        <x:f>(G302+0)</x:f>
      </x:c>
      <x:c r="N302" s="40"/>
      <x:c r="O302" s="54">
        <x:f>(H302+0)</x:f>
      </x:c>
      <x:c r="P302" s="43"/>
      <x:c r="Q302" s="55">
        <x:f>(K302+M302+O302)</x:f>
      </x:c>
      <x:c r="R302" s="56">
        <x:f>(((L302*7)+(N302*1)+(P302*0))/8)</x:f>
      </x:c>
      <x:c r="S302" s="47">
        <x:f>(180*(Ventas!AE310*0.9644) - IF(K302&gt;0,K302,0))</x:f>
      </x:c>
      <x:c r="T302" s="47">
        <x:f>IF(S302&gt;0,S302,0)</x:f>
      </x:c>
      <x:c r="U302" s="40"/>
      <x:c r="V302" s="40"/>
      <x:c r="W302" s="43"/>
      <x:c r="X302" s="43"/>
      <x:c r="Y302" s="47">
        <x:f>IF(K302&gt;0,K302+IF(T302&gt;0,T302,0),T302)</x:f>
      </x:c>
      <x:c r="Z302" s="40"/>
      <x:c r="AA302" s="43"/>
      <x:c r="AB302" s="6"/>
      <x:c r="AC302" s="6"/>
      <x:c r="AD302" s="40"/>
      <x:c r="AE302" s="40"/>
      <x:c r="AF302" s="43"/>
      <x:c r="AG302" s="43"/>
      <x:c r="AH302" s="6"/>
      <x:c r="AI302" s="6"/>
      <x:c r="AJ302" s="40"/>
      <x:c r="AK302" s="40"/>
      <x:c r="AL302" s="43"/>
      <x:c r="AM302" s="43"/>
      <x:c r="AN302" s="55">
        <x:f>(IF(AH302&gt;0,AH302,0)+IF(AJ302&gt;0,AJ302,0)+IF(AL302&gt;0,AL302,0))</x:f>
      </x:c>
      <x:c r="AO302" s="56">
        <x:f>(((AI302*7)+(AK302*1)+(AM302*1))/8)</x:f>
      </x:c>
      <x:c r="AP302" s="4" t="s">
        <x:v>51</x:v>
      </x:c>
    </x:row>
    <x:row r="303">
      <x:c r="A303" s="4" t="s">
        <x:v>945</x:v>
      </x:c>
      <x:c r="B303" s="4" t="s">
        <x:v>944</x:v>
      </x:c>
      <x:c r="C303" s="38" t="s">
        <x:v>943</x:v>
      </x:c>
      <x:c r="D303" s="41"/>
      <x:c r="E303" s="44"/>
      <x:c r="F303" s="8">
        <x:v>12</x:v>
      </x:c>
      <x:c r="G303" s="40"/>
      <x:c r="H303" s="43"/>
      <x:c r="I303" s="45">
        <x:v>46313</x:v>
      </x:c>
      <x:c r="J303" s="46">
        <x:v>81</x:v>
      </x:c>
      <x:c r="K303" s="47">
        <x:f>(F303-(0)+0-(J303*Ventas!AE311*1.0556))</x:f>
      </x:c>
      <x:c r="L303" s="49">
        <x:f>(K303/(Ventas!AE311*1.0556)/80)</x:f>
      </x:c>
      <x:c r="M303" s="51">
        <x:f>(G303+0)</x:f>
      </x:c>
      <x:c r="N303" s="40"/>
      <x:c r="O303" s="54">
        <x:f>(H303+0)</x:f>
      </x:c>
      <x:c r="P303" s="43"/>
      <x:c r="Q303" s="55">
        <x:f>(K303+M303+O303)</x:f>
      </x:c>
      <x:c r="R303" s="56">
        <x:f>(((L303*7)+(N303*1)+(P303*0))/8)</x:f>
      </x:c>
      <x:c r="S303" s="47">
        <x:f>(180*(Ventas!AE311*0.9644) - IF(K303&gt;0,K303,0))</x:f>
      </x:c>
      <x:c r="T303" s="47">
        <x:f>IF(S303&gt;0,S303,0)</x:f>
      </x:c>
      <x:c r="U303" s="40"/>
      <x:c r="V303" s="40"/>
      <x:c r="W303" s="43"/>
      <x:c r="X303" s="43"/>
      <x:c r="Y303" s="47">
        <x:f>IF(K303&gt;0,K303+IF(T303&gt;0,T303,0),T303)</x:f>
      </x:c>
      <x:c r="Z303" s="40"/>
      <x:c r="AA303" s="43"/>
      <x:c r="AB303" s="50">
        <x:v>2.2</x:v>
      </x:c>
      <x:c r="AC303" s="8">
        <x:v>3016</x:v>
      </x:c>
      <x:c r="AD303" s="40"/>
      <x:c r="AE303" s="40"/>
      <x:c r="AF303" s="43"/>
      <x:c r="AG303" s="43"/>
      <x:c r="AH303" s="47">
        <x:f>(Y303-(90*Ventas!AE311*0.9644))</x:f>
      </x:c>
      <x:c r="AI303" s="49">
        <x:f>(AH303/(Ventas!AE311*0.9644)/80)</x:f>
      </x:c>
      <x:c r="AJ303" s="40"/>
      <x:c r="AK303" s="40"/>
      <x:c r="AL303" s="43"/>
      <x:c r="AM303" s="43"/>
      <x:c r="AN303" s="55">
        <x:f>(IF(AH303&gt;0,AH303,0)+IF(AJ303&gt;0,AJ303,0)+IF(AL303&gt;0,AL303,0))</x:f>
      </x:c>
      <x:c r="AO303" s="56">
        <x:f>(((AI303*7)+(AK303*1)+(AM303*1))/8)</x:f>
      </x:c>
      <x:c r="AP303" s="4" t="s">
        <x:v>35</x:v>
      </x:c>
    </x:row>
    <x:row r="304">
      <x:c r="A304" s="4" t="s">
        <x:v>948</x:v>
      </x:c>
      <x:c r="B304" s="4" t="s">
        <x:v>947</x:v>
      </x:c>
      <x:c r="C304" s="38" t="s">
        <x:v>946</x:v>
      </x:c>
      <x:c r="D304" s="41"/>
      <x:c r="E304" s="44"/>
      <x:c r="F304" s="6"/>
      <x:c r="G304" s="40"/>
      <x:c r="H304" s="43"/>
      <x:c r="I304" s="45">
        <x:v>46313</x:v>
      </x:c>
      <x:c r="J304" s="46">
        <x:v>81</x:v>
      </x:c>
      <x:c r="K304" s="47">
        <x:f>(F304-(0)+0-(J304*Ventas!AE312*1.0556))</x:f>
      </x:c>
      <x:c r="L304" s="6"/>
      <x:c r="M304" s="51">
        <x:f>(G304+0)</x:f>
      </x:c>
      <x:c r="N304" s="40"/>
      <x:c r="O304" s="54">
        <x:f>(H304+0)</x:f>
      </x:c>
      <x:c r="P304" s="43"/>
      <x:c r="Q304" s="55">
        <x:f>(K304+M304+O304)</x:f>
      </x:c>
      <x:c r="R304" s="56">
        <x:f>(((L304*7)+(N304*1)+(P304*0))/8)</x:f>
      </x:c>
      <x:c r="S304" s="47">
        <x:f>(180*(Ventas!AE312*0.9644) - IF(K304&gt;0,K304,0))</x:f>
      </x:c>
      <x:c r="T304" s="47">
        <x:f>IF(S304&gt;0,S304,0)</x:f>
      </x:c>
      <x:c r="U304" s="40"/>
      <x:c r="V304" s="40"/>
      <x:c r="W304" s="43"/>
      <x:c r="X304" s="43"/>
      <x:c r="Y304" s="47">
        <x:f>IF(K304&gt;0,K304+IF(T304&gt;0,T304,0),T304)</x:f>
      </x:c>
      <x:c r="Z304" s="40"/>
      <x:c r="AA304" s="43"/>
      <x:c r="AB304" s="6"/>
      <x:c r="AC304" s="6"/>
      <x:c r="AD304" s="40"/>
      <x:c r="AE304" s="40"/>
      <x:c r="AF304" s="43"/>
      <x:c r="AG304" s="43"/>
      <x:c r="AH304" s="6"/>
      <x:c r="AI304" s="6"/>
      <x:c r="AJ304" s="40"/>
      <x:c r="AK304" s="40"/>
      <x:c r="AL304" s="43"/>
      <x:c r="AM304" s="43"/>
      <x:c r="AN304" s="55">
        <x:f>(IF(AH304&gt;0,AH304,0)+IF(AJ304&gt;0,AJ304,0)+IF(AL304&gt;0,AL304,0))</x:f>
      </x:c>
      <x:c r="AO304" s="56">
        <x:f>(((AI304*7)+(AK304*1)+(AM304*1))/8)</x:f>
      </x:c>
      <x:c r="AP304" s="4" t="s">
        <x:v>51</x:v>
      </x:c>
    </x:row>
    <x:row r="305">
      <x:c r="A305" s="4" t="s">
        <x:v>951</x:v>
      </x:c>
      <x:c r="B305" s="4" t="s">
        <x:v>950</x:v>
      </x:c>
      <x:c r="C305" s="38" t="s">
        <x:v>949</x:v>
      </x:c>
      <x:c r="D305" s="41"/>
      <x:c r="E305" s="44"/>
      <x:c r="F305" s="6"/>
      <x:c r="G305" s="40"/>
      <x:c r="H305" s="43"/>
      <x:c r="I305" s="45">
        <x:v>46313</x:v>
      </x:c>
      <x:c r="J305" s="46">
        <x:v>81</x:v>
      </x:c>
      <x:c r="K305" s="47">
        <x:f>(F305-(0)+0-(J305*Ventas!AE313*1.0556))</x:f>
      </x:c>
      <x:c r="L305" s="6"/>
      <x:c r="M305" s="51">
        <x:f>(G305+0)</x:f>
      </x:c>
      <x:c r="N305" s="40"/>
      <x:c r="O305" s="54">
        <x:f>(H305+0)</x:f>
      </x:c>
      <x:c r="P305" s="43"/>
      <x:c r="Q305" s="55">
        <x:f>(K305+M305+O305)</x:f>
      </x:c>
      <x:c r="R305" s="56">
        <x:f>(((L305*7)+(N305*1)+(P305*0))/8)</x:f>
      </x:c>
      <x:c r="S305" s="47">
        <x:f>(180*(Ventas!AE313*0.9644) - IF(K305&gt;0,K305,0))</x:f>
      </x:c>
      <x:c r="T305" s="47">
        <x:f>IF(S305&gt;0,S305,0)</x:f>
      </x:c>
      <x:c r="U305" s="40"/>
      <x:c r="V305" s="40"/>
      <x:c r="W305" s="43"/>
      <x:c r="X305" s="43"/>
      <x:c r="Y305" s="47">
        <x:f>IF(K305&gt;0,K305+IF(T305&gt;0,T305,0),T305)</x:f>
      </x:c>
      <x:c r="Z305" s="40"/>
      <x:c r="AA305" s="43"/>
      <x:c r="AB305" s="6"/>
      <x:c r="AC305" s="6"/>
      <x:c r="AD305" s="40"/>
      <x:c r="AE305" s="40"/>
      <x:c r="AF305" s="43"/>
      <x:c r="AG305" s="43"/>
      <x:c r="AH305" s="6"/>
      <x:c r="AI305" s="6"/>
      <x:c r="AJ305" s="40"/>
      <x:c r="AK305" s="40"/>
      <x:c r="AL305" s="43"/>
      <x:c r="AM305" s="43"/>
      <x:c r="AN305" s="55">
        <x:f>(IF(AH305&gt;0,AH305,0)+IF(AJ305&gt;0,AJ305,0)+IF(AL305&gt;0,AL305,0))</x:f>
      </x:c>
      <x:c r="AO305" s="56">
        <x:f>(((AI305*7)+(AK305*1)+(AM305*1))/8)</x:f>
      </x:c>
      <x:c r="AP305" s="4" t="s">
        <x:v>51</x:v>
      </x:c>
    </x:row>
    <x:row r="306">
      <x:c r="A306" s="4" t="s">
        <x:v>954</x:v>
      </x:c>
      <x:c r="B306" s="4" t="s">
        <x:v>953</x:v>
      </x:c>
      <x:c r="C306" s="38" t="s">
        <x:v>952</x:v>
      </x:c>
      <x:c r="D306" s="41"/>
      <x:c r="E306" s="44"/>
      <x:c r="F306" s="6"/>
      <x:c r="G306" s="40"/>
      <x:c r="H306" s="43"/>
      <x:c r="I306" s="45">
        <x:v>46313</x:v>
      </x:c>
      <x:c r="J306" s="46">
        <x:v>81</x:v>
      </x:c>
      <x:c r="K306" s="47">
        <x:f>(F306-(0)+0-(J306*Ventas!AE314*1.0556))</x:f>
      </x:c>
      <x:c r="L306" s="6"/>
      <x:c r="M306" s="51">
        <x:f>(G306+0)</x:f>
      </x:c>
      <x:c r="N306" s="40"/>
      <x:c r="O306" s="54">
        <x:f>(H306+0)</x:f>
      </x:c>
      <x:c r="P306" s="43"/>
      <x:c r="Q306" s="55">
        <x:f>(K306+M306+O306)</x:f>
      </x:c>
      <x:c r="R306" s="56">
        <x:f>(((L306*7)+(N306*1)+(P306*0))/8)</x:f>
      </x:c>
      <x:c r="S306" s="47">
        <x:f>(180*(Ventas!AE314*0.9644) - IF(K306&gt;0,K306,0))</x:f>
      </x:c>
      <x:c r="T306" s="47">
        <x:f>IF(S306&gt;0,S306,0)</x:f>
      </x:c>
      <x:c r="U306" s="40"/>
      <x:c r="V306" s="40"/>
      <x:c r="W306" s="43"/>
      <x:c r="X306" s="43"/>
      <x:c r="Y306" s="47">
        <x:f>IF(K306&gt;0,K306+IF(T306&gt;0,T306,0),T306)</x:f>
      </x:c>
      <x:c r="Z306" s="40"/>
      <x:c r="AA306" s="43"/>
      <x:c r="AB306" s="6"/>
      <x:c r="AC306" s="6"/>
      <x:c r="AD306" s="40"/>
      <x:c r="AE306" s="40"/>
      <x:c r="AF306" s="43"/>
      <x:c r="AG306" s="43"/>
      <x:c r="AH306" s="6"/>
      <x:c r="AI306" s="6"/>
      <x:c r="AJ306" s="40"/>
      <x:c r="AK306" s="40"/>
      <x:c r="AL306" s="43"/>
      <x:c r="AM306" s="43"/>
      <x:c r="AN306" s="55">
        <x:f>(IF(AH306&gt;0,AH306,0)+IF(AJ306&gt;0,AJ306,0)+IF(AL306&gt;0,AL306,0))</x:f>
      </x:c>
      <x:c r="AO306" s="56">
        <x:f>(((AI306*7)+(AK306*1)+(AM306*1))/8)</x:f>
      </x:c>
      <x:c r="AP306" s="4" t="s">
        <x:v>51</x:v>
      </x:c>
    </x:row>
    <x:row r="307">
      <x:c r="A307" s="4" t="s">
        <x:v>957</x:v>
      </x:c>
      <x:c r="B307" s="4" t="s">
        <x:v>956</x:v>
      </x:c>
      <x:c r="C307" s="38" t="s">
        <x:v>955</x:v>
      </x:c>
      <x:c r="D307" s="41"/>
      <x:c r="E307" s="44"/>
      <x:c r="F307" s="6"/>
      <x:c r="G307" s="40"/>
      <x:c r="H307" s="43"/>
      <x:c r="I307" s="45">
        <x:v>46313</x:v>
      </x:c>
      <x:c r="J307" s="46">
        <x:v>81</x:v>
      </x:c>
      <x:c r="K307" s="47">
        <x:f>(F307-(0)+0-(J307*Ventas!AE315*1.0556))</x:f>
      </x:c>
      <x:c r="L307" s="6"/>
      <x:c r="M307" s="51">
        <x:f>(G307+0)</x:f>
      </x:c>
      <x:c r="N307" s="40"/>
      <x:c r="O307" s="54">
        <x:f>(H307+0)</x:f>
      </x:c>
      <x:c r="P307" s="43"/>
      <x:c r="Q307" s="55">
        <x:f>(K307+M307+O307)</x:f>
      </x:c>
      <x:c r="R307" s="56">
        <x:f>(((L307*7)+(N307*1)+(P307*0))/8)</x:f>
      </x:c>
      <x:c r="S307" s="47">
        <x:f>(180*(Ventas!AE315*0.9644) - IF(K307&gt;0,K307,0))</x:f>
      </x:c>
      <x:c r="T307" s="47">
        <x:f>IF(S307&gt;0,S307,0)</x:f>
      </x:c>
      <x:c r="U307" s="40"/>
      <x:c r="V307" s="40"/>
      <x:c r="W307" s="43"/>
      <x:c r="X307" s="43"/>
      <x:c r="Y307" s="47">
        <x:f>IF(K307&gt;0,K307+IF(T307&gt;0,T307,0),T307)</x:f>
      </x:c>
      <x:c r="Z307" s="40"/>
      <x:c r="AA307" s="43"/>
      <x:c r="AB307" s="6"/>
      <x:c r="AC307" s="6"/>
      <x:c r="AD307" s="40"/>
      <x:c r="AE307" s="40"/>
      <x:c r="AF307" s="43"/>
      <x:c r="AG307" s="43"/>
      <x:c r="AH307" s="6"/>
      <x:c r="AI307" s="6"/>
      <x:c r="AJ307" s="40"/>
      <x:c r="AK307" s="40"/>
      <x:c r="AL307" s="43"/>
      <x:c r="AM307" s="43"/>
      <x:c r="AN307" s="55">
        <x:f>(IF(AH307&gt;0,AH307,0)+IF(AJ307&gt;0,AJ307,0)+IF(AL307&gt;0,AL307,0))</x:f>
      </x:c>
      <x:c r="AO307" s="56">
        <x:f>(((AI307*7)+(AK307*1)+(AM307*1))/8)</x:f>
      </x:c>
      <x:c r="AP307" s="4" t="s">
        <x:v>51</x:v>
      </x:c>
    </x:row>
    <x:row r="308">
      <x:c r="A308" s="4" t="s">
        <x:v>960</x:v>
      </x:c>
      <x:c r="B308" s="4" t="s">
        <x:v>959</x:v>
      </x:c>
      <x:c r="C308" s="38" t="s">
        <x:v>958</x:v>
      </x:c>
      <x:c r="D308" s="41"/>
      <x:c r="E308" s="44"/>
      <x:c r="F308" s="6"/>
      <x:c r="G308" s="40"/>
      <x:c r="H308" s="43"/>
      <x:c r="I308" s="45">
        <x:v>46313</x:v>
      </x:c>
      <x:c r="J308" s="46">
        <x:v>81</x:v>
      </x:c>
      <x:c r="K308" s="47">
        <x:f>(F308-(0)+0-(J308*Ventas!AE316*1.0556))</x:f>
      </x:c>
      <x:c r="L308" s="6"/>
      <x:c r="M308" s="51">
        <x:f>(G308+0)</x:f>
      </x:c>
      <x:c r="N308" s="40"/>
      <x:c r="O308" s="54">
        <x:f>(H308+0)</x:f>
      </x:c>
      <x:c r="P308" s="43"/>
      <x:c r="Q308" s="55">
        <x:f>(K308+M308+O308)</x:f>
      </x:c>
      <x:c r="R308" s="56">
        <x:f>(((L308*7)+(N308*1)+(P308*0))/8)</x:f>
      </x:c>
      <x:c r="S308" s="47">
        <x:f>(180*(Ventas!AE316*0.9644) - IF(K308&gt;0,K308,0))</x:f>
      </x:c>
      <x:c r="T308" s="47">
        <x:f>IF(S308&gt;0,S308,0)</x:f>
      </x:c>
      <x:c r="U308" s="40"/>
      <x:c r="V308" s="40"/>
      <x:c r="W308" s="43"/>
      <x:c r="X308" s="43"/>
      <x:c r="Y308" s="47">
        <x:f>IF(K308&gt;0,K308+IF(T308&gt;0,T308,0),T308)</x:f>
      </x:c>
      <x:c r="Z308" s="40"/>
      <x:c r="AA308" s="43"/>
      <x:c r="AB308" s="6"/>
      <x:c r="AC308" s="6"/>
      <x:c r="AD308" s="40"/>
      <x:c r="AE308" s="40"/>
      <x:c r="AF308" s="43"/>
      <x:c r="AG308" s="43"/>
      <x:c r="AH308" s="6"/>
      <x:c r="AI308" s="6"/>
      <x:c r="AJ308" s="40"/>
      <x:c r="AK308" s="40"/>
      <x:c r="AL308" s="43"/>
      <x:c r="AM308" s="43"/>
      <x:c r="AN308" s="55">
        <x:f>(IF(AH308&gt;0,AH308,0)+IF(AJ308&gt;0,AJ308,0)+IF(AL308&gt;0,AL308,0))</x:f>
      </x:c>
      <x:c r="AO308" s="56">
        <x:f>(((AI308*7)+(AK308*1)+(AM308*1))/8)</x:f>
      </x:c>
      <x:c r="AP308" s="4" t="s">
        <x:v>51</x:v>
      </x:c>
    </x:row>
    <x:row r="309">
      <x:c r="A309" s="4" t="s">
        <x:v>963</x:v>
      </x:c>
      <x:c r="B309" s="4" t="s">
        <x:v>962</x:v>
      </x:c>
      <x:c r="C309" s="38" t="s">
        <x:v>961</x:v>
      </x:c>
      <x:c r="D309" s="41"/>
      <x:c r="E309" s="44"/>
      <x:c r="F309" s="6"/>
      <x:c r="G309" s="40"/>
      <x:c r="H309" s="43"/>
      <x:c r="I309" s="45">
        <x:v>46313</x:v>
      </x:c>
      <x:c r="J309" s="46">
        <x:v>81</x:v>
      </x:c>
      <x:c r="K309" s="47">
        <x:f>(F309-(0)+0-(J309*Ventas!AE317*1.0556))</x:f>
      </x:c>
      <x:c r="L309" s="6"/>
      <x:c r="M309" s="51">
        <x:f>(G309+0)</x:f>
      </x:c>
      <x:c r="N309" s="40"/>
      <x:c r="O309" s="54">
        <x:f>(H309+0)</x:f>
      </x:c>
      <x:c r="P309" s="43"/>
      <x:c r="Q309" s="55">
        <x:f>(K309+M309+O309)</x:f>
      </x:c>
      <x:c r="R309" s="56">
        <x:f>(((L309*7)+(N309*1)+(P309*0))/8)</x:f>
      </x:c>
      <x:c r="S309" s="47">
        <x:f>(180*(Ventas!AE317*0.9644) - IF(K309&gt;0,K309,0))</x:f>
      </x:c>
      <x:c r="T309" s="47">
        <x:f>IF(S309&gt;0,S309,0)</x:f>
      </x:c>
      <x:c r="U309" s="40"/>
      <x:c r="V309" s="40"/>
      <x:c r="W309" s="43"/>
      <x:c r="X309" s="43"/>
      <x:c r="Y309" s="47">
        <x:f>IF(K309&gt;0,K309+IF(T309&gt;0,T309,0),T309)</x:f>
      </x:c>
      <x:c r="Z309" s="40"/>
      <x:c r="AA309" s="43"/>
      <x:c r="AB309" s="6"/>
      <x:c r="AC309" s="6"/>
      <x:c r="AD309" s="40"/>
      <x:c r="AE309" s="40"/>
      <x:c r="AF309" s="43"/>
      <x:c r="AG309" s="43"/>
      <x:c r="AH309" s="6"/>
      <x:c r="AI309" s="6"/>
      <x:c r="AJ309" s="40"/>
      <x:c r="AK309" s="40"/>
      <x:c r="AL309" s="43"/>
      <x:c r="AM309" s="43"/>
      <x:c r="AN309" s="55">
        <x:f>(IF(AH309&gt;0,AH309,0)+IF(AJ309&gt;0,AJ309,0)+IF(AL309&gt;0,AL309,0))</x:f>
      </x:c>
      <x:c r="AO309" s="56">
        <x:f>(((AI309*7)+(AK309*1)+(AM309*1))/8)</x:f>
      </x:c>
      <x:c r="AP309" s="4" t="s">
        <x:v>51</x:v>
      </x:c>
    </x:row>
    <x:row r="310">
      <x:c r="A310" s="4" t="s">
        <x:v>966</x:v>
      </x:c>
      <x:c r="B310" s="4" t="s">
        <x:v>965</x:v>
      </x:c>
      <x:c r="C310" s="38" t="s">
        <x:v>964</x:v>
      </x:c>
      <x:c r="D310" s="41"/>
      <x:c r="E310" s="44"/>
      <x:c r="F310" s="8">
        <x:v>1</x:v>
      </x:c>
      <x:c r="G310" s="40"/>
      <x:c r="H310" s="43"/>
      <x:c r="I310" s="45">
        <x:v>46313</x:v>
      </x:c>
      <x:c r="J310" s="46">
        <x:v>81</x:v>
      </x:c>
      <x:c r="K310" s="47">
        <x:f>(F310-(0)+0-(J310*Ventas!AE318*1.0556))</x:f>
      </x:c>
      <x:c r="L310" s="6"/>
      <x:c r="M310" s="51">
        <x:f>(G310+0)</x:f>
      </x:c>
      <x:c r="N310" s="40"/>
      <x:c r="O310" s="54">
        <x:f>(H310+0)</x:f>
      </x:c>
      <x:c r="P310" s="43"/>
      <x:c r="Q310" s="55">
        <x:f>(K310+M310+O310)</x:f>
      </x:c>
      <x:c r="R310" s="56">
        <x:f>(((L310*7)+(N310*1)+(P310*0))/8)</x:f>
      </x:c>
      <x:c r="S310" s="47">
        <x:f>(180*(Ventas!AE318*0.9644) - IF(K310&gt;0,K310,0))</x:f>
      </x:c>
      <x:c r="T310" s="47">
        <x:f>IF(S310&gt;0,S310,0)</x:f>
      </x:c>
      <x:c r="U310" s="40"/>
      <x:c r="V310" s="40"/>
      <x:c r="W310" s="43"/>
      <x:c r="X310" s="43"/>
      <x:c r="Y310" s="47">
        <x:f>IF(K310&gt;0,K310+IF(T310&gt;0,T310,0),T310)</x:f>
      </x:c>
      <x:c r="Z310" s="40"/>
      <x:c r="AA310" s="43"/>
      <x:c r="AB310" s="6"/>
      <x:c r="AC310" s="6"/>
      <x:c r="AD310" s="40"/>
      <x:c r="AE310" s="40"/>
      <x:c r="AF310" s="43"/>
      <x:c r="AG310" s="43"/>
      <x:c r="AH310" s="6"/>
      <x:c r="AI310" s="6"/>
      <x:c r="AJ310" s="40"/>
      <x:c r="AK310" s="40"/>
      <x:c r="AL310" s="43"/>
      <x:c r="AM310" s="43"/>
      <x:c r="AN310" s="55">
        <x:f>(IF(AH310&gt;0,AH310,0)+IF(AJ310&gt;0,AJ310,0)+IF(AL310&gt;0,AL310,0))</x:f>
      </x:c>
      <x:c r="AO310" s="56">
        <x:f>(((AI310*7)+(AK310*1)+(AM310*1))/8)</x:f>
      </x:c>
      <x:c r="AP310" s="4" t="s">
        <x:v>51</x:v>
      </x:c>
    </x:row>
    <x:row r="311">
      <x:c r="A311" s="4" t="s">
        <x:v>969</x:v>
      </x:c>
      <x:c r="B311" s="4" t="s">
        <x:v>968</x:v>
      </x:c>
      <x:c r="C311" s="38" t="s">
        <x:v>967</x:v>
      </x:c>
      <x:c r="D311" s="41"/>
      <x:c r="E311" s="44"/>
      <x:c r="F311" s="8">
        <x:v>27</x:v>
      </x:c>
      <x:c r="G311" s="40"/>
      <x:c r="H311" s="43"/>
      <x:c r="I311" s="45">
        <x:v>46313</x:v>
      </x:c>
      <x:c r="J311" s="46">
        <x:v>81</x:v>
      </x:c>
      <x:c r="K311" s="47">
        <x:f>(F311-(0)+0-(J311*Ventas!AE319*1.0556))</x:f>
      </x:c>
      <x:c r="L311" s="49">
        <x:f>(K311/(Ventas!AE319*1.0556)/80)</x:f>
      </x:c>
      <x:c r="M311" s="51">
        <x:f>(G311+0)</x:f>
      </x:c>
      <x:c r="N311" s="40"/>
      <x:c r="O311" s="54">
        <x:f>(H311+0)</x:f>
      </x:c>
      <x:c r="P311" s="43"/>
      <x:c r="Q311" s="55">
        <x:f>(K311+M311+O311)</x:f>
      </x:c>
      <x:c r="R311" s="56">
        <x:f>(((L311*7)+(N311*1)+(P311*0))/8)</x:f>
      </x:c>
      <x:c r="S311" s="47">
        <x:f>(180*(Ventas!AE319*0.9644) - IF(K311&gt;0,K311,0))</x:f>
      </x:c>
      <x:c r="T311" s="47">
        <x:f>IF(S311&gt;0,S311,0)</x:f>
      </x:c>
      <x:c r="U311" s="40"/>
      <x:c r="V311" s="40"/>
      <x:c r="W311" s="43"/>
      <x:c r="X311" s="43"/>
      <x:c r="Y311" s="47">
        <x:f>IF(K311&gt;0,K311+IF(T311&gt;0,T311,0),T311)</x:f>
      </x:c>
      <x:c r="Z311" s="40"/>
      <x:c r="AA311" s="43"/>
      <x:c r="AB311" s="50">
        <x:v>6</x:v>
      </x:c>
      <x:c r="AC311" s="8">
        <x:v>3016</x:v>
      </x:c>
      <x:c r="AD311" s="40"/>
      <x:c r="AE311" s="40"/>
      <x:c r="AF311" s="43"/>
      <x:c r="AG311" s="43"/>
      <x:c r="AH311" s="47">
        <x:f>(Y311-(90*Ventas!AE319*0.9644))</x:f>
      </x:c>
      <x:c r="AI311" s="49">
        <x:f>(AH311/(Ventas!AE319*0.9644)/80)</x:f>
      </x:c>
      <x:c r="AJ311" s="40"/>
      <x:c r="AK311" s="40"/>
      <x:c r="AL311" s="43"/>
      <x:c r="AM311" s="43"/>
      <x:c r="AN311" s="55">
        <x:f>(IF(AH311&gt;0,AH311,0)+IF(AJ311&gt;0,AJ311,0)+IF(AL311&gt;0,AL311,0))</x:f>
      </x:c>
      <x:c r="AO311" s="56">
        <x:f>(((AI311*7)+(AK311*1)+(AM311*1))/8)</x:f>
      </x:c>
      <x:c r="AP311" s="4" t="s">
        <x:v>35</x:v>
      </x:c>
    </x:row>
    <x:row r="312">
      <x:c r="A312" s="4" t="s">
        <x:v>972</x:v>
      </x:c>
      <x:c r="B312" s="4" t="s">
        <x:v>971</x:v>
      </x:c>
      <x:c r="C312" s="38" t="s">
        <x:v>970</x:v>
      </x:c>
      <x:c r="D312" s="41"/>
      <x:c r="E312" s="44"/>
      <x:c r="F312" s="8">
        <x:v>322</x:v>
      </x:c>
      <x:c r="G312" s="40"/>
      <x:c r="H312" s="43"/>
      <x:c r="I312" s="45">
        <x:v>46313</x:v>
      </x:c>
      <x:c r="J312" s="46">
        <x:v>81</x:v>
      </x:c>
      <x:c r="K312" s="47">
        <x:f>(F312-(0)+0-(J312*Ventas!AE320*1.0556))</x:f>
      </x:c>
      <x:c r="L312" s="49">
        <x:f>(K312/(Ventas!AE320*1.0556)/80)</x:f>
      </x:c>
      <x:c r="M312" s="51">
        <x:f>(G312+0)</x:f>
      </x:c>
      <x:c r="N312" s="40"/>
      <x:c r="O312" s="54">
        <x:f>(H312+0)</x:f>
      </x:c>
      <x:c r="P312" s="43"/>
      <x:c r="Q312" s="55">
        <x:f>(K312+M312+O312)</x:f>
      </x:c>
      <x:c r="R312" s="56">
        <x:f>(((L312*7)+(N312*1)+(P312*0))/8)</x:f>
      </x:c>
      <x:c r="S312" s="47">
        <x:f>(180*(Ventas!AE320*0.9644) - IF(K312&gt;0,K312,0))</x:f>
      </x:c>
      <x:c r="T312" s="47">
        <x:f>IF(S312&gt;0,S312,0)</x:f>
      </x:c>
      <x:c r="U312" s="40"/>
      <x:c r="V312" s="40"/>
      <x:c r="W312" s="43"/>
      <x:c r="X312" s="43"/>
      <x:c r="Y312" s="47">
        <x:f>IF(K312&gt;0,K312+IF(T312&gt;0,T312,0),T312)</x:f>
      </x:c>
      <x:c r="Z312" s="40"/>
      <x:c r="AA312" s="43"/>
      <x:c r="AB312" s="50">
        <x:v>3.7</x:v>
      </x:c>
      <x:c r="AC312" s="8">
        <x:v>3016</x:v>
      </x:c>
      <x:c r="AD312" s="40"/>
      <x:c r="AE312" s="40"/>
      <x:c r="AF312" s="43"/>
      <x:c r="AG312" s="43"/>
      <x:c r="AH312" s="47">
        <x:f>(Y312-(90*Ventas!AE320*0.9644))</x:f>
      </x:c>
      <x:c r="AI312" s="49">
        <x:f>(AH312/(Ventas!AE320*0.9644)/80)</x:f>
      </x:c>
      <x:c r="AJ312" s="40"/>
      <x:c r="AK312" s="40"/>
      <x:c r="AL312" s="43"/>
      <x:c r="AM312" s="43"/>
      <x:c r="AN312" s="55">
        <x:f>(IF(AH312&gt;0,AH312,0)+IF(AJ312&gt;0,AJ312,0)+IF(AL312&gt;0,AL312,0))</x:f>
      </x:c>
      <x:c r="AO312" s="56">
        <x:f>(((AI312*7)+(AK312*1)+(AM312*1))/8)</x:f>
      </x:c>
      <x:c r="AP312" s="4" t="s">
        <x:v>35</x:v>
      </x:c>
    </x:row>
    <x:row r="313">
      <x:c r="A313" s="4" t="s">
        <x:v>975</x:v>
      </x:c>
      <x:c r="B313" s="4" t="s">
        <x:v>974</x:v>
      </x:c>
      <x:c r="C313" s="38" t="s">
        <x:v>973</x:v>
      </x:c>
      <x:c r="D313" s="41"/>
      <x:c r="E313" s="44"/>
      <x:c r="F313" s="6"/>
      <x:c r="G313" s="40"/>
      <x:c r="H313" s="43"/>
      <x:c r="I313" s="45">
        <x:v>46313</x:v>
      </x:c>
      <x:c r="J313" s="46">
        <x:v>81</x:v>
      </x:c>
      <x:c r="K313" s="47">
        <x:f>(F313-(0)+0-(J313*Ventas!AE321*1.0556))</x:f>
      </x:c>
      <x:c r="L313" s="49">
        <x:f>(K313/(Ventas!AE321*1.0556)/80)</x:f>
      </x:c>
      <x:c r="M313" s="51">
        <x:f>(G313+0)</x:f>
      </x:c>
      <x:c r="N313" s="40"/>
      <x:c r="O313" s="54">
        <x:f>(H313+0)</x:f>
      </x:c>
      <x:c r="P313" s="43"/>
      <x:c r="Q313" s="55">
        <x:f>(K313+M313+O313)</x:f>
      </x:c>
      <x:c r="R313" s="56">
        <x:f>(((L313*7)+(N313*1)+(P313*0))/8)</x:f>
      </x:c>
      <x:c r="S313" s="47">
        <x:f>(180*(Ventas!AE321*0.9644) - IF(K313&gt;0,K313,0))</x:f>
      </x:c>
      <x:c r="T313" s="47">
        <x:f>IF(S313&gt;0,S313,0)</x:f>
      </x:c>
      <x:c r="U313" s="40"/>
      <x:c r="V313" s="40"/>
      <x:c r="W313" s="43"/>
      <x:c r="X313" s="43"/>
      <x:c r="Y313" s="47">
        <x:f>IF(K313&gt;0,K313+IF(T313&gt;0,T313,0),T313)</x:f>
      </x:c>
      <x:c r="Z313" s="40"/>
      <x:c r="AA313" s="43"/>
      <x:c r="AB313" s="50">
        <x:v>3.6</x:v>
      </x:c>
      <x:c r="AC313" s="8">
        <x:v>3016</x:v>
      </x:c>
      <x:c r="AD313" s="40"/>
      <x:c r="AE313" s="40"/>
      <x:c r="AF313" s="43"/>
      <x:c r="AG313" s="43"/>
      <x:c r="AH313" s="47">
        <x:f>(Y313-(90*Ventas!AE321*0.9644))</x:f>
      </x:c>
      <x:c r="AI313" s="49">
        <x:f>(AH313/(Ventas!AE321*0.9644)/80)</x:f>
      </x:c>
      <x:c r="AJ313" s="40"/>
      <x:c r="AK313" s="40"/>
      <x:c r="AL313" s="43"/>
      <x:c r="AM313" s="43"/>
      <x:c r="AN313" s="55">
        <x:f>(IF(AH313&gt;0,AH313,0)+IF(AJ313&gt;0,AJ313,0)+IF(AL313&gt;0,AL313,0))</x:f>
      </x:c>
      <x:c r="AO313" s="56">
        <x:f>(((AI313*7)+(AK313*1)+(AM313*1))/8)</x:f>
      </x:c>
      <x:c r="AP313" s="4" t="s">
        <x:v>35</x:v>
      </x:c>
    </x:row>
    <x:row r="314">
      <x:c r="A314" s="4" t="s">
        <x:v>978</x:v>
      </x:c>
      <x:c r="B314" s="4" t="s">
        <x:v>977</x:v>
      </x:c>
      <x:c r="C314" s="38" t="s">
        <x:v>976</x:v>
      </x:c>
      <x:c r="D314" s="41"/>
      <x:c r="E314" s="44"/>
      <x:c r="F314" s="6"/>
      <x:c r="G314" s="40"/>
      <x:c r="H314" s="43"/>
      <x:c r="I314" s="45">
        <x:v>46313</x:v>
      </x:c>
      <x:c r="J314" s="46">
        <x:v>81</x:v>
      </x:c>
      <x:c r="K314" s="47">
        <x:f>(F314-(0)+0-(J314*Ventas!AE322*1.0556))</x:f>
      </x:c>
      <x:c r="L314" s="6"/>
      <x:c r="M314" s="51">
        <x:f>(G314+0)</x:f>
      </x:c>
      <x:c r="N314" s="40"/>
      <x:c r="O314" s="54">
        <x:f>(H314+0)</x:f>
      </x:c>
      <x:c r="P314" s="43"/>
      <x:c r="Q314" s="55">
        <x:f>(K314+M314+O314)</x:f>
      </x:c>
      <x:c r="R314" s="56">
        <x:f>(((L314*7)+(N314*1)+(P314*0))/8)</x:f>
      </x:c>
      <x:c r="S314" s="47">
        <x:f>(180*(Ventas!AE322*0.9644) - IF(K314&gt;0,K314,0))</x:f>
      </x:c>
      <x:c r="T314" s="47">
        <x:f>IF(S314&gt;0,S314,0)</x:f>
      </x:c>
      <x:c r="U314" s="40"/>
      <x:c r="V314" s="40"/>
      <x:c r="W314" s="43"/>
      <x:c r="X314" s="43"/>
      <x:c r="Y314" s="47">
        <x:f>IF(K314&gt;0,K314+IF(T314&gt;0,T314,0),T314)</x:f>
      </x:c>
      <x:c r="Z314" s="40"/>
      <x:c r="AA314" s="43"/>
      <x:c r="AB314" s="6"/>
      <x:c r="AC314" s="6"/>
      <x:c r="AD314" s="40"/>
      <x:c r="AE314" s="40"/>
      <x:c r="AF314" s="43"/>
      <x:c r="AG314" s="43"/>
      <x:c r="AH314" s="6"/>
      <x:c r="AI314" s="6"/>
      <x:c r="AJ314" s="40"/>
      <x:c r="AK314" s="40"/>
      <x:c r="AL314" s="43"/>
      <x:c r="AM314" s="43"/>
      <x:c r="AN314" s="55">
        <x:f>(IF(AH314&gt;0,AH314,0)+IF(AJ314&gt;0,AJ314,0)+IF(AL314&gt;0,AL314,0))</x:f>
      </x:c>
      <x:c r="AO314" s="56">
        <x:f>(((AI314*7)+(AK314*1)+(AM314*1))/8)</x:f>
      </x:c>
      <x:c r="AP314" s="4" t="s">
        <x:v>35</x:v>
      </x:c>
    </x:row>
    <x:row r="315">
      <x:c r="A315" s="4" t="s">
        <x:v>981</x:v>
      </x:c>
      <x:c r="B315" s="4" t="s">
        <x:v>980</x:v>
      </x:c>
      <x:c r="C315" s="38" t="s">
        <x:v>979</x:v>
      </x:c>
      <x:c r="D315" s="41"/>
      <x:c r="E315" s="44"/>
      <x:c r="F315" s="6"/>
      <x:c r="G315" s="40"/>
      <x:c r="H315" s="43"/>
      <x:c r="I315" s="45">
        <x:v>46313</x:v>
      </x:c>
      <x:c r="J315" s="46">
        <x:v>81</x:v>
      </x:c>
      <x:c r="K315" s="47">
        <x:f>(F315-(0)+0-(J315*Ventas!AE323*1.0556))</x:f>
      </x:c>
      <x:c r="L315" s="6"/>
      <x:c r="M315" s="51">
        <x:f>(G315+0)</x:f>
      </x:c>
      <x:c r="N315" s="40"/>
      <x:c r="O315" s="54">
        <x:f>(H315+0)</x:f>
      </x:c>
      <x:c r="P315" s="43"/>
      <x:c r="Q315" s="55">
        <x:f>(K315+M315+O315)</x:f>
      </x:c>
      <x:c r="R315" s="56">
        <x:f>(((L315*7)+(N315*1)+(P315*0))/8)</x:f>
      </x:c>
      <x:c r="S315" s="47">
        <x:f>(180*(Ventas!AE323*0.9644) - IF(K315&gt;0,K315,0))</x:f>
      </x:c>
      <x:c r="T315" s="47">
        <x:f>IF(S315&gt;0,S315,0)</x:f>
      </x:c>
      <x:c r="U315" s="40"/>
      <x:c r="V315" s="40"/>
      <x:c r="W315" s="43"/>
      <x:c r="X315" s="43"/>
      <x:c r="Y315" s="47">
        <x:f>IF(K315&gt;0,K315+IF(T315&gt;0,T315,0),T315)</x:f>
      </x:c>
      <x:c r="Z315" s="40"/>
      <x:c r="AA315" s="43"/>
      <x:c r="AB315" s="6"/>
      <x:c r="AC315" s="6"/>
      <x:c r="AD315" s="40"/>
      <x:c r="AE315" s="40"/>
      <x:c r="AF315" s="43"/>
      <x:c r="AG315" s="43"/>
      <x:c r="AH315" s="6"/>
      <x:c r="AI315" s="6"/>
      <x:c r="AJ315" s="40"/>
      <x:c r="AK315" s="40"/>
      <x:c r="AL315" s="43"/>
      <x:c r="AM315" s="43"/>
      <x:c r="AN315" s="55">
        <x:f>(IF(AH315&gt;0,AH315,0)+IF(AJ315&gt;0,AJ315,0)+IF(AL315&gt;0,AL315,0))</x:f>
      </x:c>
      <x:c r="AO315" s="56">
        <x:f>(((AI315*7)+(AK315*1)+(AM315*1))/8)</x:f>
      </x:c>
      <x:c r="AP315" s="4" t="s">
        <x:v>35</x:v>
      </x:c>
    </x:row>
    <x:row r="316">
      <x:c r="A316" s="4" t="s">
        <x:v>984</x:v>
      </x:c>
      <x:c r="B316" s="4" t="s">
        <x:v>983</x:v>
      </x:c>
      <x:c r="C316" s="38" t="s">
        <x:v>982</x:v>
      </x:c>
      <x:c r="D316" s="41"/>
      <x:c r="E316" s="44"/>
      <x:c r="F316" s="8">
        <x:v>17</x:v>
      </x:c>
      <x:c r="G316" s="40"/>
      <x:c r="H316" s="43"/>
      <x:c r="I316" s="45">
        <x:v>46313</x:v>
      </x:c>
      <x:c r="J316" s="46">
        <x:v>81</x:v>
      </x:c>
      <x:c r="K316" s="47">
        <x:f>(F316-(0)+0-(J316*Ventas!AE324*1.0556))</x:f>
      </x:c>
      <x:c r="L316" s="49">
        <x:f>(K316/(Ventas!AE324*1.0556)/80)</x:f>
      </x:c>
      <x:c r="M316" s="51">
        <x:f>(G316+0)</x:f>
      </x:c>
      <x:c r="N316" s="40"/>
      <x:c r="O316" s="54">
        <x:f>(H316+0)</x:f>
      </x:c>
      <x:c r="P316" s="43"/>
      <x:c r="Q316" s="55">
        <x:f>(K316+M316+O316)</x:f>
      </x:c>
      <x:c r="R316" s="56">
        <x:f>(((L316*7)+(N316*1)+(P316*0))/8)</x:f>
      </x:c>
      <x:c r="S316" s="47">
        <x:f>(180*(Ventas!AE324*0.9644) - IF(K316&gt;0,K316,0))</x:f>
      </x:c>
      <x:c r="T316" s="47">
        <x:f>IF(S316&gt;0,S316,0)</x:f>
      </x:c>
      <x:c r="U316" s="40"/>
      <x:c r="V316" s="40"/>
      <x:c r="W316" s="43"/>
      <x:c r="X316" s="43"/>
      <x:c r="Y316" s="47">
        <x:f>IF(K316&gt;0,K316+IF(T316&gt;0,T316,0),T316)</x:f>
      </x:c>
      <x:c r="Z316" s="40"/>
      <x:c r="AA316" s="43"/>
      <x:c r="AB316" s="50">
        <x:v>4.45</x:v>
      </x:c>
      <x:c r="AC316" s="8">
        <x:v>3016</x:v>
      </x:c>
      <x:c r="AD316" s="40"/>
      <x:c r="AE316" s="40"/>
      <x:c r="AF316" s="43"/>
      <x:c r="AG316" s="43"/>
      <x:c r="AH316" s="47">
        <x:f>(Y316-(90*Ventas!AE324*0.9644))</x:f>
      </x:c>
      <x:c r="AI316" s="49">
        <x:f>(AH316/(Ventas!AE324*0.9644)/80)</x:f>
      </x:c>
      <x:c r="AJ316" s="40"/>
      <x:c r="AK316" s="40"/>
      <x:c r="AL316" s="43"/>
      <x:c r="AM316" s="43"/>
      <x:c r="AN316" s="55">
        <x:f>(IF(AH316&gt;0,AH316,0)+IF(AJ316&gt;0,AJ316,0)+IF(AL316&gt;0,AL316,0))</x:f>
      </x:c>
      <x:c r="AO316" s="56">
        <x:f>(((AI316*7)+(AK316*1)+(AM316*1))/8)</x:f>
      </x:c>
      <x:c r="AP316" s="4" t="s">
        <x:v>51</x:v>
      </x:c>
    </x:row>
    <x:row r="317">
      <x:c r="A317" s="4" t="s">
        <x:v>987</x:v>
      </x:c>
      <x:c r="B317" s="4" t="s">
        <x:v>986</x:v>
      </x:c>
      <x:c r="C317" s="38" t="s">
        <x:v>985</x:v>
      </x:c>
      <x:c r="D317" s="41"/>
      <x:c r="E317" s="44"/>
      <x:c r="F317" s="8">
        <x:v>19</x:v>
      </x:c>
      <x:c r="G317" s="40"/>
      <x:c r="H317" s="43"/>
      <x:c r="I317" s="45">
        <x:v>46313</x:v>
      </x:c>
      <x:c r="J317" s="46">
        <x:v>81</x:v>
      </x:c>
      <x:c r="K317" s="47">
        <x:f>(F317-(0)+0-(J317*Ventas!AE325*1.0556))</x:f>
      </x:c>
      <x:c r="L317" s="49">
        <x:f>(K317/(Ventas!AE325*1.0556)/80)</x:f>
      </x:c>
      <x:c r="M317" s="51">
        <x:f>(G317+0)</x:f>
      </x:c>
      <x:c r="N317" s="40"/>
      <x:c r="O317" s="54">
        <x:f>(H317+0)</x:f>
      </x:c>
      <x:c r="P317" s="43"/>
      <x:c r="Q317" s="55">
        <x:f>(K317+M317+O317)</x:f>
      </x:c>
      <x:c r="R317" s="56">
        <x:f>(((L317*7)+(N317*1)+(P317*0))/8)</x:f>
      </x:c>
      <x:c r="S317" s="47">
        <x:f>(180*(Ventas!AE325*0.9644) - IF(K317&gt;0,K317,0))</x:f>
      </x:c>
      <x:c r="T317" s="47">
        <x:f>IF(S317&gt;0,S317,0)</x:f>
      </x:c>
      <x:c r="U317" s="40"/>
      <x:c r="V317" s="40"/>
      <x:c r="W317" s="43"/>
      <x:c r="X317" s="43"/>
      <x:c r="Y317" s="47">
        <x:f>IF(K317&gt;0,K317+IF(T317&gt;0,T317,0),T317)</x:f>
      </x:c>
      <x:c r="Z317" s="40"/>
      <x:c r="AA317" s="43"/>
      <x:c r="AB317" s="50">
        <x:v>4.5</x:v>
      </x:c>
      <x:c r="AC317" s="8">
        <x:v>3016</x:v>
      </x:c>
      <x:c r="AD317" s="40"/>
      <x:c r="AE317" s="40"/>
      <x:c r="AF317" s="43"/>
      <x:c r="AG317" s="43"/>
      <x:c r="AH317" s="47">
        <x:f>(Y317-(90*Ventas!AE325*0.9644))</x:f>
      </x:c>
      <x:c r="AI317" s="49">
        <x:f>(AH317/(Ventas!AE325*0.9644)/80)</x:f>
      </x:c>
      <x:c r="AJ317" s="40"/>
      <x:c r="AK317" s="40"/>
      <x:c r="AL317" s="43"/>
      <x:c r="AM317" s="43"/>
      <x:c r="AN317" s="55">
        <x:f>(IF(AH317&gt;0,AH317,0)+IF(AJ317&gt;0,AJ317,0)+IF(AL317&gt;0,AL317,0))</x:f>
      </x:c>
      <x:c r="AO317" s="56">
        <x:f>(((AI317*7)+(AK317*1)+(AM317*1))/8)</x:f>
      </x:c>
      <x:c r="AP317" s="4" t="s">
        <x:v>35</x:v>
      </x:c>
    </x:row>
    <x:row r="318">
      <x:c r="A318" s="4" t="s">
        <x:v>990</x:v>
      </x:c>
      <x:c r="B318" s="4" t="s">
        <x:v>989</x:v>
      </x:c>
      <x:c r="C318" s="38" t="s">
        <x:v>988</x:v>
      </x:c>
      <x:c r="D318" s="41"/>
      <x:c r="E318" s="44"/>
      <x:c r="F318" s="6"/>
      <x:c r="G318" s="40"/>
      <x:c r="H318" s="43"/>
      <x:c r="I318" s="45">
        <x:v>46313</x:v>
      </x:c>
      <x:c r="J318" s="46">
        <x:v>81</x:v>
      </x:c>
      <x:c r="K318" s="47">
        <x:f>(F318-(0)+0-(J318*Ventas!AE326*1.0556))</x:f>
      </x:c>
      <x:c r="L318" s="6"/>
      <x:c r="M318" s="51">
        <x:f>(G318+0)</x:f>
      </x:c>
      <x:c r="N318" s="40"/>
      <x:c r="O318" s="54">
        <x:f>(H318+0)</x:f>
      </x:c>
      <x:c r="P318" s="43"/>
      <x:c r="Q318" s="55">
        <x:f>(K318+M318+O318)</x:f>
      </x:c>
      <x:c r="R318" s="56">
        <x:f>(((L318*7)+(N318*1)+(P318*0))/8)</x:f>
      </x:c>
      <x:c r="S318" s="47">
        <x:f>(180*(Ventas!AE326*0.9644) - IF(K318&gt;0,K318,0))</x:f>
      </x:c>
      <x:c r="T318" s="47">
        <x:f>IF(S318&gt;0,S318,0)</x:f>
      </x:c>
      <x:c r="U318" s="40"/>
      <x:c r="V318" s="40"/>
      <x:c r="W318" s="43"/>
      <x:c r="X318" s="43"/>
      <x:c r="Y318" s="47">
        <x:f>IF(K318&gt;0,K318+IF(T318&gt;0,T318,0),T318)</x:f>
      </x:c>
      <x:c r="Z318" s="40"/>
      <x:c r="AA318" s="43"/>
      <x:c r="AB318" s="6"/>
      <x:c r="AC318" s="6"/>
      <x:c r="AD318" s="40"/>
      <x:c r="AE318" s="40"/>
      <x:c r="AF318" s="43"/>
      <x:c r="AG318" s="43"/>
      <x:c r="AH318" s="6"/>
      <x:c r="AI318" s="6"/>
      <x:c r="AJ318" s="40"/>
      <x:c r="AK318" s="40"/>
      <x:c r="AL318" s="43"/>
      <x:c r="AM318" s="43"/>
      <x:c r="AN318" s="55">
        <x:f>(IF(AH318&gt;0,AH318,0)+IF(AJ318&gt;0,AJ318,0)+IF(AL318&gt;0,AL318,0))</x:f>
      </x:c>
      <x:c r="AO318" s="56">
        <x:f>(((AI318*7)+(AK318*1)+(AM318*1))/8)</x:f>
      </x:c>
      <x:c r="AP318" s="4" t="s">
        <x:v>35</x:v>
      </x:c>
    </x:row>
    <x:row r="319">
      <x:c r="A319" s="4" t="s">
        <x:v>993</x:v>
      </x:c>
      <x:c r="B319" s="4" t="s">
        <x:v>992</x:v>
      </x:c>
      <x:c r="C319" s="38" t="s">
        <x:v>991</x:v>
      </x:c>
      <x:c r="D319" s="41"/>
      <x:c r="E319" s="44"/>
      <x:c r="F319" s="6"/>
      <x:c r="G319" s="40"/>
      <x:c r="H319" s="43"/>
      <x:c r="I319" s="45">
        <x:v>46313</x:v>
      </x:c>
      <x:c r="J319" s="46">
        <x:v>81</x:v>
      </x:c>
      <x:c r="K319" s="47">
        <x:f>(F319-(0)+0-(J319*Ventas!AE327*1.0556))</x:f>
      </x:c>
      <x:c r="L319" s="6"/>
      <x:c r="M319" s="51">
        <x:f>(G319+0)</x:f>
      </x:c>
      <x:c r="N319" s="40"/>
      <x:c r="O319" s="54">
        <x:f>(H319+0)</x:f>
      </x:c>
      <x:c r="P319" s="43"/>
      <x:c r="Q319" s="55">
        <x:f>(K319+M319+O319)</x:f>
      </x:c>
      <x:c r="R319" s="56">
        <x:f>(((L319*7)+(N319*1)+(P319*0))/8)</x:f>
      </x:c>
      <x:c r="S319" s="47">
        <x:f>(180*(Ventas!AE327*0.9644) - IF(K319&gt;0,K319,0))</x:f>
      </x:c>
      <x:c r="T319" s="47">
        <x:f>IF(S319&gt;0,S319,0)</x:f>
      </x:c>
      <x:c r="U319" s="40"/>
      <x:c r="V319" s="40"/>
      <x:c r="W319" s="43"/>
      <x:c r="X319" s="43"/>
      <x:c r="Y319" s="47">
        <x:f>IF(K319&gt;0,K319+IF(T319&gt;0,T319,0),T319)</x:f>
      </x:c>
      <x:c r="Z319" s="40"/>
      <x:c r="AA319" s="43"/>
      <x:c r="AB319" s="6"/>
      <x:c r="AC319" s="6"/>
      <x:c r="AD319" s="40"/>
      <x:c r="AE319" s="40"/>
      <x:c r="AF319" s="43"/>
      <x:c r="AG319" s="43"/>
      <x:c r="AH319" s="6"/>
      <x:c r="AI319" s="6"/>
      <x:c r="AJ319" s="40"/>
      <x:c r="AK319" s="40"/>
      <x:c r="AL319" s="43"/>
      <x:c r="AM319" s="43"/>
      <x:c r="AN319" s="55">
        <x:f>(IF(AH319&gt;0,AH319,0)+IF(AJ319&gt;0,AJ319,0)+IF(AL319&gt;0,AL319,0))</x:f>
      </x:c>
      <x:c r="AO319" s="56">
        <x:f>(((AI319*7)+(AK319*1)+(AM319*1))/8)</x:f>
      </x:c>
      <x:c r="AP319" s="4" t="s">
        <x:v>35</x:v>
      </x:c>
    </x:row>
    <x:row r="320">
      <x:c r="A320" s="4" t="s">
        <x:v>996</x:v>
      </x:c>
      <x:c r="B320" s="4" t="s">
        <x:v>995</x:v>
      </x:c>
      <x:c r="C320" s="38" t="s">
        <x:v>994</x:v>
      </x:c>
      <x:c r="D320" s="41"/>
      <x:c r="E320" s="44"/>
      <x:c r="F320" s="6"/>
      <x:c r="G320" s="40"/>
      <x:c r="H320" s="43"/>
      <x:c r="I320" s="45">
        <x:v>46313</x:v>
      </x:c>
      <x:c r="J320" s="46">
        <x:v>81</x:v>
      </x:c>
      <x:c r="K320" s="47">
        <x:f>(F320-(0)+0-(J320*Ventas!AE328*1.0556))</x:f>
      </x:c>
      <x:c r="L320" s="6"/>
      <x:c r="M320" s="51">
        <x:f>(G320+0)</x:f>
      </x:c>
      <x:c r="N320" s="40"/>
      <x:c r="O320" s="54">
        <x:f>(H320+0)</x:f>
      </x:c>
      <x:c r="P320" s="43"/>
      <x:c r="Q320" s="55">
        <x:f>(K320+M320+O320)</x:f>
      </x:c>
      <x:c r="R320" s="56">
        <x:f>(((L320*7)+(N320*1)+(P320*0))/8)</x:f>
      </x:c>
      <x:c r="S320" s="47">
        <x:f>(180*(Ventas!AE328*0.9644) - IF(K320&gt;0,K320,0))</x:f>
      </x:c>
      <x:c r="T320" s="47">
        <x:f>IF(S320&gt;0,S320,0)</x:f>
      </x:c>
      <x:c r="U320" s="40"/>
      <x:c r="V320" s="40"/>
      <x:c r="W320" s="43"/>
      <x:c r="X320" s="43"/>
      <x:c r="Y320" s="47">
        <x:f>IF(K320&gt;0,K320+IF(T320&gt;0,T320,0),T320)</x:f>
      </x:c>
      <x:c r="Z320" s="40"/>
      <x:c r="AA320" s="43"/>
      <x:c r="AB320" s="6"/>
      <x:c r="AC320" s="6"/>
      <x:c r="AD320" s="40"/>
      <x:c r="AE320" s="40"/>
      <x:c r="AF320" s="43"/>
      <x:c r="AG320" s="43"/>
      <x:c r="AH320" s="6"/>
      <x:c r="AI320" s="6"/>
      <x:c r="AJ320" s="40"/>
      <x:c r="AK320" s="40"/>
      <x:c r="AL320" s="43"/>
      <x:c r="AM320" s="43"/>
      <x:c r="AN320" s="55">
        <x:f>(IF(AH320&gt;0,AH320,0)+IF(AJ320&gt;0,AJ320,0)+IF(AL320&gt;0,AL320,0))</x:f>
      </x:c>
      <x:c r="AO320" s="56">
        <x:f>(((AI320*7)+(AK320*1)+(AM320*1))/8)</x:f>
      </x:c>
      <x:c r="AP320" s="4" t="s">
        <x:v>35</x:v>
      </x:c>
    </x:row>
    <x:row r="321">
      <x:c r="A321" s="4" t="s">
        <x:v>999</x:v>
      </x:c>
      <x:c r="B321" s="4" t="s">
        <x:v>998</x:v>
      </x:c>
      <x:c r="C321" s="38" t="s">
        <x:v>997</x:v>
      </x:c>
      <x:c r="D321" s="41"/>
      <x:c r="E321" s="44"/>
      <x:c r="F321" s="6"/>
      <x:c r="G321" s="40"/>
      <x:c r="H321" s="43"/>
      <x:c r="I321" s="45">
        <x:v>46313</x:v>
      </x:c>
      <x:c r="J321" s="46">
        <x:v>81</x:v>
      </x:c>
      <x:c r="K321" s="47">
        <x:f>(F321-(0)+0-(J321*Ventas!AE329*1.0556))</x:f>
      </x:c>
      <x:c r="L321" s="6"/>
      <x:c r="M321" s="51">
        <x:f>(G321+0)</x:f>
      </x:c>
      <x:c r="N321" s="40"/>
      <x:c r="O321" s="54">
        <x:f>(H321+0)</x:f>
      </x:c>
      <x:c r="P321" s="43"/>
      <x:c r="Q321" s="55">
        <x:f>(K321+M321+O321)</x:f>
      </x:c>
      <x:c r="R321" s="56">
        <x:f>(((L321*7)+(N321*1)+(P321*0))/8)</x:f>
      </x:c>
      <x:c r="S321" s="47">
        <x:f>(180*(Ventas!AE329*0.9644) - IF(K321&gt;0,K321,0))</x:f>
      </x:c>
      <x:c r="T321" s="47">
        <x:f>IF(S321&gt;0,S321,0)</x:f>
      </x:c>
      <x:c r="U321" s="40"/>
      <x:c r="V321" s="40"/>
      <x:c r="W321" s="43"/>
      <x:c r="X321" s="43"/>
      <x:c r="Y321" s="47">
        <x:f>IF(K321&gt;0,K321+IF(T321&gt;0,T321,0),T321)</x:f>
      </x:c>
      <x:c r="Z321" s="40"/>
      <x:c r="AA321" s="43"/>
      <x:c r="AB321" s="6"/>
      <x:c r="AC321" s="6"/>
      <x:c r="AD321" s="40"/>
      <x:c r="AE321" s="40"/>
      <x:c r="AF321" s="43"/>
      <x:c r="AG321" s="43"/>
      <x:c r="AH321" s="6"/>
      <x:c r="AI321" s="6"/>
      <x:c r="AJ321" s="40"/>
      <x:c r="AK321" s="40"/>
      <x:c r="AL321" s="43"/>
      <x:c r="AM321" s="43"/>
      <x:c r="AN321" s="55">
        <x:f>(IF(AH321&gt;0,AH321,0)+IF(AJ321&gt;0,AJ321,0)+IF(AL321&gt;0,AL321,0))</x:f>
      </x:c>
      <x:c r="AO321" s="56">
        <x:f>(((AI321*7)+(AK321*1)+(AM321*1))/8)</x:f>
      </x:c>
      <x:c r="AP321" s="4" t="s">
        <x:v>35</x:v>
      </x:c>
    </x:row>
    <x:row r="322">
      <x:c r="A322" s="4" t="s">
        <x:v>1002</x:v>
      </x:c>
      <x:c r="B322" s="4" t="s">
        <x:v>1001</x:v>
      </x:c>
      <x:c r="C322" s="38" t="s">
        <x:v>1000</x:v>
      </x:c>
      <x:c r="D322" s="41"/>
      <x:c r="E322" s="44"/>
      <x:c r="F322" s="8">
        <x:v>54</x:v>
      </x:c>
      <x:c r="G322" s="40"/>
      <x:c r="H322" s="43"/>
      <x:c r="I322" s="45">
        <x:v>46313</x:v>
      </x:c>
      <x:c r="J322" s="46">
        <x:v>81</x:v>
      </x:c>
      <x:c r="K322" s="47">
        <x:f>(F322-(0)+0-(J322*Ventas!AE330*1.0556))</x:f>
      </x:c>
      <x:c r="L322" s="49">
        <x:f>(K322/(Ventas!AE330*1.0556)/80)</x:f>
      </x:c>
      <x:c r="M322" s="51">
        <x:f>(G322+0)</x:f>
      </x:c>
      <x:c r="N322" s="40"/>
      <x:c r="O322" s="54">
        <x:f>(H322+0)</x:f>
      </x:c>
      <x:c r="P322" s="43"/>
      <x:c r="Q322" s="55">
        <x:f>(K322+M322+O322)</x:f>
      </x:c>
      <x:c r="R322" s="56">
        <x:f>(((L322*7)+(N322*1)+(P322*0))/8)</x:f>
      </x:c>
      <x:c r="S322" s="47">
        <x:f>(180*(Ventas!AE330*0.9644) - IF(K322&gt;0,K322,0))</x:f>
      </x:c>
      <x:c r="T322" s="47">
        <x:f>IF(S322&gt;0,S322,0)</x:f>
      </x:c>
      <x:c r="U322" s="40"/>
      <x:c r="V322" s="40"/>
      <x:c r="W322" s="43"/>
      <x:c r="X322" s="43"/>
      <x:c r="Y322" s="47">
        <x:f>IF(K322&gt;0,K322+IF(T322&gt;0,T322,0),T322)</x:f>
      </x:c>
      <x:c r="Z322" s="40"/>
      <x:c r="AA322" s="43"/>
      <x:c r="AB322" s="50">
        <x:v>8</x:v>
      </x:c>
      <x:c r="AC322" s="8">
        <x:v>3016</x:v>
      </x:c>
      <x:c r="AD322" s="40"/>
      <x:c r="AE322" s="40"/>
      <x:c r="AF322" s="43"/>
      <x:c r="AG322" s="43"/>
      <x:c r="AH322" s="47">
        <x:f>(Y322-(90*Ventas!AE330*0.9644))</x:f>
      </x:c>
      <x:c r="AI322" s="49">
        <x:f>(AH322/(Ventas!AE330*0.9644)/80)</x:f>
      </x:c>
      <x:c r="AJ322" s="40"/>
      <x:c r="AK322" s="40"/>
      <x:c r="AL322" s="43"/>
      <x:c r="AM322" s="43"/>
      <x:c r="AN322" s="55">
        <x:f>(IF(AH322&gt;0,AH322,0)+IF(AJ322&gt;0,AJ322,0)+IF(AL322&gt;0,AL322,0))</x:f>
      </x:c>
      <x:c r="AO322" s="56">
        <x:f>(((AI322*7)+(AK322*1)+(AM322*1))/8)</x:f>
      </x:c>
      <x:c r="AP322" s="4" t="s">
        <x:v>35</x:v>
      </x:c>
    </x:row>
    <x:row r="323">
      <x:c r="A323" s="4" t="s">
        <x:v>1005</x:v>
      </x:c>
      <x:c r="B323" s="4" t="s">
        <x:v>1004</x:v>
      </x:c>
      <x:c r="C323" s="38" t="s">
        <x:v>1003</x:v>
      </x:c>
      <x:c r="D323" s="41"/>
      <x:c r="E323" s="44"/>
      <x:c r="F323" s="6"/>
      <x:c r="G323" s="40"/>
      <x:c r="H323" s="43"/>
      <x:c r="I323" s="45">
        <x:v>46313</x:v>
      </x:c>
      <x:c r="J323" s="46">
        <x:v>81</x:v>
      </x:c>
      <x:c r="K323" s="47">
        <x:f>(F323-(0)+0-(J323*Ventas!AE331*1.0556))</x:f>
      </x:c>
      <x:c r="L323" s="6"/>
      <x:c r="M323" s="51">
        <x:f>(G323+0)</x:f>
      </x:c>
      <x:c r="N323" s="40"/>
      <x:c r="O323" s="54">
        <x:f>(H323+0)</x:f>
      </x:c>
      <x:c r="P323" s="43"/>
      <x:c r="Q323" s="55">
        <x:f>(K323+M323+O323)</x:f>
      </x:c>
      <x:c r="R323" s="56">
        <x:f>(((L323*7)+(N323*1)+(P323*0))/8)</x:f>
      </x:c>
      <x:c r="S323" s="47">
        <x:f>(180*(Ventas!AE331*0.9644) - IF(K323&gt;0,K323,0))</x:f>
      </x:c>
      <x:c r="T323" s="47">
        <x:f>IF(S323&gt;0,S323,0)</x:f>
      </x:c>
      <x:c r="U323" s="40"/>
      <x:c r="V323" s="40"/>
      <x:c r="W323" s="43"/>
      <x:c r="X323" s="43"/>
      <x:c r="Y323" s="47">
        <x:f>IF(K323&gt;0,K323+IF(T323&gt;0,T323,0),T323)</x:f>
      </x:c>
      <x:c r="Z323" s="40"/>
      <x:c r="AA323" s="43"/>
      <x:c r="AB323" s="6"/>
      <x:c r="AC323" s="6"/>
      <x:c r="AD323" s="40"/>
      <x:c r="AE323" s="40"/>
      <x:c r="AF323" s="43"/>
      <x:c r="AG323" s="43"/>
      <x:c r="AH323" s="6"/>
      <x:c r="AI323" s="6"/>
      <x:c r="AJ323" s="40"/>
      <x:c r="AK323" s="40"/>
      <x:c r="AL323" s="43"/>
      <x:c r="AM323" s="43"/>
      <x:c r="AN323" s="55">
        <x:f>(IF(AH323&gt;0,AH323,0)+IF(AJ323&gt;0,AJ323,0)+IF(AL323&gt;0,AL323,0))</x:f>
      </x:c>
      <x:c r="AO323" s="56">
        <x:f>(((AI323*7)+(AK323*1)+(AM323*1))/8)</x:f>
      </x:c>
      <x:c r="AP323" s="4" t="s">
        <x:v>51</x:v>
      </x:c>
    </x:row>
    <x:row r="324">
      <x:c r="A324" s="4" t="s">
        <x:v>1008</x:v>
      </x:c>
      <x:c r="B324" s="4" t="s">
        <x:v>1007</x:v>
      </x:c>
      <x:c r="C324" s="38" t="s">
        <x:v>1006</x:v>
      </x:c>
      <x:c r="D324" s="41"/>
      <x:c r="E324" s="44"/>
      <x:c r="F324" s="8">
        <x:v>14</x:v>
      </x:c>
      <x:c r="G324" s="40"/>
      <x:c r="H324" s="43"/>
      <x:c r="I324" s="45">
        <x:v>46313</x:v>
      </x:c>
      <x:c r="J324" s="46">
        <x:v>81</x:v>
      </x:c>
      <x:c r="K324" s="47">
        <x:f>(F324-(0)+0-(J324*Ventas!AE332*1.0556))</x:f>
      </x:c>
      <x:c r="L324" s="49">
        <x:f>(K324/(Ventas!AE332*1.0556)/80)</x:f>
      </x:c>
      <x:c r="M324" s="51">
        <x:f>(G324+0)</x:f>
      </x:c>
      <x:c r="N324" s="40"/>
      <x:c r="O324" s="54">
        <x:f>(H324+0)</x:f>
      </x:c>
      <x:c r="P324" s="43"/>
      <x:c r="Q324" s="55">
        <x:f>(K324+M324+O324)</x:f>
      </x:c>
      <x:c r="R324" s="56">
        <x:f>(((L324*7)+(N324*1)+(P324*0))/8)</x:f>
      </x:c>
      <x:c r="S324" s="47">
        <x:f>(180*(Ventas!AE332*0.9644) - IF(K324&gt;0,K324,0))</x:f>
      </x:c>
      <x:c r="T324" s="47">
        <x:f>IF(S324&gt;0,S324,0)</x:f>
      </x:c>
      <x:c r="U324" s="40"/>
      <x:c r="V324" s="40"/>
      <x:c r="W324" s="43"/>
      <x:c r="X324" s="43"/>
      <x:c r="Y324" s="47">
        <x:f>IF(K324&gt;0,K324+IF(T324&gt;0,T324,0),T324)</x:f>
      </x:c>
      <x:c r="Z324" s="40"/>
      <x:c r="AA324" s="43"/>
      <x:c r="AB324" s="50">
        <x:v>3.8</x:v>
      </x:c>
      <x:c r="AC324" s="8">
        <x:v>3016</x:v>
      </x:c>
      <x:c r="AD324" s="40"/>
      <x:c r="AE324" s="40"/>
      <x:c r="AF324" s="43"/>
      <x:c r="AG324" s="43"/>
      <x:c r="AH324" s="47">
        <x:f>(Y324-(90*Ventas!AE332*0.9644))</x:f>
      </x:c>
      <x:c r="AI324" s="49">
        <x:f>(AH324/(Ventas!AE332*0.9644)/80)</x:f>
      </x:c>
      <x:c r="AJ324" s="40"/>
      <x:c r="AK324" s="40"/>
      <x:c r="AL324" s="43"/>
      <x:c r="AM324" s="43"/>
      <x:c r="AN324" s="55">
        <x:f>(IF(AH324&gt;0,AH324,0)+IF(AJ324&gt;0,AJ324,0)+IF(AL324&gt;0,AL324,0))</x:f>
      </x:c>
      <x:c r="AO324" s="56">
        <x:f>(((AI324*7)+(AK324*1)+(AM324*1))/8)</x:f>
      </x:c>
      <x:c r="AP324" s="4" t="s">
        <x:v>35</x:v>
      </x:c>
    </x:row>
    <x:row r="325">
      <x:c r="A325" s="4" t="s">
        <x:v>1011</x:v>
      </x:c>
      <x:c r="B325" s="4" t="s">
        <x:v>1010</x:v>
      </x:c>
      <x:c r="C325" s="38" t="s">
        <x:v>1009</x:v>
      </x:c>
      <x:c r="D325" s="41"/>
      <x:c r="E325" s="44"/>
      <x:c r="F325" s="8">
        <x:v>12</x:v>
      </x:c>
      <x:c r="G325" s="40"/>
      <x:c r="H325" s="43"/>
      <x:c r="I325" s="45">
        <x:v>46313</x:v>
      </x:c>
      <x:c r="J325" s="46">
        <x:v>81</x:v>
      </x:c>
      <x:c r="K325" s="47">
        <x:f>(F325-(0)+0-(J325*Ventas!AE333*1.0556))</x:f>
      </x:c>
      <x:c r="L325" s="49">
        <x:f>(K325/(Ventas!AE333*1.0556)/80)</x:f>
      </x:c>
      <x:c r="M325" s="51">
        <x:f>(G325+0)</x:f>
      </x:c>
      <x:c r="N325" s="40"/>
      <x:c r="O325" s="54">
        <x:f>(H325+0)</x:f>
      </x:c>
      <x:c r="P325" s="43"/>
      <x:c r="Q325" s="55">
        <x:f>(K325+M325+O325)</x:f>
      </x:c>
      <x:c r="R325" s="56">
        <x:f>(((L325*7)+(N325*1)+(P325*0))/8)</x:f>
      </x:c>
      <x:c r="S325" s="47">
        <x:f>(180*(Ventas!AE333*0.9644) - IF(K325&gt;0,K325,0))</x:f>
      </x:c>
      <x:c r="T325" s="47">
        <x:f>IF(S325&gt;0,S325,0)</x:f>
      </x:c>
      <x:c r="U325" s="40"/>
      <x:c r="V325" s="40"/>
      <x:c r="W325" s="43"/>
      <x:c r="X325" s="43"/>
      <x:c r="Y325" s="47">
        <x:f>IF(K325&gt;0,K325+IF(T325&gt;0,T325,0),T325)</x:f>
      </x:c>
      <x:c r="Z325" s="40"/>
      <x:c r="AA325" s="43"/>
      <x:c r="AB325" s="50">
        <x:v>5.5</x:v>
      </x:c>
      <x:c r="AC325" s="8">
        <x:v>3016</x:v>
      </x:c>
      <x:c r="AD325" s="40"/>
      <x:c r="AE325" s="40"/>
      <x:c r="AF325" s="43"/>
      <x:c r="AG325" s="43"/>
      <x:c r="AH325" s="47">
        <x:f>(Y325-(90*Ventas!AE333*0.9644))</x:f>
      </x:c>
      <x:c r="AI325" s="49">
        <x:f>(AH325/(Ventas!AE333*0.9644)/80)</x:f>
      </x:c>
      <x:c r="AJ325" s="40"/>
      <x:c r="AK325" s="40"/>
      <x:c r="AL325" s="43"/>
      <x:c r="AM325" s="43"/>
      <x:c r="AN325" s="55">
        <x:f>(IF(AH325&gt;0,AH325,0)+IF(AJ325&gt;0,AJ325,0)+IF(AL325&gt;0,AL325,0))</x:f>
      </x:c>
      <x:c r="AO325" s="56">
        <x:f>(((AI325*7)+(AK325*1)+(AM325*1))/8)</x:f>
      </x:c>
      <x:c r="AP325" s="4" t="s">
        <x:v>35</x:v>
      </x:c>
    </x:row>
    <x:row r="326">
      <x:c r="A326" s="4" t="s">
        <x:v>1014</x:v>
      </x:c>
      <x:c r="B326" s="4" t="s">
        <x:v>1013</x:v>
      </x:c>
      <x:c r="C326" s="38" t="s">
        <x:v>1012</x:v>
      </x:c>
      <x:c r="D326" s="41"/>
      <x:c r="E326" s="44"/>
      <x:c r="F326" s="6"/>
      <x:c r="G326" s="40"/>
      <x:c r="H326" s="43"/>
      <x:c r="I326" s="45">
        <x:v>46313</x:v>
      </x:c>
      <x:c r="J326" s="46">
        <x:v>81</x:v>
      </x:c>
      <x:c r="K326" s="47">
        <x:f>(F326-(0)+0-(J326*Ventas!AE334*1.0556))</x:f>
      </x:c>
      <x:c r="L326" s="6"/>
      <x:c r="M326" s="51">
        <x:f>(G326+0)</x:f>
      </x:c>
      <x:c r="N326" s="40"/>
      <x:c r="O326" s="54">
        <x:f>(H326+0)</x:f>
      </x:c>
      <x:c r="P326" s="43"/>
      <x:c r="Q326" s="55">
        <x:f>(K326+M326+O326)</x:f>
      </x:c>
      <x:c r="R326" s="56">
        <x:f>(((L326*7)+(N326*1)+(P326*0))/8)</x:f>
      </x:c>
      <x:c r="S326" s="47">
        <x:f>(180*(Ventas!AE334*0.9644) - IF(K326&gt;0,K326,0))</x:f>
      </x:c>
      <x:c r="T326" s="47">
        <x:f>IF(S326&gt;0,S326,0)</x:f>
      </x:c>
      <x:c r="U326" s="40"/>
      <x:c r="V326" s="40"/>
      <x:c r="W326" s="43"/>
      <x:c r="X326" s="43"/>
      <x:c r="Y326" s="47">
        <x:f>IF(K326&gt;0,K326+IF(T326&gt;0,T326,0),T326)</x:f>
      </x:c>
      <x:c r="Z326" s="40"/>
      <x:c r="AA326" s="43"/>
      <x:c r="AB326" s="6"/>
      <x:c r="AC326" s="6"/>
      <x:c r="AD326" s="40"/>
      <x:c r="AE326" s="40"/>
      <x:c r="AF326" s="43"/>
      <x:c r="AG326" s="43"/>
      <x:c r="AH326" s="6"/>
      <x:c r="AI326" s="6"/>
      <x:c r="AJ326" s="40"/>
      <x:c r="AK326" s="40"/>
      <x:c r="AL326" s="43"/>
      <x:c r="AM326" s="43"/>
      <x:c r="AN326" s="55">
        <x:f>(IF(AH326&gt;0,AH326,0)+IF(AJ326&gt;0,AJ326,0)+IF(AL326&gt;0,AL326,0))</x:f>
      </x:c>
      <x:c r="AO326" s="56">
        <x:f>(((AI326*7)+(AK326*1)+(AM326*1))/8)</x:f>
      </x:c>
      <x:c r="AP326" s="4" t="s">
        <x:v>51</x:v>
      </x:c>
    </x:row>
    <x:row r="327">
      <x:c r="A327" s="4" t="s">
        <x:v>1017</x:v>
      </x:c>
      <x:c r="B327" s="4" t="s">
        <x:v>1016</x:v>
      </x:c>
      <x:c r="C327" s="38" t="s">
        <x:v>1015</x:v>
      </x:c>
      <x:c r="D327" s="41"/>
      <x:c r="E327" s="44"/>
      <x:c r="F327" s="6"/>
      <x:c r="G327" s="40"/>
      <x:c r="H327" s="43"/>
      <x:c r="I327" s="45">
        <x:v>46313</x:v>
      </x:c>
      <x:c r="J327" s="46">
        <x:v>81</x:v>
      </x:c>
      <x:c r="K327" s="47">
        <x:f>(F327-(0)+0-(J327*Ventas!AE335*1.0556))</x:f>
      </x:c>
      <x:c r="L327" s="6"/>
      <x:c r="M327" s="51">
        <x:f>(G327+0)</x:f>
      </x:c>
      <x:c r="N327" s="40"/>
      <x:c r="O327" s="54">
        <x:f>(H327+0)</x:f>
      </x:c>
      <x:c r="P327" s="43"/>
      <x:c r="Q327" s="55">
        <x:f>(K327+M327+O327)</x:f>
      </x:c>
      <x:c r="R327" s="56">
        <x:f>(((L327*7)+(N327*1)+(P327*0))/8)</x:f>
      </x:c>
      <x:c r="S327" s="47">
        <x:f>(180*(Ventas!AE335*0.9644) - IF(K327&gt;0,K327,0))</x:f>
      </x:c>
      <x:c r="T327" s="47">
        <x:f>IF(S327&gt;0,S327,0)</x:f>
      </x:c>
      <x:c r="U327" s="40"/>
      <x:c r="V327" s="40"/>
      <x:c r="W327" s="43"/>
      <x:c r="X327" s="43"/>
      <x:c r="Y327" s="47">
        <x:f>IF(K327&gt;0,K327+IF(T327&gt;0,T327,0),T327)</x:f>
      </x:c>
      <x:c r="Z327" s="40"/>
      <x:c r="AA327" s="43"/>
      <x:c r="AB327" s="6"/>
      <x:c r="AC327" s="6"/>
      <x:c r="AD327" s="40"/>
      <x:c r="AE327" s="40"/>
      <x:c r="AF327" s="43"/>
      <x:c r="AG327" s="43"/>
      <x:c r="AH327" s="6"/>
      <x:c r="AI327" s="6"/>
      <x:c r="AJ327" s="40"/>
      <x:c r="AK327" s="40"/>
      <x:c r="AL327" s="43"/>
      <x:c r="AM327" s="43"/>
      <x:c r="AN327" s="55">
        <x:f>(IF(AH327&gt;0,AH327,0)+IF(AJ327&gt;0,AJ327,0)+IF(AL327&gt;0,AL327,0))</x:f>
      </x:c>
      <x:c r="AO327" s="56">
        <x:f>(((AI327*7)+(AK327*1)+(AM327*1))/8)</x:f>
      </x:c>
      <x:c r="AP327" s="4" t="s">
        <x:v>35</x:v>
      </x:c>
    </x:row>
    <x:row r="328">
      <x:c r="A328" s="4" t="s">
        <x:v>1020</x:v>
      </x:c>
      <x:c r="B328" s="4" t="s">
        <x:v>1019</x:v>
      </x:c>
      <x:c r="C328" s="38" t="s">
        <x:v>1018</x:v>
      </x:c>
      <x:c r="D328" s="41"/>
      <x:c r="E328" s="44"/>
      <x:c r="F328" s="6"/>
      <x:c r="G328" s="40"/>
      <x:c r="H328" s="43"/>
      <x:c r="I328" s="45">
        <x:v>46313</x:v>
      </x:c>
      <x:c r="J328" s="46">
        <x:v>81</x:v>
      </x:c>
      <x:c r="K328" s="47">
        <x:f>(F328-(0)+0-(J328*Ventas!AE336*1.0556))</x:f>
      </x:c>
      <x:c r="L328" s="6"/>
      <x:c r="M328" s="51">
        <x:f>(G328+0)</x:f>
      </x:c>
      <x:c r="N328" s="40"/>
      <x:c r="O328" s="54">
        <x:f>(H328+0)</x:f>
      </x:c>
      <x:c r="P328" s="43"/>
      <x:c r="Q328" s="55">
        <x:f>(K328+M328+O328)</x:f>
      </x:c>
      <x:c r="R328" s="56">
        <x:f>(((L328*7)+(N328*1)+(P328*0))/8)</x:f>
      </x:c>
      <x:c r="S328" s="47">
        <x:f>(180*(Ventas!AE336*0.9644) - IF(K328&gt;0,K328,0))</x:f>
      </x:c>
      <x:c r="T328" s="47">
        <x:f>IF(S328&gt;0,S328,0)</x:f>
      </x:c>
      <x:c r="U328" s="40"/>
      <x:c r="V328" s="40"/>
      <x:c r="W328" s="43"/>
      <x:c r="X328" s="43"/>
      <x:c r="Y328" s="47">
        <x:f>IF(K328&gt;0,K328+IF(T328&gt;0,T328,0),T328)</x:f>
      </x:c>
      <x:c r="Z328" s="40"/>
      <x:c r="AA328" s="43"/>
      <x:c r="AB328" s="6"/>
      <x:c r="AC328" s="6"/>
      <x:c r="AD328" s="40"/>
      <x:c r="AE328" s="40"/>
      <x:c r="AF328" s="43"/>
      <x:c r="AG328" s="43"/>
      <x:c r="AH328" s="6"/>
      <x:c r="AI328" s="6"/>
      <x:c r="AJ328" s="40"/>
      <x:c r="AK328" s="40"/>
      <x:c r="AL328" s="43"/>
      <x:c r="AM328" s="43"/>
      <x:c r="AN328" s="55">
        <x:f>(IF(AH328&gt;0,AH328,0)+IF(AJ328&gt;0,AJ328,0)+IF(AL328&gt;0,AL328,0))</x:f>
      </x:c>
      <x:c r="AO328" s="56">
        <x:f>(((AI328*7)+(AK328*1)+(AM328*1))/8)</x:f>
      </x:c>
      <x:c r="AP328" s="4" t="s">
        <x:v>35</x:v>
      </x:c>
    </x:row>
    <x:row r="329">
      <x:c r="A329" s="4" t="s">
        <x:v>1023</x:v>
      </x:c>
      <x:c r="B329" s="4" t="s">
        <x:v>1022</x:v>
      </x:c>
      <x:c r="C329" s="38" t="s">
        <x:v>1021</x:v>
      </x:c>
      <x:c r="D329" s="41"/>
      <x:c r="E329" s="44"/>
      <x:c r="F329" s="6"/>
      <x:c r="G329" s="40"/>
      <x:c r="H329" s="43"/>
      <x:c r="I329" s="45">
        <x:v>46313</x:v>
      </x:c>
      <x:c r="J329" s="46">
        <x:v>81</x:v>
      </x:c>
      <x:c r="K329" s="47">
        <x:f>(F329-(0)+0-(J329*Ventas!AE337*1.0556))</x:f>
      </x:c>
      <x:c r="L329" s="6"/>
      <x:c r="M329" s="51">
        <x:f>(G329+0)</x:f>
      </x:c>
      <x:c r="N329" s="40"/>
      <x:c r="O329" s="54">
        <x:f>(H329+0)</x:f>
      </x:c>
      <x:c r="P329" s="43"/>
      <x:c r="Q329" s="55">
        <x:f>(K329+M329+O329)</x:f>
      </x:c>
      <x:c r="R329" s="56">
        <x:f>(((L329*7)+(N329*1)+(P329*0))/8)</x:f>
      </x:c>
      <x:c r="S329" s="47">
        <x:f>(180*(Ventas!AE337*0.9644) - IF(K329&gt;0,K329,0))</x:f>
      </x:c>
      <x:c r="T329" s="47">
        <x:f>IF(S329&gt;0,S329,0)</x:f>
      </x:c>
      <x:c r="U329" s="40"/>
      <x:c r="V329" s="40"/>
      <x:c r="W329" s="43"/>
      <x:c r="X329" s="43"/>
      <x:c r="Y329" s="47">
        <x:f>IF(K329&gt;0,K329+IF(T329&gt;0,T329,0),T329)</x:f>
      </x:c>
      <x:c r="Z329" s="40"/>
      <x:c r="AA329" s="43"/>
      <x:c r="AB329" s="6"/>
      <x:c r="AC329" s="6"/>
      <x:c r="AD329" s="40"/>
      <x:c r="AE329" s="40"/>
      <x:c r="AF329" s="43"/>
      <x:c r="AG329" s="43"/>
      <x:c r="AH329" s="6"/>
      <x:c r="AI329" s="6"/>
      <x:c r="AJ329" s="40"/>
      <x:c r="AK329" s="40"/>
      <x:c r="AL329" s="43"/>
      <x:c r="AM329" s="43"/>
      <x:c r="AN329" s="55">
        <x:f>(IF(AH329&gt;0,AH329,0)+IF(AJ329&gt;0,AJ329,0)+IF(AL329&gt;0,AL329,0))</x:f>
      </x:c>
      <x:c r="AO329" s="56">
        <x:f>(((AI329*7)+(AK329*1)+(AM329*1))/8)</x:f>
      </x:c>
      <x:c r="AP329" s="4" t="s">
        <x:v>35</x:v>
      </x:c>
    </x:row>
    <x:row r="330">
      <x:c r="A330" s="4" t="s">
        <x:v>1026</x:v>
      </x:c>
      <x:c r="B330" s="4" t="s">
        <x:v>1025</x:v>
      </x:c>
      <x:c r="C330" s="38" t="s">
        <x:v>1024</x:v>
      </x:c>
      <x:c r="D330" s="41"/>
      <x:c r="E330" s="44"/>
      <x:c r="F330" s="6"/>
      <x:c r="G330" s="40"/>
      <x:c r="H330" s="43"/>
      <x:c r="I330" s="45">
        <x:v>46313</x:v>
      </x:c>
      <x:c r="J330" s="46">
        <x:v>81</x:v>
      </x:c>
      <x:c r="K330" s="47">
        <x:f>(F330-(0)+0-(J330*Ventas!AE338*1.0556))</x:f>
      </x:c>
      <x:c r="L330" s="6"/>
      <x:c r="M330" s="51">
        <x:f>(G330+0)</x:f>
      </x:c>
      <x:c r="N330" s="40"/>
      <x:c r="O330" s="54">
        <x:f>(H330+0)</x:f>
      </x:c>
      <x:c r="P330" s="43"/>
      <x:c r="Q330" s="55">
        <x:f>(K330+M330+O330)</x:f>
      </x:c>
      <x:c r="R330" s="56">
        <x:f>(((L330*7)+(N330*1)+(P330*0))/8)</x:f>
      </x:c>
      <x:c r="S330" s="47">
        <x:f>(180*(Ventas!AE338*0.9644) - IF(K330&gt;0,K330,0))</x:f>
      </x:c>
      <x:c r="T330" s="47">
        <x:f>IF(S330&gt;0,S330,0)</x:f>
      </x:c>
      <x:c r="U330" s="40"/>
      <x:c r="V330" s="40"/>
      <x:c r="W330" s="43"/>
      <x:c r="X330" s="43"/>
      <x:c r="Y330" s="47">
        <x:f>IF(K330&gt;0,K330+IF(T330&gt;0,T330,0),T330)</x:f>
      </x:c>
      <x:c r="Z330" s="40"/>
      <x:c r="AA330" s="43"/>
      <x:c r="AB330" s="6"/>
      <x:c r="AC330" s="6"/>
      <x:c r="AD330" s="40"/>
      <x:c r="AE330" s="40"/>
      <x:c r="AF330" s="43"/>
      <x:c r="AG330" s="43"/>
      <x:c r="AH330" s="6"/>
      <x:c r="AI330" s="6"/>
      <x:c r="AJ330" s="40"/>
      <x:c r="AK330" s="40"/>
      <x:c r="AL330" s="43"/>
      <x:c r="AM330" s="43"/>
      <x:c r="AN330" s="55">
        <x:f>(IF(AH330&gt;0,AH330,0)+IF(AJ330&gt;0,AJ330,0)+IF(AL330&gt;0,AL330,0))</x:f>
      </x:c>
      <x:c r="AO330" s="56">
        <x:f>(((AI330*7)+(AK330*1)+(AM330*1))/8)</x:f>
      </x:c>
      <x:c r="AP330" s="4" t="s">
        <x:v>35</x:v>
      </x:c>
    </x:row>
    <x:row r="331">
      <x:c r="A331" s="4" t="s">
        <x:v>1029</x:v>
      </x:c>
      <x:c r="B331" s="4" t="s">
        <x:v>1028</x:v>
      </x:c>
      <x:c r="C331" s="38" t="s">
        <x:v>1027</x:v>
      </x:c>
      <x:c r="D331" s="41"/>
      <x:c r="E331" s="44"/>
      <x:c r="F331" s="8">
        <x:v>9</x:v>
      </x:c>
      <x:c r="G331" s="40"/>
      <x:c r="H331" s="43"/>
      <x:c r="I331" s="45">
        <x:v>46313</x:v>
      </x:c>
      <x:c r="J331" s="46">
        <x:v>81</x:v>
      </x:c>
      <x:c r="K331" s="47">
        <x:f>(F331-(0)+0-(J331*Ventas!AE339*1.0556))</x:f>
      </x:c>
      <x:c r="L331" s="49">
        <x:f>(K331/(Ventas!AE339*1.0556)/80)</x:f>
      </x:c>
      <x:c r="M331" s="51">
        <x:f>(G331+0)</x:f>
      </x:c>
      <x:c r="N331" s="40"/>
      <x:c r="O331" s="54">
        <x:f>(H331+0)</x:f>
      </x:c>
      <x:c r="P331" s="43"/>
      <x:c r="Q331" s="55">
        <x:f>(K331+M331+O331)</x:f>
      </x:c>
      <x:c r="R331" s="56">
        <x:f>(((L331*7)+(N331*1)+(P331*0))/8)</x:f>
      </x:c>
      <x:c r="S331" s="47">
        <x:f>(180*(Ventas!AE339*0.9644) - IF(K331&gt;0,K331,0))</x:f>
      </x:c>
      <x:c r="T331" s="47">
        <x:f>IF(S331&gt;0,S331,0)</x:f>
      </x:c>
      <x:c r="U331" s="40"/>
      <x:c r="V331" s="40"/>
      <x:c r="W331" s="43"/>
      <x:c r="X331" s="43"/>
      <x:c r="Y331" s="47">
        <x:f>IF(K331&gt;0,K331+IF(T331&gt;0,T331,0),T331)</x:f>
      </x:c>
      <x:c r="Z331" s="40"/>
      <x:c r="AA331" s="43"/>
      <x:c r="AB331" s="50">
        <x:v>4.6</x:v>
      </x:c>
      <x:c r="AC331" s="8">
        <x:v>3016</x:v>
      </x:c>
      <x:c r="AD331" s="40"/>
      <x:c r="AE331" s="40"/>
      <x:c r="AF331" s="43"/>
      <x:c r="AG331" s="43"/>
      <x:c r="AH331" s="47">
        <x:f>(Y331-(90*Ventas!AE339*0.9644))</x:f>
      </x:c>
      <x:c r="AI331" s="49">
        <x:f>(AH331/(Ventas!AE339*0.9644)/80)</x:f>
      </x:c>
      <x:c r="AJ331" s="40"/>
      <x:c r="AK331" s="40"/>
      <x:c r="AL331" s="43"/>
      <x:c r="AM331" s="43"/>
      <x:c r="AN331" s="55">
        <x:f>(IF(AH331&gt;0,AH331,0)+IF(AJ331&gt;0,AJ331,0)+IF(AL331&gt;0,AL331,0))</x:f>
      </x:c>
      <x:c r="AO331" s="56">
        <x:f>(((AI331*7)+(AK331*1)+(AM331*1))/8)</x:f>
      </x:c>
      <x:c r="AP331" s="4" t="s">
        <x:v>35</x:v>
      </x:c>
    </x:row>
    <x:row r="332">
      <x:c r="A332" s="4" t="s">
        <x:v>1032</x:v>
      </x:c>
      <x:c r="B332" s="4" t="s">
        <x:v>1031</x:v>
      </x:c>
      <x:c r="C332" s="38" t="s">
        <x:v>1030</x:v>
      </x:c>
      <x:c r="D332" s="41"/>
      <x:c r="E332" s="44"/>
      <x:c r="F332" s="6"/>
      <x:c r="G332" s="40"/>
      <x:c r="H332" s="43"/>
      <x:c r="I332" s="45">
        <x:v>46313</x:v>
      </x:c>
      <x:c r="J332" s="46">
        <x:v>81</x:v>
      </x:c>
      <x:c r="K332" s="47">
        <x:f>(F332-(0)+0-(J332*Ventas!AE340*1.0556))</x:f>
      </x:c>
      <x:c r="L332" s="6"/>
      <x:c r="M332" s="51">
        <x:f>(G332+0)</x:f>
      </x:c>
      <x:c r="N332" s="40"/>
      <x:c r="O332" s="54">
        <x:f>(H332+0)</x:f>
      </x:c>
      <x:c r="P332" s="43"/>
      <x:c r="Q332" s="55">
        <x:f>(K332+M332+O332)</x:f>
      </x:c>
      <x:c r="R332" s="56">
        <x:f>(((L332*7)+(N332*1)+(P332*0))/8)</x:f>
      </x:c>
      <x:c r="S332" s="47">
        <x:f>(180*(Ventas!AE340*0.9644) - IF(K332&gt;0,K332,0))</x:f>
      </x:c>
      <x:c r="T332" s="47">
        <x:f>IF(S332&gt;0,S332,0)</x:f>
      </x:c>
      <x:c r="U332" s="40"/>
      <x:c r="V332" s="40"/>
      <x:c r="W332" s="43"/>
      <x:c r="X332" s="43"/>
      <x:c r="Y332" s="47">
        <x:f>IF(K332&gt;0,K332+IF(T332&gt;0,T332,0),T332)</x:f>
      </x:c>
      <x:c r="Z332" s="40"/>
      <x:c r="AA332" s="43"/>
      <x:c r="AB332" s="6"/>
      <x:c r="AC332" s="6"/>
      <x:c r="AD332" s="40"/>
      <x:c r="AE332" s="40"/>
      <x:c r="AF332" s="43"/>
      <x:c r="AG332" s="43"/>
      <x:c r="AH332" s="6"/>
      <x:c r="AI332" s="6"/>
      <x:c r="AJ332" s="40"/>
      <x:c r="AK332" s="40"/>
      <x:c r="AL332" s="43"/>
      <x:c r="AM332" s="43"/>
      <x:c r="AN332" s="55">
        <x:f>(IF(AH332&gt;0,AH332,0)+IF(AJ332&gt;0,AJ332,0)+IF(AL332&gt;0,AL332,0))</x:f>
      </x:c>
      <x:c r="AO332" s="56">
        <x:f>(((AI332*7)+(AK332*1)+(AM332*1))/8)</x:f>
      </x:c>
      <x:c r="AP332" s="4" t="s">
        <x:v>35</x:v>
      </x:c>
    </x:row>
    <x:row r="333">
      <x:c r="A333" s="4"/>
      <x:c r="B333" s="4" t="s">
        <x:v>1034</x:v>
      </x:c>
      <x:c r="C333" s="38" t="s">
        <x:v>1033</x:v>
      </x:c>
      <x:c r="D333" s="41"/>
      <x:c r="E333" s="44"/>
      <x:c r="F333" s="6"/>
      <x:c r="G333" s="40"/>
      <x:c r="H333" s="43"/>
      <x:c r="I333" s="45">
        <x:v>46313</x:v>
      </x:c>
      <x:c r="J333" s="46">
        <x:v>81</x:v>
      </x:c>
      <x:c r="K333" s="47">
        <x:f>(F333-(0)+0-(J333*Ventas!AE341*1.0556))</x:f>
      </x:c>
      <x:c r="L333" s="6"/>
      <x:c r="M333" s="51">
        <x:f>(G333+0)</x:f>
      </x:c>
      <x:c r="N333" s="40"/>
      <x:c r="O333" s="54">
        <x:f>(H333+0)</x:f>
      </x:c>
      <x:c r="P333" s="43"/>
      <x:c r="Q333" s="55">
        <x:f>(K333+M333+O333)</x:f>
      </x:c>
      <x:c r="R333" s="56">
        <x:f>(((L333*7)+(N333*1)+(P333*0))/8)</x:f>
      </x:c>
      <x:c r="S333" s="47">
        <x:f>(180*(Ventas!AE341*0.9644) - IF(K333&gt;0,K333,0))</x:f>
      </x:c>
      <x:c r="T333" s="47">
        <x:f>IF(S333&gt;0,S333,0)</x:f>
      </x:c>
      <x:c r="U333" s="40"/>
      <x:c r="V333" s="40"/>
      <x:c r="W333" s="43"/>
      <x:c r="X333" s="43"/>
      <x:c r="Y333" s="47">
        <x:f>IF(K333&gt;0,K333+IF(T333&gt;0,T333,0),T333)</x:f>
      </x:c>
      <x:c r="Z333" s="40"/>
      <x:c r="AA333" s="43"/>
      <x:c r="AB333" s="6"/>
      <x:c r="AC333" s="6"/>
      <x:c r="AD333" s="40"/>
      <x:c r="AE333" s="40"/>
      <x:c r="AF333" s="43"/>
      <x:c r="AG333" s="43"/>
      <x:c r="AH333" s="6"/>
      <x:c r="AI333" s="6"/>
      <x:c r="AJ333" s="40"/>
      <x:c r="AK333" s="40"/>
      <x:c r="AL333" s="43"/>
      <x:c r="AM333" s="43"/>
      <x:c r="AN333" s="55">
        <x:f>(IF(AH333&gt;0,AH333,0)+IF(AJ333&gt;0,AJ333,0)+IF(AL333&gt;0,AL333,0))</x:f>
      </x:c>
      <x:c r="AO333" s="56">
        <x:f>(((AI333*7)+(AK333*1)+(AM333*1))/8)</x:f>
      </x:c>
      <x:c r="AP333" s="4" t="s">
        <x:v>51</x:v>
      </x:c>
    </x:row>
    <x:row r="334">
      <x:c r="A334" s="4" t="s">
        <x:v>1037</x:v>
      </x:c>
      <x:c r="B334" s="4" t="s">
        <x:v>1036</x:v>
      </x:c>
      <x:c r="C334" s="38" t="s">
        <x:v>1035</x:v>
      </x:c>
      <x:c r="D334" s="41"/>
      <x:c r="E334" s="44"/>
      <x:c r="F334" s="8">
        <x:v>21</x:v>
      </x:c>
      <x:c r="G334" s="40"/>
      <x:c r="H334" s="43"/>
      <x:c r="I334" s="45">
        <x:v>46313</x:v>
      </x:c>
      <x:c r="J334" s="46">
        <x:v>81</x:v>
      </x:c>
      <x:c r="K334" s="47">
        <x:f>(F334-(0)+0-(J334*Ventas!AE342*1.0556))</x:f>
      </x:c>
      <x:c r="L334" s="49">
        <x:f>(K334/(Ventas!AE342*1.0556)/80)</x:f>
      </x:c>
      <x:c r="M334" s="51">
        <x:f>(G334+0)</x:f>
      </x:c>
      <x:c r="N334" s="40"/>
      <x:c r="O334" s="54">
        <x:f>(H334+0)</x:f>
      </x:c>
      <x:c r="P334" s="43"/>
      <x:c r="Q334" s="55">
        <x:f>(K334+M334+O334)</x:f>
      </x:c>
      <x:c r="R334" s="56">
        <x:f>(((L334*7)+(N334*1)+(P334*0))/8)</x:f>
      </x:c>
      <x:c r="S334" s="47">
        <x:f>(180*(Ventas!AE342*0.9644) - IF(K334&gt;0,K334,0))</x:f>
      </x:c>
      <x:c r="T334" s="47">
        <x:f>IF(S334&gt;0,S334,0)</x:f>
      </x:c>
      <x:c r="U334" s="40"/>
      <x:c r="V334" s="40"/>
      <x:c r="W334" s="43"/>
      <x:c r="X334" s="43"/>
      <x:c r="Y334" s="47">
        <x:f>IF(K334&gt;0,K334+IF(T334&gt;0,T334,0),T334)</x:f>
      </x:c>
      <x:c r="Z334" s="40"/>
      <x:c r="AA334" s="43"/>
      <x:c r="AB334" s="50">
        <x:v>4.5</x:v>
      </x:c>
      <x:c r="AC334" s="8">
        <x:v>3016</x:v>
      </x:c>
      <x:c r="AD334" s="40"/>
      <x:c r="AE334" s="40"/>
      <x:c r="AF334" s="43"/>
      <x:c r="AG334" s="43"/>
      <x:c r="AH334" s="47">
        <x:f>(Y334-(90*Ventas!AE342*0.9644))</x:f>
      </x:c>
      <x:c r="AI334" s="49">
        <x:f>(AH334/(Ventas!AE342*0.9644)/80)</x:f>
      </x:c>
      <x:c r="AJ334" s="40"/>
      <x:c r="AK334" s="40"/>
      <x:c r="AL334" s="43"/>
      <x:c r="AM334" s="43"/>
      <x:c r="AN334" s="55">
        <x:f>(IF(AH334&gt;0,AH334,0)+IF(AJ334&gt;0,AJ334,0)+IF(AL334&gt;0,AL334,0))</x:f>
      </x:c>
      <x:c r="AO334" s="56">
        <x:f>(((AI334*7)+(AK334*1)+(AM334*1))/8)</x:f>
      </x:c>
      <x:c r="AP334" s="4" t="s">
        <x:v>35</x:v>
      </x:c>
    </x:row>
    <x:row r="335">
      <x:c r="A335" s="4" t="s">
        <x:v>1040</x:v>
      </x:c>
      <x:c r="B335" s="4" t="s">
        <x:v>1039</x:v>
      </x:c>
      <x:c r="C335" s="38" t="s">
        <x:v>1038</x:v>
      </x:c>
      <x:c r="D335" s="41"/>
      <x:c r="E335" s="44"/>
      <x:c r="F335" s="8">
        <x:v>4</x:v>
      </x:c>
      <x:c r="G335" s="40"/>
      <x:c r="H335" s="43"/>
      <x:c r="I335" s="45">
        <x:v>46313</x:v>
      </x:c>
      <x:c r="J335" s="46">
        <x:v>81</x:v>
      </x:c>
      <x:c r="K335" s="47">
        <x:f>(F335-(0)+0-(J335*Ventas!AE343*1.0556))</x:f>
      </x:c>
      <x:c r="L335" s="49">
        <x:f>(K335/(Ventas!AE343*1.0556)/80)</x:f>
      </x:c>
      <x:c r="M335" s="51">
        <x:f>(G335+0)</x:f>
      </x:c>
      <x:c r="N335" s="40"/>
      <x:c r="O335" s="54">
        <x:f>(H335+0)</x:f>
      </x:c>
      <x:c r="P335" s="43"/>
      <x:c r="Q335" s="55">
        <x:f>(K335+M335+O335)</x:f>
      </x:c>
      <x:c r="R335" s="56">
        <x:f>(((L335*7)+(N335*1)+(P335*0))/8)</x:f>
      </x:c>
      <x:c r="S335" s="47">
        <x:f>(180*(Ventas!AE343*0.9644) - IF(K335&gt;0,K335,0))</x:f>
      </x:c>
      <x:c r="T335" s="47">
        <x:f>IF(S335&gt;0,S335,0)</x:f>
      </x:c>
      <x:c r="U335" s="40"/>
      <x:c r="V335" s="40"/>
      <x:c r="W335" s="43"/>
      <x:c r="X335" s="43"/>
      <x:c r="Y335" s="47">
        <x:f>IF(K335&gt;0,K335+IF(T335&gt;0,T335,0),T335)</x:f>
      </x:c>
      <x:c r="Z335" s="40"/>
      <x:c r="AA335" s="43"/>
      <x:c r="AB335" s="50">
        <x:v>3.7</x:v>
      </x:c>
      <x:c r="AC335" s="8">
        <x:v>3016</x:v>
      </x:c>
      <x:c r="AD335" s="40"/>
      <x:c r="AE335" s="40"/>
      <x:c r="AF335" s="43"/>
      <x:c r="AG335" s="43"/>
      <x:c r="AH335" s="47">
        <x:f>(Y335-(90*Ventas!AE343*0.9644))</x:f>
      </x:c>
      <x:c r="AI335" s="49">
        <x:f>(AH335/(Ventas!AE343*0.9644)/80)</x:f>
      </x:c>
      <x:c r="AJ335" s="40"/>
      <x:c r="AK335" s="40"/>
      <x:c r="AL335" s="43"/>
      <x:c r="AM335" s="43"/>
      <x:c r="AN335" s="55">
        <x:f>(IF(AH335&gt;0,AH335,0)+IF(AJ335&gt;0,AJ335,0)+IF(AL335&gt;0,AL335,0))</x:f>
      </x:c>
      <x:c r="AO335" s="56">
        <x:f>(((AI335*7)+(AK335*1)+(AM335*1))/8)</x:f>
      </x:c>
      <x:c r="AP335" s="4" t="s">
        <x:v>35</x:v>
      </x:c>
    </x:row>
    <x:row r="336">
      <x:c r="A336" s="4" t="s">
        <x:v>1043</x:v>
      </x:c>
      <x:c r="B336" s="4" t="s">
        <x:v>1042</x:v>
      </x:c>
      <x:c r="C336" s="38" t="s">
        <x:v>1041</x:v>
      </x:c>
      <x:c r="D336" s="41"/>
      <x:c r="E336" s="44"/>
      <x:c r="F336" s="6"/>
      <x:c r="G336" s="40"/>
      <x:c r="H336" s="43"/>
      <x:c r="I336" s="45">
        <x:v>46313</x:v>
      </x:c>
      <x:c r="J336" s="46">
        <x:v>81</x:v>
      </x:c>
      <x:c r="K336" s="47">
        <x:f>(F336-(0)+0-(J336*Ventas!AE344*1.0556))</x:f>
      </x:c>
      <x:c r="L336" s="6"/>
      <x:c r="M336" s="51">
        <x:f>(G336+0)</x:f>
      </x:c>
      <x:c r="N336" s="40"/>
      <x:c r="O336" s="54">
        <x:f>(H336+0)</x:f>
      </x:c>
      <x:c r="P336" s="43"/>
      <x:c r="Q336" s="55">
        <x:f>(K336+M336+O336)</x:f>
      </x:c>
      <x:c r="R336" s="56">
        <x:f>(((L336*7)+(N336*1)+(P336*0))/8)</x:f>
      </x:c>
      <x:c r="S336" s="47">
        <x:f>(180*(Ventas!AE344*0.9644) - IF(K336&gt;0,K336,0))</x:f>
      </x:c>
      <x:c r="T336" s="47">
        <x:f>IF(S336&gt;0,S336,0)</x:f>
      </x:c>
      <x:c r="U336" s="40"/>
      <x:c r="V336" s="40"/>
      <x:c r="W336" s="43"/>
      <x:c r="X336" s="43"/>
      <x:c r="Y336" s="47">
        <x:f>IF(K336&gt;0,K336+IF(T336&gt;0,T336,0),T336)</x:f>
      </x:c>
      <x:c r="Z336" s="40"/>
      <x:c r="AA336" s="43"/>
      <x:c r="AB336" s="6"/>
      <x:c r="AC336" s="6"/>
      <x:c r="AD336" s="40"/>
      <x:c r="AE336" s="40"/>
      <x:c r="AF336" s="43"/>
      <x:c r="AG336" s="43"/>
      <x:c r="AH336" s="6"/>
      <x:c r="AI336" s="6"/>
      <x:c r="AJ336" s="40"/>
      <x:c r="AK336" s="40"/>
      <x:c r="AL336" s="43"/>
      <x:c r="AM336" s="43"/>
      <x:c r="AN336" s="55">
        <x:f>(IF(AH336&gt;0,AH336,0)+IF(AJ336&gt;0,AJ336,0)+IF(AL336&gt;0,AL336,0))</x:f>
      </x:c>
      <x:c r="AO336" s="56">
        <x:f>(((AI336*7)+(AK336*1)+(AM336*1))/8)</x:f>
      </x:c>
      <x:c r="AP336" s="4" t="s">
        <x:v>35</x:v>
      </x:c>
    </x:row>
    <x:row r="337">
      <x:c r="A337" s="4" t="s">
        <x:v>1046</x:v>
      </x:c>
      <x:c r="B337" s="4" t="s">
        <x:v>1045</x:v>
      </x:c>
      <x:c r="C337" s="38" t="s">
        <x:v>1044</x:v>
      </x:c>
      <x:c r="D337" s="41"/>
      <x:c r="E337" s="44"/>
      <x:c r="F337" s="6"/>
      <x:c r="G337" s="40"/>
      <x:c r="H337" s="43"/>
      <x:c r="I337" s="45">
        <x:v>46313</x:v>
      </x:c>
      <x:c r="J337" s="46">
        <x:v>81</x:v>
      </x:c>
      <x:c r="K337" s="47">
        <x:f>(F337-(0)+0-(J337*Ventas!AE345*1.0556))</x:f>
      </x:c>
      <x:c r="L337" s="6"/>
      <x:c r="M337" s="51">
        <x:f>(G337+0)</x:f>
      </x:c>
      <x:c r="N337" s="40"/>
      <x:c r="O337" s="54">
        <x:f>(H337+0)</x:f>
      </x:c>
      <x:c r="P337" s="43"/>
      <x:c r="Q337" s="55">
        <x:f>(K337+M337+O337)</x:f>
      </x:c>
      <x:c r="R337" s="56">
        <x:f>(((L337*7)+(N337*1)+(P337*0))/8)</x:f>
      </x:c>
      <x:c r="S337" s="47">
        <x:f>(180*(Ventas!AE345*0.9644) - IF(K337&gt;0,K337,0))</x:f>
      </x:c>
      <x:c r="T337" s="47">
        <x:f>IF(S337&gt;0,S337,0)</x:f>
      </x:c>
      <x:c r="U337" s="40"/>
      <x:c r="V337" s="40"/>
      <x:c r="W337" s="43"/>
      <x:c r="X337" s="43"/>
      <x:c r="Y337" s="47">
        <x:f>IF(K337&gt;0,K337+IF(T337&gt;0,T337,0),T337)</x:f>
      </x:c>
      <x:c r="Z337" s="40"/>
      <x:c r="AA337" s="43"/>
      <x:c r="AB337" s="6"/>
      <x:c r="AC337" s="6"/>
      <x:c r="AD337" s="40"/>
      <x:c r="AE337" s="40"/>
      <x:c r="AF337" s="43"/>
      <x:c r="AG337" s="43"/>
      <x:c r="AH337" s="6"/>
      <x:c r="AI337" s="6"/>
      <x:c r="AJ337" s="40"/>
      <x:c r="AK337" s="40"/>
      <x:c r="AL337" s="43"/>
      <x:c r="AM337" s="43"/>
      <x:c r="AN337" s="55">
        <x:f>(IF(AH337&gt;0,AH337,0)+IF(AJ337&gt;0,AJ337,0)+IF(AL337&gt;0,AL337,0))</x:f>
      </x:c>
      <x:c r="AO337" s="56">
        <x:f>(((AI337*7)+(AK337*1)+(AM337*1))/8)</x:f>
      </x:c>
      <x:c r="AP337" s="4" t="s">
        <x:v>35</x:v>
      </x:c>
    </x:row>
    <x:row r="338">
      <x:c r="A338" s="4" t="s">
        <x:v>1049</x:v>
      </x:c>
      <x:c r="B338" s="4" t="s">
        <x:v>1048</x:v>
      </x:c>
      <x:c r="C338" s="38" t="s">
        <x:v>1047</x:v>
      </x:c>
      <x:c r="D338" s="41"/>
      <x:c r="E338" s="44"/>
      <x:c r="F338" s="6"/>
      <x:c r="G338" s="40"/>
      <x:c r="H338" s="43"/>
      <x:c r="I338" s="45">
        <x:v>46313</x:v>
      </x:c>
      <x:c r="J338" s="46">
        <x:v>81</x:v>
      </x:c>
      <x:c r="K338" s="47">
        <x:f>(F338-(0)+0-(J338*Ventas!AE346*1.0556))</x:f>
      </x:c>
      <x:c r="L338" s="6"/>
      <x:c r="M338" s="51">
        <x:f>(G338+0)</x:f>
      </x:c>
      <x:c r="N338" s="40"/>
      <x:c r="O338" s="54">
        <x:f>(H338+0)</x:f>
      </x:c>
      <x:c r="P338" s="43"/>
      <x:c r="Q338" s="55">
        <x:f>(K338+M338+O338)</x:f>
      </x:c>
      <x:c r="R338" s="56">
        <x:f>(((L338*7)+(N338*1)+(P338*0))/8)</x:f>
      </x:c>
      <x:c r="S338" s="47">
        <x:f>(180*(Ventas!AE346*0.9644) - IF(K338&gt;0,K338,0))</x:f>
      </x:c>
      <x:c r="T338" s="47">
        <x:f>IF(S338&gt;0,S338,0)</x:f>
      </x:c>
      <x:c r="U338" s="40"/>
      <x:c r="V338" s="40"/>
      <x:c r="W338" s="43"/>
      <x:c r="X338" s="43"/>
      <x:c r="Y338" s="47">
        <x:f>IF(K338&gt;0,K338+IF(T338&gt;0,T338,0),T338)</x:f>
      </x:c>
      <x:c r="Z338" s="40"/>
      <x:c r="AA338" s="43"/>
      <x:c r="AB338" s="6"/>
      <x:c r="AC338" s="6"/>
      <x:c r="AD338" s="40"/>
      <x:c r="AE338" s="40"/>
      <x:c r="AF338" s="43"/>
      <x:c r="AG338" s="43"/>
      <x:c r="AH338" s="6"/>
      <x:c r="AI338" s="6"/>
      <x:c r="AJ338" s="40"/>
      <x:c r="AK338" s="40"/>
      <x:c r="AL338" s="43"/>
      <x:c r="AM338" s="43"/>
      <x:c r="AN338" s="55">
        <x:f>(IF(AH338&gt;0,AH338,0)+IF(AJ338&gt;0,AJ338,0)+IF(AL338&gt;0,AL338,0))</x:f>
      </x:c>
      <x:c r="AO338" s="56">
        <x:f>(((AI338*7)+(AK338*1)+(AM338*1))/8)</x:f>
      </x:c>
      <x:c r="AP338" s="4" t="s">
        <x:v>35</x:v>
      </x:c>
    </x:row>
    <x:row r="339">
      <x:c r="A339" s="4" t="s">
        <x:v>1052</x:v>
      </x:c>
      <x:c r="B339" s="4" t="s">
        <x:v>1051</x:v>
      </x:c>
      <x:c r="C339" s="38" t="s">
        <x:v>1050</x:v>
      </x:c>
      <x:c r="D339" s="41"/>
      <x:c r="E339" s="44"/>
      <x:c r="F339" s="8">
        <x:v>2</x:v>
      </x:c>
      <x:c r="G339" s="40"/>
      <x:c r="H339" s="43"/>
      <x:c r="I339" s="45">
        <x:v>46313</x:v>
      </x:c>
      <x:c r="J339" s="46">
        <x:v>81</x:v>
      </x:c>
      <x:c r="K339" s="47">
        <x:f>(F339-(0)+0-(J339*Ventas!AE347*1.0556))</x:f>
      </x:c>
      <x:c r="L339" s="6"/>
      <x:c r="M339" s="51">
        <x:f>(G339+0)</x:f>
      </x:c>
      <x:c r="N339" s="40"/>
      <x:c r="O339" s="54">
        <x:f>(H339+0)</x:f>
      </x:c>
      <x:c r="P339" s="43"/>
      <x:c r="Q339" s="55">
        <x:f>(K339+M339+O339)</x:f>
      </x:c>
      <x:c r="R339" s="56">
        <x:f>(((L339*7)+(N339*1)+(P339*0))/8)</x:f>
      </x:c>
      <x:c r="S339" s="47">
        <x:f>(180*(Ventas!AE347*0.9644) - IF(K339&gt;0,K339,0))</x:f>
      </x:c>
      <x:c r="T339" s="47">
        <x:f>IF(S339&gt;0,S339,0)</x:f>
      </x:c>
      <x:c r="U339" s="40"/>
      <x:c r="V339" s="40"/>
      <x:c r="W339" s="43"/>
      <x:c r="X339" s="43"/>
      <x:c r="Y339" s="47">
        <x:f>IF(K339&gt;0,K339+IF(T339&gt;0,T339,0),T339)</x:f>
      </x:c>
      <x:c r="Z339" s="40"/>
      <x:c r="AA339" s="43"/>
      <x:c r="AB339" s="6"/>
      <x:c r="AC339" s="6"/>
      <x:c r="AD339" s="40"/>
      <x:c r="AE339" s="40"/>
      <x:c r="AF339" s="43"/>
      <x:c r="AG339" s="43"/>
      <x:c r="AH339" s="6"/>
      <x:c r="AI339" s="6"/>
      <x:c r="AJ339" s="40"/>
      <x:c r="AK339" s="40"/>
      <x:c r="AL339" s="43"/>
      <x:c r="AM339" s="43"/>
      <x:c r="AN339" s="55">
        <x:f>(IF(AH339&gt;0,AH339,0)+IF(AJ339&gt;0,AJ339,0)+IF(AL339&gt;0,AL339,0))</x:f>
      </x:c>
      <x:c r="AO339" s="56">
        <x:f>(((AI339*7)+(AK339*1)+(AM339*1))/8)</x:f>
      </x:c>
      <x:c r="AP339" s="4" t="s">
        <x:v>35</x:v>
      </x:c>
    </x:row>
    <x:row r="340">
      <x:c r="A340" s="4" t="s">
        <x:v>1055</x:v>
      </x:c>
      <x:c r="B340" s="4" t="s">
        <x:v>1054</x:v>
      </x:c>
      <x:c r="C340" s="38" t="s">
        <x:v>1053</x:v>
      </x:c>
      <x:c r="D340" s="41"/>
      <x:c r="E340" s="44"/>
      <x:c r="F340" s="6"/>
      <x:c r="G340" s="40"/>
      <x:c r="H340" s="43"/>
      <x:c r="I340" s="45">
        <x:v>46313</x:v>
      </x:c>
      <x:c r="J340" s="46">
        <x:v>81</x:v>
      </x:c>
      <x:c r="K340" s="47">
        <x:f>(F340-(0)+0-(J340*Ventas!AE348*1.0556))</x:f>
      </x:c>
      <x:c r="L340" s="6"/>
      <x:c r="M340" s="51">
        <x:f>(G340+0)</x:f>
      </x:c>
      <x:c r="N340" s="40"/>
      <x:c r="O340" s="54">
        <x:f>(H340+0)</x:f>
      </x:c>
      <x:c r="P340" s="43"/>
      <x:c r="Q340" s="55">
        <x:f>(K340+M340+O340)</x:f>
      </x:c>
      <x:c r="R340" s="56">
        <x:f>(((L340*7)+(N340*1)+(P340*0))/8)</x:f>
      </x:c>
      <x:c r="S340" s="47">
        <x:f>(180*(Ventas!AE348*0.9644) - IF(K340&gt;0,K340,0))</x:f>
      </x:c>
      <x:c r="T340" s="47">
        <x:f>IF(S340&gt;0,S340,0)</x:f>
      </x:c>
      <x:c r="U340" s="40"/>
      <x:c r="V340" s="40"/>
      <x:c r="W340" s="43"/>
      <x:c r="X340" s="43"/>
      <x:c r="Y340" s="47">
        <x:f>IF(K340&gt;0,K340+IF(T340&gt;0,T340,0),T340)</x:f>
      </x:c>
      <x:c r="Z340" s="40"/>
      <x:c r="AA340" s="43"/>
      <x:c r="AB340" s="6"/>
      <x:c r="AC340" s="6"/>
      <x:c r="AD340" s="40"/>
      <x:c r="AE340" s="40"/>
      <x:c r="AF340" s="43"/>
      <x:c r="AG340" s="43"/>
      <x:c r="AH340" s="6"/>
      <x:c r="AI340" s="6"/>
      <x:c r="AJ340" s="40"/>
      <x:c r="AK340" s="40"/>
      <x:c r="AL340" s="43"/>
      <x:c r="AM340" s="43"/>
      <x:c r="AN340" s="55">
        <x:f>(IF(AH340&gt;0,AH340,0)+IF(AJ340&gt;0,AJ340,0)+IF(AL340&gt;0,AL340,0))</x:f>
      </x:c>
      <x:c r="AO340" s="56">
        <x:f>(((AI340*7)+(AK340*1)+(AM340*1))/8)</x:f>
      </x:c>
      <x:c r="AP340" s="4" t="s">
        <x:v>35</x:v>
      </x:c>
    </x:row>
    <x:row r="341">
      <x:c r="A341" s="4" t="s">
        <x:v>1058</x:v>
      </x:c>
      <x:c r="B341" s="4" t="s">
        <x:v>1057</x:v>
      </x:c>
      <x:c r="C341" s="38" t="s">
        <x:v>1056</x:v>
      </x:c>
      <x:c r="D341" s="41"/>
      <x:c r="E341" s="44"/>
      <x:c r="F341" s="6"/>
      <x:c r="G341" s="40"/>
      <x:c r="H341" s="43"/>
      <x:c r="I341" s="45">
        <x:v>46313</x:v>
      </x:c>
      <x:c r="J341" s="46">
        <x:v>81</x:v>
      </x:c>
      <x:c r="K341" s="47">
        <x:f>(F341-(0)+0-(J341*Ventas!AE349*1.0556))</x:f>
      </x:c>
      <x:c r="L341" s="6"/>
      <x:c r="M341" s="51">
        <x:f>(G341+0)</x:f>
      </x:c>
      <x:c r="N341" s="40"/>
      <x:c r="O341" s="54">
        <x:f>(H341+0)</x:f>
      </x:c>
      <x:c r="P341" s="43"/>
      <x:c r="Q341" s="55">
        <x:f>(K341+M341+O341)</x:f>
      </x:c>
      <x:c r="R341" s="56">
        <x:f>(((L341*7)+(N341*1)+(P341*0))/8)</x:f>
      </x:c>
      <x:c r="S341" s="47">
        <x:f>(180*(Ventas!AE349*0.9644) - IF(K341&gt;0,K341,0))</x:f>
      </x:c>
      <x:c r="T341" s="47">
        <x:f>IF(S341&gt;0,S341,0)</x:f>
      </x:c>
      <x:c r="U341" s="40"/>
      <x:c r="V341" s="40"/>
      <x:c r="W341" s="43"/>
      <x:c r="X341" s="43"/>
      <x:c r="Y341" s="47">
        <x:f>IF(K341&gt;0,K341+IF(T341&gt;0,T341,0),T341)</x:f>
      </x:c>
      <x:c r="Z341" s="40"/>
      <x:c r="AA341" s="43"/>
      <x:c r="AB341" s="6"/>
      <x:c r="AC341" s="6"/>
      <x:c r="AD341" s="40"/>
      <x:c r="AE341" s="40"/>
      <x:c r="AF341" s="43"/>
      <x:c r="AG341" s="43"/>
      <x:c r="AH341" s="6"/>
      <x:c r="AI341" s="6"/>
      <x:c r="AJ341" s="40"/>
      <x:c r="AK341" s="40"/>
      <x:c r="AL341" s="43"/>
      <x:c r="AM341" s="43"/>
      <x:c r="AN341" s="55">
        <x:f>(IF(AH341&gt;0,AH341,0)+IF(AJ341&gt;0,AJ341,0)+IF(AL341&gt;0,AL341,0))</x:f>
      </x:c>
      <x:c r="AO341" s="56">
        <x:f>(((AI341*7)+(AK341*1)+(AM341*1))/8)</x:f>
      </x:c>
      <x:c r="AP341" s="4" t="s">
        <x:v>51</x:v>
      </x:c>
    </x:row>
    <x:row r="342">
      <x:c r="A342" s="4" t="s">
        <x:v>1061</x:v>
      </x:c>
      <x:c r="B342" s="4" t="s">
        <x:v>1060</x:v>
      </x:c>
      <x:c r="C342" s="38" t="s">
        <x:v>1059</x:v>
      </x:c>
      <x:c r="D342" s="41"/>
      <x:c r="E342" s="44"/>
      <x:c r="F342" s="6"/>
      <x:c r="G342" s="40"/>
      <x:c r="H342" s="43"/>
      <x:c r="I342" s="45">
        <x:v>46313</x:v>
      </x:c>
      <x:c r="J342" s="46">
        <x:v>81</x:v>
      </x:c>
      <x:c r="K342" s="47">
        <x:f>(F342-(0)+0-(J342*Ventas!AE350*1.0556))</x:f>
      </x:c>
      <x:c r="L342" s="6"/>
      <x:c r="M342" s="51">
        <x:f>(G342+0)</x:f>
      </x:c>
      <x:c r="N342" s="40"/>
      <x:c r="O342" s="54">
        <x:f>(H342+0)</x:f>
      </x:c>
      <x:c r="P342" s="43"/>
      <x:c r="Q342" s="55">
        <x:f>(K342+M342+O342)</x:f>
      </x:c>
      <x:c r="R342" s="56">
        <x:f>(((L342*7)+(N342*1)+(P342*0))/8)</x:f>
      </x:c>
      <x:c r="S342" s="47">
        <x:f>(180*(Ventas!AE350*0.9644) - IF(K342&gt;0,K342,0))</x:f>
      </x:c>
      <x:c r="T342" s="47">
        <x:f>IF(S342&gt;0,S342,0)</x:f>
      </x:c>
      <x:c r="U342" s="40"/>
      <x:c r="V342" s="40"/>
      <x:c r="W342" s="43"/>
      <x:c r="X342" s="43"/>
      <x:c r="Y342" s="47">
        <x:f>IF(K342&gt;0,K342+IF(T342&gt;0,T342,0),T342)</x:f>
      </x:c>
      <x:c r="Z342" s="40"/>
      <x:c r="AA342" s="43"/>
      <x:c r="AB342" s="6"/>
      <x:c r="AC342" s="6"/>
      <x:c r="AD342" s="40"/>
      <x:c r="AE342" s="40"/>
      <x:c r="AF342" s="43"/>
      <x:c r="AG342" s="43"/>
      <x:c r="AH342" s="6"/>
      <x:c r="AI342" s="6"/>
      <x:c r="AJ342" s="40"/>
      <x:c r="AK342" s="40"/>
      <x:c r="AL342" s="43"/>
      <x:c r="AM342" s="43"/>
      <x:c r="AN342" s="55">
        <x:f>(IF(AH342&gt;0,AH342,0)+IF(AJ342&gt;0,AJ342,0)+IF(AL342&gt;0,AL342,0))</x:f>
      </x:c>
      <x:c r="AO342" s="56">
        <x:f>(((AI342*7)+(AK342*1)+(AM342*1))/8)</x:f>
      </x:c>
      <x:c r="AP342" s="4" t="s">
        <x:v>51</x:v>
      </x:c>
    </x:row>
    <x:row r="343">
      <x:c r="A343" s="4" t="s">
        <x:v>1064</x:v>
      </x:c>
      <x:c r="B343" s="4" t="s">
        <x:v>1063</x:v>
      </x:c>
      <x:c r="C343" s="38" t="s">
        <x:v>1062</x:v>
      </x:c>
      <x:c r="D343" s="41"/>
      <x:c r="E343" s="44"/>
      <x:c r="F343" s="6"/>
      <x:c r="G343" s="40"/>
      <x:c r="H343" s="43"/>
      <x:c r="I343" s="45">
        <x:v>46313</x:v>
      </x:c>
      <x:c r="J343" s="46">
        <x:v>81</x:v>
      </x:c>
      <x:c r="K343" s="47">
        <x:f>(F343-(0)+0-(J343*Ventas!AE351*1.0556))</x:f>
      </x:c>
      <x:c r="L343" s="6"/>
      <x:c r="M343" s="51">
        <x:f>(G343+0)</x:f>
      </x:c>
      <x:c r="N343" s="40"/>
      <x:c r="O343" s="54">
        <x:f>(H343+0)</x:f>
      </x:c>
      <x:c r="P343" s="43"/>
      <x:c r="Q343" s="55">
        <x:f>(K343+M343+O343)</x:f>
      </x:c>
      <x:c r="R343" s="56">
        <x:f>(((L343*7)+(N343*1)+(P343*0))/8)</x:f>
      </x:c>
      <x:c r="S343" s="47">
        <x:f>(180*(Ventas!AE351*0.9644) - IF(K343&gt;0,K343,0))</x:f>
      </x:c>
      <x:c r="T343" s="47">
        <x:f>IF(S343&gt;0,S343,0)</x:f>
      </x:c>
      <x:c r="U343" s="40"/>
      <x:c r="V343" s="40"/>
      <x:c r="W343" s="43"/>
      <x:c r="X343" s="43"/>
      <x:c r="Y343" s="47">
        <x:f>IF(K343&gt;0,K343+IF(T343&gt;0,T343,0),T343)</x:f>
      </x:c>
      <x:c r="Z343" s="40"/>
      <x:c r="AA343" s="43"/>
      <x:c r="AB343" s="6"/>
      <x:c r="AC343" s="6"/>
      <x:c r="AD343" s="40"/>
      <x:c r="AE343" s="40"/>
      <x:c r="AF343" s="43"/>
      <x:c r="AG343" s="43"/>
      <x:c r="AH343" s="6"/>
      <x:c r="AI343" s="6"/>
      <x:c r="AJ343" s="40"/>
      <x:c r="AK343" s="40"/>
      <x:c r="AL343" s="43"/>
      <x:c r="AM343" s="43"/>
      <x:c r="AN343" s="55">
        <x:f>(IF(AH343&gt;0,AH343,0)+IF(AJ343&gt;0,AJ343,0)+IF(AL343&gt;0,AL343,0))</x:f>
      </x:c>
      <x:c r="AO343" s="56">
        <x:f>(((AI343*7)+(AK343*1)+(AM343*1))/8)</x:f>
      </x:c>
      <x:c r="AP343" s="4" t="s">
        <x:v>35</x:v>
      </x:c>
    </x:row>
    <x:row r="344">
      <x:c r="A344" s="4" t="s">
        <x:v>1070</x:v>
      </x:c>
      <x:c r="B344" s="4" t="s">
        <x:v>1069</x:v>
      </x:c>
      <x:c r="C344" s="38" t="s">
        <x:v>1068</x:v>
      </x:c>
      <x:c r="D344" s="41"/>
      <x:c r="E344" s="44"/>
      <x:c r="F344" s="8">
        <x:v>8</x:v>
      </x:c>
      <x:c r="G344" s="40"/>
      <x:c r="H344" s="43"/>
      <x:c r="I344" s="45">
        <x:v>46313</x:v>
      </x:c>
      <x:c r="J344" s="46">
        <x:v>81</x:v>
      </x:c>
      <x:c r="K344" s="47">
        <x:f>(F344-(0)+0-(J344*Ventas!AE353*1.0556))</x:f>
      </x:c>
      <x:c r="L344" s="6"/>
      <x:c r="M344" s="51">
        <x:f>(G344+0)</x:f>
      </x:c>
      <x:c r="N344" s="40"/>
      <x:c r="O344" s="54">
        <x:f>(H344+0)</x:f>
      </x:c>
      <x:c r="P344" s="43"/>
      <x:c r="Q344" s="55">
        <x:f>(K344+M344+O344)</x:f>
      </x:c>
      <x:c r="R344" s="56">
        <x:f>(((L344*7)+(N344*1)+(P344*0))/8)</x:f>
      </x:c>
      <x:c r="S344" s="47">
        <x:f>(180*(Ventas!AE353*0.9644) - IF(K344&gt;0,K344,0))</x:f>
      </x:c>
      <x:c r="T344" s="47">
        <x:f>IF(S344&gt;0,S344,0)</x:f>
      </x:c>
      <x:c r="U344" s="40"/>
      <x:c r="V344" s="40"/>
      <x:c r="W344" s="43"/>
      <x:c r="X344" s="43"/>
      <x:c r="Y344" s="47">
        <x:f>IF(K344&gt;0,K344+IF(T344&gt;0,T344,0),T344)</x:f>
      </x:c>
      <x:c r="Z344" s="40"/>
      <x:c r="AA344" s="43"/>
      <x:c r="AB344" s="6"/>
      <x:c r="AC344" s="6"/>
      <x:c r="AD344" s="40"/>
      <x:c r="AE344" s="40"/>
      <x:c r="AF344" s="43"/>
      <x:c r="AG344" s="43"/>
      <x:c r="AH344" s="6"/>
      <x:c r="AI344" s="6"/>
      <x:c r="AJ344" s="40"/>
      <x:c r="AK344" s="40"/>
      <x:c r="AL344" s="43"/>
      <x:c r="AM344" s="43"/>
      <x:c r="AN344" s="55">
        <x:f>(IF(AH344&gt;0,AH344,0)+IF(AJ344&gt;0,AJ344,0)+IF(AL344&gt;0,AL344,0))</x:f>
      </x:c>
      <x:c r="AO344" s="56">
        <x:f>(((AI344*7)+(AK344*1)+(AM344*1))/8)</x:f>
      </x:c>
      <x:c r="AP344" s="4" t="s">
        <x:v>35</x:v>
      </x:c>
    </x:row>
    <x:row r="345">
      <x:c r="A345" s="4" t="s">
        <x:v>1073</x:v>
      </x:c>
      <x:c r="B345" s="4" t="s">
        <x:v>1072</x:v>
      </x:c>
      <x:c r="C345" s="38" t="s">
        <x:v>1071</x:v>
      </x:c>
      <x:c r="D345" s="41"/>
      <x:c r="E345" s="44"/>
      <x:c r="F345" s="6"/>
      <x:c r="G345" s="40"/>
      <x:c r="H345" s="43"/>
      <x:c r="I345" s="45">
        <x:v>46313</x:v>
      </x:c>
      <x:c r="J345" s="46">
        <x:v>81</x:v>
      </x:c>
      <x:c r="K345" s="47">
        <x:f>(F345-(0)+0-(J345*Ventas!AE354*1.0556))</x:f>
      </x:c>
      <x:c r="L345" s="6"/>
      <x:c r="M345" s="51">
        <x:f>(G345+0)</x:f>
      </x:c>
      <x:c r="N345" s="40"/>
      <x:c r="O345" s="54">
        <x:f>(H345+0)</x:f>
      </x:c>
      <x:c r="P345" s="43"/>
      <x:c r="Q345" s="55">
        <x:f>(K345+M345+O345)</x:f>
      </x:c>
      <x:c r="R345" s="56">
        <x:f>(((L345*7)+(N345*1)+(P345*0))/8)</x:f>
      </x:c>
      <x:c r="S345" s="47">
        <x:f>(180*(Ventas!AE354*0.9644) - IF(K345&gt;0,K345,0))</x:f>
      </x:c>
      <x:c r="T345" s="47">
        <x:f>IF(S345&gt;0,S345,0)</x:f>
      </x:c>
      <x:c r="U345" s="40"/>
      <x:c r="V345" s="40"/>
      <x:c r="W345" s="43"/>
      <x:c r="X345" s="43"/>
      <x:c r="Y345" s="47">
        <x:f>IF(K345&gt;0,K345+IF(T345&gt;0,T345,0),T345)</x:f>
      </x:c>
      <x:c r="Z345" s="40"/>
      <x:c r="AA345" s="43"/>
      <x:c r="AB345" s="6"/>
      <x:c r="AC345" s="6"/>
      <x:c r="AD345" s="40"/>
      <x:c r="AE345" s="40"/>
      <x:c r="AF345" s="43"/>
      <x:c r="AG345" s="43"/>
      <x:c r="AH345" s="6"/>
      <x:c r="AI345" s="6"/>
      <x:c r="AJ345" s="40"/>
      <x:c r="AK345" s="40"/>
      <x:c r="AL345" s="43"/>
      <x:c r="AM345" s="43"/>
      <x:c r="AN345" s="55">
        <x:f>(IF(AH345&gt;0,AH345,0)+IF(AJ345&gt;0,AJ345,0)+IF(AL345&gt;0,AL345,0))</x:f>
      </x:c>
      <x:c r="AO345" s="56">
        <x:f>(((AI345*7)+(AK345*1)+(AM345*1))/8)</x:f>
      </x:c>
      <x:c r="AP345" s="4" t="s">
        <x:v>35</x:v>
      </x:c>
    </x:row>
    <x:row r="346">
      <x:c r="A346" s="4" t="s">
        <x:v>1076</x:v>
      </x:c>
      <x:c r="B346" s="4" t="s">
        <x:v>1075</x:v>
      </x:c>
      <x:c r="C346" s="38" t="s">
        <x:v>1074</x:v>
      </x:c>
      <x:c r="D346" s="41"/>
      <x:c r="E346" s="44"/>
      <x:c r="F346" s="6"/>
      <x:c r="G346" s="40"/>
      <x:c r="H346" s="43"/>
      <x:c r="I346" s="45">
        <x:v>46313</x:v>
      </x:c>
      <x:c r="J346" s="46">
        <x:v>81</x:v>
      </x:c>
      <x:c r="K346" s="47">
        <x:f>(F346-(0)+0-(J346*Ventas!AE355*1.0556))</x:f>
      </x:c>
      <x:c r="L346" s="6"/>
      <x:c r="M346" s="51">
        <x:f>(G346+0)</x:f>
      </x:c>
      <x:c r="N346" s="40"/>
      <x:c r="O346" s="54">
        <x:f>(H346+0)</x:f>
      </x:c>
      <x:c r="P346" s="43"/>
      <x:c r="Q346" s="55">
        <x:f>(K346+M346+O346)</x:f>
      </x:c>
      <x:c r="R346" s="56">
        <x:f>(((L346*7)+(N346*1)+(P346*0))/8)</x:f>
      </x:c>
      <x:c r="S346" s="47">
        <x:f>(180*(Ventas!AE355*0.9644) - IF(K346&gt;0,K346,0))</x:f>
      </x:c>
      <x:c r="T346" s="47">
        <x:f>IF(S346&gt;0,S346,0)</x:f>
      </x:c>
      <x:c r="U346" s="40"/>
      <x:c r="V346" s="40"/>
      <x:c r="W346" s="43"/>
      <x:c r="X346" s="43"/>
      <x:c r="Y346" s="47">
        <x:f>IF(K346&gt;0,K346+IF(T346&gt;0,T346,0),T346)</x:f>
      </x:c>
      <x:c r="Z346" s="40"/>
      <x:c r="AA346" s="43"/>
      <x:c r="AB346" s="6"/>
      <x:c r="AC346" s="6"/>
      <x:c r="AD346" s="40"/>
      <x:c r="AE346" s="40"/>
      <x:c r="AF346" s="43"/>
      <x:c r="AG346" s="43"/>
      <x:c r="AH346" s="6"/>
      <x:c r="AI346" s="6"/>
      <x:c r="AJ346" s="40"/>
      <x:c r="AK346" s="40"/>
      <x:c r="AL346" s="43"/>
      <x:c r="AM346" s="43"/>
      <x:c r="AN346" s="55">
        <x:f>(IF(AH346&gt;0,AH346,0)+IF(AJ346&gt;0,AJ346,0)+IF(AL346&gt;0,AL346,0))</x:f>
      </x:c>
      <x:c r="AO346" s="56">
        <x:f>(((AI346*7)+(AK346*1)+(AM346*1))/8)</x:f>
      </x:c>
      <x:c r="AP346" s="4" t="s">
        <x:v>35</x:v>
      </x:c>
    </x:row>
    <x:row r="347">
      <x:c r="A347" s="4" t="s">
        <x:v>1079</x:v>
      </x:c>
      <x:c r="B347" s="4" t="s">
        <x:v>1078</x:v>
      </x:c>
      <x:c r="C347" s="38" t="s">
        <x:v>1077</x:v>
      </x:c>
      <x:c r="D347" s="41"/>
      <x:c r="E347" s="44"/>
      <x:c r="F347" s="6"/>
      <x:c r="G347" s="40"/>
      <x:c r="H347" s="43"/>
      <x:c r="I347" s="45">
        <x:v>46313</x:v>
      </x:c>
      <x:c r="J347" s="46">
        <x:v>81</x:v>
      </x:c>
      <x:c r="K347" s="47">
        <x:f>(F347-(0)+0-(J347*Ventas!AE356*1.0556))</x:f>
      </x:c>
      <x:c r="L347" s="6"/>
      <x:c r="M347" s="51">
        <x:f>(G347+0)</x:f>
      </x:c>
      <x:c r="N347" s="40"/>
      <x:c r="O347" s="54">
        <x:f>(H347+0)</x:f>
      </x:c>
      <x:c r="P347" s="43"/>
      <x:c r="Q347" s="55">
        <x:f>(K347+M347+O347)</x:f>
      </x:c>
      <x:c r="R347" s="56">
        <x:f>(((L347*7)+(N347*1)+(P347*0))/8)</x:f>
      </x:c>
      <x:c r="S347" s="47">
        <x:f>(180*(Ventas!AE356*0.9644) - IF(K347&gt;0,K347,0))</x:f>
      </x:c>
      <x:c r="T347" s="47">
        <x:f>IF(S347&gt;0,S347,0)</x:f>
      </x:c>
      <x:c r="U347" s="40"/>
      <x:c r="V347" s="40"/>
      <x:c r="W347" s="43"/>
      <x:c r="X347" s="43"/>
      <x:c r="Y347" s="47">
        <x:f>IF(K347&gt;0,K347+IF(T347&gt;0,T347,0),T347)</x:f>
      </x:c>
      <x:c r="Z347" s="40"/>
      <x:c r="AA347" s="43"/>
      <x:c r="AB347" s="6"/>
      <x:c r="AC347" s="6"/>
      <x:c r="AD347" s="40"/>
      <x:c r="AE347" s="40"/>
      <x:c r="AF347" s="43"/>
      <x:c r="AG347" s="43"/>
      <x:c r="AH347" s="6"/>
      <x:c r="AI347" s="6"/>
      <x:c r="AJ347" s="40"/>
      <x:c r="AK347" s="40"/>
      <x:c r="AL347" s="43"/>
      <x:c r="AM347" s="43"/>
      <x:c r="AN347" s="55">
        <x:f>(IF(AH347&gt;0,AH347,0)+IF(AJ347&gt;0,AJ347,0)+IF(AL347&gt;0,AL347,0))</x:f>
      </x:c>
      <x:c r="AO347" s="56">
        <x:f>(((AI347*7)+(AK347*1)+(AM347*1))/8)</x:f>
      </x:c>
      <x:c r="AP347" s="4" t="s">
        <x:v>35</x:v>
      </x:c>
    </x:row>
    <x:row r="348">
      <x:c r="A348" s="4" t="s">
        <x:v>1082</x:v>
      </x:c>
      <x:c r="B348" s="4" t="s">
        <x:v>1081</x:v>
      </x:c>
      <x:c r="C348" s="38" t="s">
        <x:v>1080</x:v>
      </x:c>
      <x:c r="D348" s="41"/>
      <x:c r="E348" s="44"/>
      <x:c r="F348" s="8">
        <x:v>11</x:v>
      </x:c>
      <x:c r="G348" s="40"/>
      <x:c r="H348" s="43"/>
      <x:c r="I348" s="45">
        <x:v>46313</x:v>
      </x:c>
      <x:c r="J348" s="46">
        <x:v>81</x:v>
      </x:c>
      <x:c r="K348" s="47">
        <x:f>(F348-(0)+0-(J348*Ventas!AE357*1.0556))</x:f>
      </x:c>
      <x:c r="L348" s="49">
        <x:f>(K348/(Ventas!AE357*1.0556)/80)</x:f>
      </x:c>
      <x:c r="M348" s="51">
        <x:f>(G348+0)</x:f>
      </x:c>
      <x:c r="N348" s="40"/>
      <x:c r="O348" s="54">
        <x:f>(H348+0)</x:f>
      </x:c>
      <x:c r="P348" s="43"/>
      <x:c r="Q348" s="55">
        <x:f>(K348+M348+O348)</x:f>
      </x:c>
      <x:c r="R348" s="56">
        <x:f>(((L348*7)+(N348*1)+(P348*0))/8)</x:f>
      </x:c>
      <x:c r="S348" s="47">
        <x:f>(180*(Ventas!AE357*0.9644) - IF(K348&gt;0,K348,0))</x:f>
      </x:c>
      <x:c r="T348" s="47">
        <x:f>IF(S348&gt;0,S348,0)</x:f>
      </x:c>
      <x:c r="U348" s="40"/>
      <x:c r="V348" s="40"/>
      <x:c r="W348" s="43"/>
      <x:c r="X348" s="43"/>
      <x:c r="Y348" s="47">
        <x:f>IF(K348&gt;0,K348+IF(T348&gt;0,T348,0),T348)</x:f>
      </x:c>
      <x:c r="Z348" s="40"/>
      <x:c r="AA348" s="43"/>
      <x:c r="AB348" s="50">
        <x:v>4.3</x:v>
      </x:c>
      <x:c r="AC348" s="8">
        <x:v>3016</x:v>
      </x:c>
      <x:c r="AD348" s="40"/>
      <x:c r="AE348" s="40"/>
      <x:c r="AF348" s="43"/>
      <x:c r="AG348" s="43"/>
      <x:c r="AH348" s="47">
        <x:f>(Y348-(90*Ventas!AE357*0.9644))</x:f>
      </x:c>
      <x:c r="AI348" s="49">
        <x:f>(AH348/(Ventas!AE357*0.9644)/80)</x:f>
      </x:c>
      <x:c r="AJ348" s="40"/>
      <x:c r="AK348" s="40"/>
      <x:c r="AL348" s="43"/>
      <x:c r="AM348" s="43"/>
      <x:c r="AN348" s="55">
        <x:f>(IF(AH348&gt;0,AH348,0)+IF(AJ348&gt;0,AJ348,0)+IF(AL348&gt;0,AL348,0))</x:f>
      </x:c>
      <x:c r="AO348" s="56">
        <x:f>(((AI348*7)+(AK348*1)+(AM348*1))/8)</x:f>
      </x:c>
      <x:c r="AP348" s="4" t="s">
        <x:v>35</x:v>
      </x:c>
    </x:row>
    <x:row r="349">
      <x:c r="A349" s="4" t="s">
        <x:v>1085</x:v>
      </x:c>
      <x:c r="B349" s="4" t="s">
        <x:v>1084</x:v>
      </x:c>
      <x:c r="C349" s="38" t="s">
        <x:v>1083</x:v>
      </x:c>
      <x:c r="D349" s="41"/>
      <x:c r="E349" s="44"/>
      <x:c r="F349" s="6"/>
      <x:c r="G349" s="40"/>
      <x:c r="H349" s="43"/>
      <x:c r="I349" s="45">
        <x:v>46313</x:v>
      </x:c>
      <x:c r="J349" s="46">
        <x:v>81</x:v>
      </x:c>
      <x:c r="K349" s="47">
        <x:f>(F349-(0)+0-(J349*Ventas!AE358*1.0556))</x:f>
      </x:c>
      <x:c r="L349" s="6"/>
      <x:c r="M349" s="51">
        <x:f>(G349+0)</x:f>
      </x:c>
      <x:c r="N349" s="40"/>
      <x:c r="O349" s="54">
        <x:f>(H349+0)</x:f>
      </x:c>
      <x:c r="P349" s="43"/>
      <x:c r="Q349" s="55">
        <x:f>(K349+M349+O349)</x:f>
      </x:c>
      <x:c r="R349" s="56">
        <x:f>(((L349*7)+(N349*1)+(P349*0))/8)</x:f>
      </x:c>
      <x:c r="S349" s="47">
        <x:f>(180*(Ventas!AE358*0.9644) - IF(K349&gt;0,K349,0))</x:f>
      </x:c>
      <x:c r="T349" s="47">
        <x:f>IF(S349&gt;0,S349,0)</x:f>
      </x:c>
      <x:c r="U349" s="40"/>
      <x:c r="V349" s="40"/>
      <x:c r="W349" s="43"/>
      <x:c r="X349" s="43"/>
      <x:c r="Y349" s="47">
        <x:f>IF(K349&gt;0,K349+IF(T349&gt;0,T349,0),T349)</x:f>
      </x:c>
      <x:c r="Z349" s="40"/>
      <x:c r="AA349" s="43"/>
      <x:c r="AB349" s="6"/>
      <x:c r="AC349" s="6"/>
      <x:c r="AD349" s="40"/>
      <x:c r="AE349" s="40"/>
      <x:c r="AF349" s="43"/>
      <x:c r="AG349" s="43"/>
      <x:c r="AH349" s="6"/>
      <x:c r="AI349" s="6"/>
      <x:c r="AJ349" s="40"/>
      <x:c r="AK349" s="40"/>
      <x:c r="AL349" s="43"/>
      <x:c r="AM349" s="43"/>
      <x:c r="AN349" s="55">
        <x:f>(IF(AH349&gt;0,AH349,0)+IF(AJ349&gt;0,AJ349,0)+IF(AL349&gt;0,AL349,0))</x:f>
      </x:c>
      <x:c r="AO349" s="56">
        <x:f>(((AI349*7)+(AK349*1)+(AM349*1))/8)</x:f>
      </x:c>
      <x:c r="AP349" s="4" t="s">
        <x:v>35</x:v>
      </x:c>
    </x:row>
    <x:row r="350">
      <x:c r="A350" s="4" t="s">
        <x:v>1088</x:v>
      </x:c>
      <x:c r="B350" s="4" t="s">
        <x:v>1087</x:v>
      </x:c>
      <x:c r="C350" s="38" t="s">
        <x:v>1086</x:v>
      </x:c>
      <x:c r="D350" s="41"/>
      <x:c r="E350" s="44"/>
      <x:c r="F350" s="6"/>
      <x:c r="G350" s="40"/>
      <x:c r="H350" s="43"/>
      <x:c r="I350" s="45">
        <x:v>46313</x:v>
      </x:c>
      <x:c r="J350" s="46">
        <x:v>81</x:v>
      </x:c>
      <x:c r="K350" s="47">
        <x:f>(F350-(0)+0-(J350*Ventas!AE359*1.0556))</x:f>
      </x:c>
      <x:c r="L350" s="6"/>
      <x:c r="M350" s="51">
        <x:f>(G350+0)</x:f>
      </x:c>
      <x:c r="N350" s="40"/>
      <x:c r="O350" s="54">
        <x:f>(H350+0)</x:f>
      </x:c>
      <x:c r="P350" s="43"/>
      <x:c r="Q350" s="55">
        <x:f>(K350+M350+O350)</x:f>
      </x:c>
      <x:c r="R350" s="56">
        <x:f>(((L350*7)+(N350*1)+(P350*0))/8)</x:f>
      </x:c>
      <x:c r="S350" s="47">
        <x:f>(180*(Ventas!AE359*0.9644) - IF(K350&gt;0,K350,0))</x:f>
      </x:c>
      <x:c r="T350" s="47">
        <x:f>IF(S350&gt;0,S350,0)</x:f>
      </x:c>
      <x:c r="U350" s="40"/>
      <x:c r="V350" s="40"/>
      <x:c r="W350" s="43"/>
      <x:c r="X350" s="43"/>
      <x:c r="Y350" s="47">
        <x:f>IF(K350&gt;0,K350+IF(T350&gt;0,T350,0),T350)</x:f>
      </x:c>
      <x:c r="Z350" s="40"/>
      <x:c r="AA350" s="43"/>
      <x:c r="AB350" s="6"/>
      <x:c r="AC350" s="6"/>
      <x:c r="AD350" s="40"/>
      <x:c r="AE350" s="40"/>
      <x:c r="AF350" s="43"/>
      <x:c r="AG350" s="43"/>
      <x:c r="AH350" s="6"/>
      <x:c r="AI350" s="6"/>
      <x:c r="AJ350" s="40"/>
      <x:c r="AK350" s="40"/>
      <x:c r="AL350" s="43"/>
      <x:c r="AM350" s="43"/>
      <x:c r="AN350" s="55">
        <x:f>(IF(AH350&gt;0,AH350,0)+IF(AJ350&gt;0,AJ350,0)+IF(AL350&gt;0,AL350,0))</x:f>
      </x:c>
      <x:c r="AO350" s="56">
        <x:f>(((AI350*7)+(AK350*1)+(AM350*1))/8)</x:f>
      </x:c>
      <x:c r="AP350" s="4" t="s">
        <x:v>35</x:v>
      </x:c>
    </x:row>
    <x:row r="351">
      <x:c r="A351" s="4" t="s">
        <x:v>1091</x:v>
      </x:c>
      <x:c r="B351" s="4" t="s">
        <x:v>1090</x:v>
      </x:c>
      <x:c r="C351" s="38" t="s">
        <x:v>1089</x:v>
      </x:c>
      <x:c r="D351" s="41"/>
      <x:c r="E351" s="44"/>
      <x:c r="F351" s="6"/>
      <x:c r="G351" s="40"/>
      <x:c r="H351" s="43"/>
      <x:c r="I351" s="45">
        <x:v>46313</x:v>
      </x:c>
      <x:c r="J351" s="46">
        <x:v>81</x:v>
      </x:c>
      <x:c r="K351" s="47">
        <x:f>(F351-(0)+0-(J351*Ventas!AE360*1.0556))</x:f>
      </x:c>
      <x:c r="L351" s="6"/>
      <x:c r="M351" s="51">
        <x:f>(G351+0)</x:f>
      </x:c>
      <x:c r="N351" s="40"/>
      <x:c r="O351" s="54">
        <x:f>(H351+0)</x:f>
      </x:c>
      <x:c r="P351" s="43"/>
      <x:c r="Q351" s="55">
        <x:f>(K351+M351+O351)</x:f>
      </x:c>
      <x:c r="R351" s="56">
        <x:f>(((L351*7)+(N351*1)+(P351*0))/8)</x:f>
      </x:c>
      <x:c r="S351" s="47">
        <x:f>(180*(Ventas!AE360*0.9644) - IF(K351&gt;0,K351,0))</x:f>
      </x:c>
      <x:c r="T351" s="47">
        <x:f>IF(S351&gt;0,S351,0)</x:f>
      </x:c>
      <x:c r="U351" s="40"/>
      <x:c r="V351" s="40"/>
      <x:c r="W351" s="43"/>
      <x:c r="X351" s="43"/>
      <x:c r="Y351" s="47">
        <x:f>IF(K351&gt;0,K351+IF(T351&gt;0,T351,0),T351)</x:f>
      </x:c>
      <x:c r="Z351" s="40"/>
      <x:c r="AA351" s="43"/>
      <x:c r="AB351" s="6"/>
      <x:c r="AC351" s="6"/>
      <x:c r="AD351" s="40"/>
      <x:c r="AE351" s="40"/>
      <x:c r="AF351" s="43"/>
      <x:c r="AG351" s="43"/>
      <x:c r="AH351" s="6"/>
      <x:c r="AI351" s="6"/>
      <x:c r="AJ351" s="40"/>
      <x:c r="AK351" s="40"/>
      <x:c r="AL351" s="43"/>
      <x:c r="AM351" s="43"/>
      <x:c r="AN351" s="55">
        <x:f>(IF(AH351&gt;0,AH351,0)+IF(AJ351&gt;0,AJ351,0)+IF(AL351&gt;0,AL351,0))</x:f>
      </x:c>
      <x:c r="AO351" s="56">
        <x:f>(((AI351*7)+(AK351*1)+(AM351*1))/8)</x:f>
      </x:c>
      <x:c r="AP351" s="4" t="s">
        <x:v>35</x:v>
      </x:c>
    </x:row>
    <x:row r="352">
      <x:c r="A352" s="4" t="s">
        <x:v>1094</x:v>
      </x:c>
      <x:c r="B352" s="4" t="s">
        <x:v>1093</x:v>
      </x:c>
      <x:c r="C352" s="38" t="s">
        <x:v>1092</x:v>
      </x:c>
      <x:c r="D352" s="41"/>
      <x:c r="E352" s="44"/>
      <x:c r="F352" s="6"/>
      <x:c r="G352" s="40"/>
      <x:c r="H352" s="43"/>
      <x:c r="I352" s="45">
        <x:v>46313</x:v>
      </x:c>
      <x:c r="J352" s="46">
        <x:v>81</x:v>
      </x:c>
      <x:c r="K352" s="47">
        <x:f>(F352-(0)+0-(J352*Ventas!AE361*1.0556))</x:f>
      </x:c>
      <x:c r="L352" s="6"/>
      <x:c r="M352" s="51">
        <x:f>(G352+0)</x:f>
      </x:c>
      <x:c r="N352" s="40"/>
      <x:c r="O352" s="54">
        <x:f>(H352+0)</x:f>
      </x:c>
      <x:c r="P352" s="43"/>
      <x:c r="Q352" s="55">
        <x:f>(K352+M352+O352)</x:f>
      </x:c>
      <x:c r="R352" s="56">
        <x:f>(((L352*7)+(N352*1)+(P352*0))/8)</x:f>
      </x:c>
      <x:c r="S352" s="47">
        <x:f>(180*(Ventas!AE361*0.9644) - IF(K352&gt;0,K352,0))</x:f>
      </x:c>
      <x:c r="T352" s="47">
        <x:f>IF(S352&gt;0,S352,0)</x:f>
      </x:c>
      <x:c r="U352" s="40"/>
      <x:c r="V352" s="40"/>
      <x:c r="W352" s="43"/>
      <x:c r="X352" s="43"/>
      <x:c r="Y352" s="47">
        <x:f>IF(K352&gt;0,K352+IF(T352&gt;0,T352,0),T352)</x:f>
      </x:c>
      <x:c r="Z352" s="40"/>
      <x:c r="AA352" s="43"/>
      <x:c r="AB352" s="6"/>
      <x:c r="AC352" s="6"/>
      <x:c r="AD352" s="40"/>
      <x:c r="AE352" s="40"/>
      <x:c r="AF352" s="43"/>
      <x:c r="AG352" s="43"/>
      <x:c r="AH352" s="6"/>
      <x:c r="AI352" s="6"/>
      <x:c r="AJ352" s="40"/>
      <x:c r="AK352" s="40"/>
      <x:c r="AL352" s="43"/>
      <x:c r="AM352" s="43"/>
      <x:c r="AN352" s="55">
        <x:f>(IF(AH352&gt;0,AH352,0)+IF(AJ352&gt;0,AJ352,0)+IF(AL352&gt;0,AL352,0))</x:f>
      </x:c>
      <x:c r="AO352" s="56">
        <x:f>(((AI352*7)+(AK352*1)+(AM352*1))/8)</x:f>
      </x:c>
      <x:c r="AP352" s="4" t="s">
        <x:v>35</x:v>
      </x:c>
    </x:row>
    <x:row r="353">
      <x:c r="A353" s="4" t="s">
        <x:v>1097</x:v>
      </x:c>
      <x:c r="B353" s="4" t="s">
        <x:v>1096</x:v>
      </x:c>
      <x:c r="C353" s="38" t="s">
        <x:v>1095</x:v>
      </x:c>
      <x:c r="D353" s="41"/>
      <x:c r="E353" s="44"/>
      <x:c r="F353" s="6"/>
      <x:c r="G353" s="40"/>
      <x:c r="H353" s="43"/>
      <x:c r="I353" s="45">
        <x:v>46313</x:v>
      </x:c>
      <x:c r="J353" s="46">
        <x:v>81</x:v>
      </x:c>
      <x:c r="K353" s="47">
        <x:f>(F353-(0)+0-(J353*Ventas!AE362*1.0556))</x:f>
      </x:c>
      <x:c r="L353" s="6"/>
      <x:c r="M353" s="51">
        <x:f>(G353+0)</x:f>
      </x:c>
      <x:c r="N353" s="40"/>
      <x:c r="O353" s="54">
        <x:f>(H353+0)</x:f>
      </x:c>
      <x:c r="P353" s="43"/>
      <x:c r="Q353" s="55">
        <x:f>(K353+M353+O353)</x:f>
      </x:c>
      <x:c r="R353" s="56">
        <x:f>(((L353*7)+(N353*1)+(P353*0))/8)</x:f>
      </x:c>
      <x:c r="S353" s="47">
        <x:f>(180*(Ventas!AE362*0.9644) - IF(K353&gt;0,K353,0))</x:f>
      </x:c>
      <x:c r="T353" s="47">
        <x:f>IF(S353&gt;0,S353,0)</x:f>
      </x:c>
      <x:c r="U353" s="40"/>
      <x:c r="V353" s="40"/>
      <x:c r="W353" s="43"/>
      <x:c r="X353" s="43"/>
      <x:c r="Y353" s="47">
        <x:f>IF(K353&gt;0,K353+IF(T353&gt;0,T353,0),T353)</x:f>
      </x:c>
      <x:c r="Z353" s="40"/>
      <x:c r="AA353" s="43"/>
      <x:c r="AB353" s="6"/>
      <x:c r="AC353" s="6"/>
      <x:c r="AD353" s="40"/>
      <x:c r="AE353" s="40"/>
      <x:c r="AF353" s="43"/>
      <x:c r="AG353" s="43"/>
      <x:c r="AH353" s="6"/>
      <x:c r="AI353" s="6"/>
      <x:c r="AJ353" s="40"/>
      <x:c r="AK353" s="40"/>
      <x:c r="AL353" s="43"/>
      <x:c r="AM353" s="43"/>
      <x:c r="AN353" s="55">
        <x:f>(IF(AH353&gt;0,AH353,0)+IF(AJ353&gt;0,AJ353,0)+IF(AL353&gt;0,AL353,0))</x:f>
      </x:c>
      <x:c r="AO353" s="56">
        <x:f>(((AI353*7)+(AK353*1)+(AM353*1))/8)</x:f>
      </x:c>
      <x:c r="AP353" s="4" t="s">
        <x:v>35</x:v>
      </x:c>
    </x:row>
    <x:row r="354">
      <x:c r="A354" s="4" t="s">
        <x:v>1100</x:v>
      </x:c>
      <x:c r="B354" s="4" t="s">
        <x:v>1099</x:v>
      </x:c>
      <x:c r="C354" s="38" t="s">
        <x:v>1098</x:v>
      </x:c>
      <x:c r="D354" s="41"/>
      <x:c r="E354" s="44"/>
      <x:c r="F354" s="6"/>
      <x:c r="G354" s="40"/>
      <x:c r="H354" s="43"/>
      <x:c r="I354" s="45">
        <x:v>46313</x:v>
      </x:c>
      <x:c r="J354" s="46">
        <x:v>81</x:v>
      </x:c>
      <x:c r="K354" s="47">
        <x:f>(F354-(0)+0-(J354*Ventas!AE363*1.0556))</x:f>
      </x:c>
      <x:c r="L354" s="6"/>
      <x:c r="M354" s="51">
        <x:f>(G354+0)</x:f>
      </x:c>
      <x:c r="N354" s="40"/>
      <x:c r="O354" s="54">
        <x:f>(H354+0)</x:f>
      </x:c>
      <x:c r="P354" s="43"/>
      <x:c r="Q354" s="55">
        <x:f>(K354+M354+O354)</x:f>
      </x:c>
      <x:c r="R354" s="56">
        <x:f>(((L354*7)+(N354*1)+(P354*0))/8)</x:f>
      </x:c>
      <x:c r="S354" s="47">
        <x:f>(180*(Ventas!AE363*0.9644) - IF(K354&gt;0,K354,0))</x:f>
      </x:c>
      <x:c r="T354" s="47">
        <x:f>IF(S354&gt;0,S354,0)</x:f>
      </x:c>
      <x:c r="U354" s="40"/>
      <x:c r="V354" s="40"/>
      <x:c r="W354" s="43"/>
      <x:c r="X354" s="43"/>
      <x:c r="Y354" s="47">
        <x:f>IF(K354&gt;0,K354+IF(T354&gt;0,T354,0),T354)</x:f>
      </x:c>
      <x:c r="Z354" s="40"/>
      <x:c r="AA354" s="43"/>
      <x:c r="AB354" s="6"/>
      <x:c r="AC354" s="6"/>
      <x:c r="AD354" s="40"/>
      <x:c r="AE354" s="40"/>
      <x:c r="AF354" s="43"/>
      <x:c r="AG354" s="43"/>
      <x:c r="AH354" s="6"/>
      <x:c r="AI354" s="6"/>
      <x:c r="AJ354" s="40"/>
      <x:c r="AK354" s="40"/>
      <x:c r="AL354" s="43"/>
      <x:c r="AM354" s="43"/>
      <x:c r="AN354" s="55">
        <x:f>(IF(AH354&gt;0,AH354,0)+IF(AJ354&gt;0,AJ354,0)+IF(AL354&gt;0,AL354,0))</x:f>
      </x:c>
      <x:c r="AO354" s="56">
        <x:f>(((AI354*7)+(AK354*1)+(AM354*1))/8)</x:f>
      </x:c>
      <x:c r="AP354" s="4" t="s">
        <x:v>35</x:v>
      </x:c>
    </x:row>
    <x:row r="355">
      <x:c r="A355" s="4" t="s">
        <x:v>1103</x:v>
      </x:c>
      <x:c r="B355" s="4" t="s">
        <x:v>1102</x:v>
      </x:c>
      <x:c r="C355" s="38" t="s">
        <x:v>1101</x:v>
      </x:c>
      <x:c r="D355" s="41"/>
      <x:c r="E355" s="44"/>
      <x:c r="F355" s="6"/>
      <x:c r="G355" s="40"/>
      <x:c r="H355" s="43"/>
      <x:c r="I355" s="45">
        <x:v>46313</x:v>
      </x:c>
      <x:c r="J355" s="46">
        <x:v>81</x:v>
      </x:c>
      <x:c r="K355" s="47">
        <x:f>(F355-(0)+0-(J355*Ventas!AE364*1.0556))</x:f>
      </x:c>
      <x:c r="L355" s="6"/>
      <x:c r="M355" s="51">
        <x:f>(G355+0)</x:f>
      </x:c>
      <x:c r="N355" s="40"/>
      <x:c r="O355" s="54">
        <x:f>(H355+0)</x:f>
      </x:c>
      <x:c r="P355" s="43"/>
      <x:c r="Q355" s="55">
        <x:f>(K355+M355+O355)</x:f>
      </x:c>
      <x:c r="R355" s="56">
        <x:f>(((L355*7)+(N355*1)+(P355*0))/8)</x:f>
      </x:c>
      <x:c r="S355" s="47">
        <x:f>(180*(Ventas!AE364*0.9644) - IF(K355&gt;0,K355,0))</x:f>
      </x:c>
      <x:c r="T355" s="47">
        <x:f>IF(S355&gt;0,S355,0)</x:f>
      </x:c>
      <x:c r="U355" s="40"/>
      <x:c r="V355" s="40"/>
      <x:c r="W355" s="43"/>
      <x:c r="X355" s="43"/>
      <x:c r="Y355" s="47">
        <x:f>IF(K355&gt;0,K355+IF(T355&gt;0,T355,0),T355)</x:f>
      </x:c>
      <x:c r="Z355" s="40"/>
      <x:c r="AA355" s="43"/>
      <x:c r="AB355" s="6"/>
      <x:c r="AC355" s="6"/>
      <x:c r="AD355" s="40"/>
      <x:c r="AE355" s="40"/>
      <x:c r="AF355" s="43"/>
      <x:c r="AG355" s="43"/>
      <x:c r="AH355" s="6"/>
      <x:c r="AI355" s="6"/>
      <x:c r="AJ355" s="40"/>
      <x:c r="AK355" s="40"/>
      <x:c r="AL355" s="43"/>
      <x:c r="AM355" s="43"/>
      <x:c r="AN355" s="55">
        <x:f>(IF(AH355&gt;0,AH355,0)+IF(AJ355&gt;0,AJ355,0)+IF(AL355&gt;0,AL355,0))</x:f>
      </x:c>
      <x:c r="AO355" s="56">
        <x:f>(((AI355*7)+(AK355*1)+(AM355*1))/8)</x:f>
      </x:c>
      <x:c r="AP355" s="4" t="s">
        <x:v>35</x:v>
      </x:c>
    </x:row>
    <x:row r="356">
      <x:c r="A356" s="4" t="s">
        <x:v>1106</x:v>
      </x:c>
      <x:c r="B356" s="4" t="s">
        <x:v>1105</x:v>
      </x:c>
      <x:c r="C356" s="38" t="s">
        <x:v>1104</x:v>
      </x:c>
      <x:c r="D356" s="41"/>
      <x:c r="E356" s="44"/>
      <x:c r="F356" s="6"/>
      <x:c r="G356" s="40"/>
      <x:c r="H356" s="43"/>
      <x:c r="I356" s="45">
        <x:v>46313</x:v>
      </x:c>
      <x:c r="J356" s="46">
        <x:v>81</x:v>
      </x:c>
      <x:c r="K356" s="47">
        <x:f>(F356-(0)+0-(J356*Ventas!AE365*1.0556))</x:f>
      </x:c>
      <x:c r="L356" s="6"/>
      <x:c r="M356" s="51">
        <x:f>(G356+0)</x:f>
      </x:c>
      <x:c r="N356" s="40"/>
      <x:c r="O356" s="54">
        <x:f>(H356+0)</x:f>
      </x:c>
      <x:c r="P356" s="43"/>
      <x:c r="Q356" s="55">
        <x:f>(K356+M356+O356)</x:f>
      </x:c>
      <x:c r="R356" s="56">
        <x:f>(((L356*7)+(N356*1)+(P356*0))/8)</x:f>
      </x:c>
      <x:c r="S356" s="47">
        <x:f>(180*(Ventas!AE365*0.9644) - IF(K356&gt;0,K356,0))</x:f>
      </x:c>
      <x:c r="T356" s="47">
        <x:f>IF(S356&gt;0,S356,0)</x:f>
      </x:c>
      <x:c r="U356" s="40"/>
      <x:c r="V356" s="40"/>
      <x:c r="W356" s="43"/>
      <x:c r="X356" s="43"/>
      <x:c r="Y356" s="47">
        <x:f>IF(K356&gt;0,K356+IF(T356&gt;0,T356,0),T356)</x:f>
      </x:c>
      <x:c r="Z356" s="40"/>
      <x:c r="AA356" s="43"/>
      <x:c r="AB356" s="6"/>
      <x:c r="AC356" s="6"/>
      <x:c r="AD356" s="40"/>
      <x:c r="AE356" s="40"/>
      <x:c r="AF356" s="43"/>
      <x:c r="AG356" s="43"/>
      <x:c r="AH356" s="6"/>
      <x:c r="AI356" s="6"/>
      <x:c r="AJ356" s="40"/>
      <x:c r="AK356" s="40"/>
      <x:c r="AL356" s="43"/>
      <x:c r="AM356" s="43"/>
      <x:c r="AN356" s="55">
        <x:f>(IF(AH356&gt;0,AH356,0)+IF(AJ356&gt;0,AJ356,0)+IF(AL356&gt;0,AL356,0))</x:f>
      </x:c>
      <x:c r="AO356" s="56">
        <x:f>(((AI356*7)+(AK356*1)+(AM356*1))/8)</x:f>
      </x:c>
      <x:c r="AP356" s="4" t="s">
        <x:v>35</x:v>
      </x:c>
    </x:row>
    <x:row r="357">
      <x:c r="A357" s="4" t="s">
        <x:v>1109</x:v>
      </x:c>
      <x:c r="B357" s="4" t="s">
        <x:v>1108</x:v>
      </x:c>
      <x:c r="C357" s="38" t="s">
        <x:v>1107</x:v>
      </x:c>
      <x:c r="D357" s="41"/>
      <x:c r="E357" s="44"/>
      <x:c r="F357" s="6"/>
      <x:c r="G357" s="40"/>
      <x:c r="H357" s="43"/>
      <x:c r="I357" s="45">
        <x:v>46313</x:v>
      </x:c>
      <x:c r="J357" s="46">
        <x:v>81</x:v>
      </x:c>
      <x:c r="K357" s="47">
        <x:f>(F357-(0)+0-(J357*Ventas!AE366*1.0556))</x:f>
      </x:c>
      <x:c r="L357" s="6"/>
      <x:c r="M357" s="51">
        <x:f>(G357+0)</x:f>
      </x:c>
      <x:c r="N357" s="40"/>
      <x:c r="O357" s="54">
        <x:f>(H357+0)</x:f>
      </x:c>
      <x:c r="P357" s="43"/>
      <x:c r="Q357" s="55">
        <x:f>(K357+M357+O357)</x:f>
      </x:c>
      <x:c r="R357" s="56">
        <x:f>(((L357*7)+(N357*1)+(P357*0))/8)</x:f>
      </x:c>
      <x:c r="S357" s="47">
        <x:f>(180*(Ventas!AE366*0.9644) - IF(K357&gt;0,K357,0))</x:f>
      </x:c>
      <x:c r="T357" s="47">
        <x:f>IF(S357&gt;0,S357,0)</x:f>
      </x:c>
      <x:c r="U357" s="40"/>
      <x:c r="V357" s="40"/>
      <x:c r="W357" s="43"/>
      <x:c r="X357" s="43"/>
      <x:c r="Y357" s="47">
        <x:f>IF(K357&gt;0,K357+IF(T357&gt;0,T357,0),T357)</x:f>
      </x:c>
      <x:c r="Z357" s="40"/>
      <x:c r="AA357" s="43"/>
      <x:c r="AB357" s="6"/>
      <x:c r="AC357" s="6"/>
      <x:c r="AD357" s="40"/>
      <x:c r="AE357" s="40"/>
      <x:c r="AF357" s="43"/>
      <x:c r="AG357" s="43"/>
      <x:c r="AH357" s="6"/>
      <x:c r="AI357" s="6"/>
      <x:c r="AJ357" s="40"/>
      <x:c r="AK357" s="40"/>
      <x:c r="AL357" s="43"/>
      <x:c r="AM357" s="43"/>
      <x:c r="AN357" s="55">
        <x:f>(IF(AH357&gt;0,AH357,0)+IF(AJ357&gt;0,AJ357,0)+IF(AL357&gt;0,AL357,0))</x:f>
      </x:c>
      <x:c r="AO357" s="56">
        <x:f>(((AI357*7)+(AK357*1)+(AM357*1))/8)</x:f>
      </x:c>
      <x:c r="AP357" s="4" t="s">
        <x:v>35</x:v>
      </x:c>
    </x:row>
    <x:row r="358">
      <x:c r="A358" s="4" t="s">
        <x:v>1112</x:v>
      </x:c>
      <x:c r="B358" s="4" t="s">
        <x:v>1111</x:v>
      </x:c>
      <x:c r="C358" s="38" t="s">
        <x:v>1110</x:v>
      </x:c>
      <x:c r="D358" s="41"/>
      <x:c r="E358" s="44"/>
      <x:c r="F358" s="6"/>
      <x:c r="G358" s="40"/>
      <x:c r="H358" s="43"/>
      <x:c r="I358" s="45">
        <x:v>46313</x:v>
      </x:c>
      <x:c r="J358" s="46">
        <x:v>81</x:v>
      </x:c>
      <x:c r="K358" s="47">
        <x:f>(F358-(0)+0-(J358*Ventas!AE367*1.0556))</x:f>
      </x:c>
      <x:c r="L358" s="6"/>
      <x:c r="M358" s="51">
        <x:f>(G358+0)</x:f>
      </x:c>
      <x:c r="N358" s="40"/>
      <x:c r="O358" s="54">
        <x:f>(H358+0)</x:f>
      </x:c>
      <x:c r="P358" s="43"/>
      <x:c r="Q358" s="55">
        <x:f>(K358+M358+O358)</x:f>
      </x:c>
      <x:c r="R358" s="56">
        <x:f>(((L358*7)+(N358*1)+(P358*0))/8)</x:f>
      </x:c>
      <x:c r="S358" s="47">
        <x:f>(180*(Ventas!AE367*0.9644) - IF(K358&gt;0,K358,0))</x:f>
      </x:c>
      <x:c r="T358" s="47">
        <x:f>IF(S358&gt;0,S358,0)</x:f>
      </x:c>
      <x:c r="U358" s="40"/>
      <x:c r="V358" s="40"/>
      <x:c r="W358" s="43"/>
      <x:c r="X358" s="43"/>
      <x:c r="Y358" s="47">
        <x:f>IF(K358&gt;0,K358+IF(T358&gt;0,T358,0),T358)</x:f>
      </x:c>
      <x:c r="Z358" s="40"/>
      <x:c r="AA358" s="43"/>
      <x:c r="AB358" s="6"/>
      <x:c r="AC358" s="6"/>
      <x:c r="AD358" s="40"/>
      <x:c r="AE358" s="40"/>
      <x:c r="AF358" s="43"/>
      <x:c r="AG358" s="43"/>
      <x:c r="AH358" s="6"/>
      <x:c r="AI358" s="6"/>
      <x:c r="AJ358" s="40"/>
      <x:c r="AK358" s="40"/>
      <x:c r="AL358" s="43"/>
      <x:c r="AM358" s="43"/>
      <x:c r="AN358" s="55">
        <x:f>(IF(AH358&gt;0,AH358,0)+IF(AJ358&gt;0,AJ358,0)+IF(AL358&gt;0,AL358,0))</x:f>
      </x:c>
      <x:c r="AO358" s="56">
        <x:f>(((AI358*7)+(AK358*1)+(AM358*1))/8)</x:f>
      </x:c>
      <x:c r="AP358" s="4" t="s">
        <x:v>35</x:v>
      </x:c>
    </x:row>
    <x:row r="359">
      <x:c r="A359" s="4" t="s">
        <x:v>1115</x:v>
      </x:c>
      <x:c r="B359" s="4" t="s">
        <x:v>1114</x:v>
      </x:c>
      <x:c r="C359" s="38" t="s">
        <x:v>1113</x:v>
      </x:c>
      <x:c r="D359" s="41"/>
      <x:c r="E359" s="44"/>
      <x:c r="F359" s="6"/>
      <x:c r="G359" s="40"/>
      <x:c r="H359" s="43"/>
      <x:c r="I359" s="45">
        <x:v>46313</x:v>
      </x:c>
      <x:c r="J359" s="46">
        <x:v>81</x:v>
      </x:c>
      <x:c r="K359" s="47">
        <x:f>(F359-(0)+0-(J359*Ventas!AE368*1.0556))</x:f>
      </x:c>
      <x:c r="L359" s="6"/>
      <x:c r="M359" s="51">
        <x:f>(G359+0)</x:f>
      </x:c>
      <x:c r="N359" s="40"/>
      <x:c r="O359" s="54">
        <x:f>(H359+0)</x:f>
      </x:c>
      <x:c r="P359" s="43"/>
      <x:c r="Q359" s="55">
        <x:f>(K359+M359+O359)</x:f>
      </x:c>
      <x:c r="R359" s="56">
        <x:f>(((L359*7)+(N359*1)+(P359*0))/8)</x:f>
      </x:c>
      <x:c r="S359" s="47">
        <x:f>(180*(Ventas!AE368*0.9644) - IF(K359&gt;0,K359,0))</x:f>
      </x:c>
      <x:c r="T359" s="47">
        <x:f>IF(S359&gt;0,S359,0)</x:f>
      </x:c>
      <x:c r="U359" s="40"/>
      <x:c r="V359" s="40"/>
      <x:c r="W359" s="43"/>
      <x:c r="X359" s="43"/>
      <x:c r="Y359" s="47">
        <x:f>IF(K359&gt;0,K359+IF(T359&gt;0,T359,0),T359)</x:f>
      </x:c>
      <x:c r="Z359" s="40"/>
      <x:c r="AA359" s="43"/>
      <x:c r="AB359" s="6"/>
      <x:c r="AC359" s="6"/>
      <x:c r="AD359" s="40"/>
      <x:c r="AE359" s="40"/>
      <x:c r="AF359" s="43"/>
      <x:c r="AG359" s="43"/>
      <x:c r="AH359" s="6"/>
      <x:c r="AI359" s="6"/>
      <x:c r="AJ359" s="40"/>
      <x:c r="AK359" s="40"/>
      <x:c r="AL359" s="43"/>
      <x:c r="AM359" s="43"/>
      <x:c r="AN359" s="55">
        <x:f>(IF(AH359&gt;0,AH359,0)+IF(AJ359&gt;0,AJ359,0)+IF(AL359&gt;0,AL359,0))</x:f>
      </x:c>
      <x:c r="AO359" s="56">
        <x:f>(((AI359*7)+(AK359*1)+(AM359*1))/8)</x:f>
      </x:c>
      <x:c r="AP359" s="4" t="s">
        <x:v>35</x:v>
      </x:c>
    </x:row>
    <x:row r="360">
      <x:c r="A360" s="4" t="s">
        <x:v>1118</x:v>
      </x:c>
      <x:c r="B360" s="4" t="s">
        <x:v>1117</x:v>
      </x:c>
      <x:c r="C360" s="38" t="s">
        <x:v>1116</x:v>
      </x:c>
      <x:c r="D360" s="41"/>
      <x:c r="E360" s="44"/>
      <x:c r="F360" s="6"/>
      <x:c r="G360" s="40"/>
      <x:c r="H360" s="43"/>
      <x:c r="I360" s="45">
        <x:v>46313</x:v>
      </x:c>
      <x:c r="J360" s="46">
        <x:v>81</x:v>
      </x:c>
      <x:c r="K360" s="47">
        <x:f>(F360-(0)+0-(J360*Ventas!AE369*1.0556))</x:f>
      </x:c>
      <x:c r="L360" s="6"/>
      <x:c r="M360" s="51">
        <x:f>(G360+0)</x:f>
      </x:c>
      <x:c r="N360" s="40"/>
      <x:c r="O360" s="54">
        <x:f>(H360+0)</x:f>
      </x:c>
      <x:c r="P360" s="43"/>
      <x:c r="Q360" s="55">
        <x:f>(K360+M360+O360)</x:f>
      </x:c>
      <x:c r="R360" s="56">
        <x:f>(((L360*7)+(N360*1)+(P360*0))/8)</x:f>
      </x:c>
      <x:c r="S360" s="47">
        <x:f>(180*(Ventas!AE369*0.9644) - IF(K360&gt;0,K360,0))</x:f>
      </x:c>
      <x:c r="T360" s="47">
        <x:f>IF(S360&gt;0,S360,0)</x:f>
      </x:c>
      <x:c r="U360" s="40"/>
      <x:c r="V360" s="40"/>
      <x:c r="W360" s="43"/>
      <x:c r="X360" s="43"/>
      <x:c r="Y360" s="47">
        <x:f>IF(K360&gt;0,K360+IF(T360&gt;0,T360,0),T360)</x:f>
      </x:c>
      <x:c r="Z360" s="40"/>
      <x:c r="AA360" s="43"/>
      <x:c r="AB360" s="6"/>
      <x:c r="AC360" s="6"/>
      <x:c r="AD360" s="40"/>
      <x:c r="AE360" s="40"/>
      <x:c r="AF360" s="43"/>
      <x:c r="AG360" s="43"/>
      <x:c r="AH360" s="6"/>
      <x:c r="AI360" s="6"/>
      <x:c r="AJ360" s="40"/>
      <x:c r="AK360" s="40"/>
      <x:c r="AL360" s="43"/>
      <x:c r="AM360" s="43"/>
      <x:c r="AN360" s="55">
        <x:f>(IF(AH360&gt;0,AH360,0)+IF(AJ360&gt;0,AJ360,0)+IF(AL360&gt;0,AL360,0))</x:f>
      </x:c>
      <x:c r="AO360" s="56">
        <x:f>(((AI360*7)+(AK360*1)+(AM360*1))/8)</x:f>
      </x:c>
      <x:c r="AP360" s="4" t="s">
        <x:v>35</x:v>
      </x:c>
    </x:row>
    <x:row r="361">
      <x:c r="A361" s="4" t="s">
        <x:v>1121</x:v>
      </x:c>
      <x:c r="B361" s="4" t="s">
        <x:v>1120</x:v>
      </x:c>
      <x:c r="C361" s="38" t="s">
        <x:v>1119</x:v>
      </x:c>
      <x:c r="D361" s="41"/>
      <x:c r="E361" s="44"/>
      <x:c r="F361" s="6"/>
      <x:c r="G361" s="40"/>
      <x:c r="H361" s="43"/>
      <x:c r="I361" s="45">
        <x:v>46313</x:v>
      </x:c>
      <x:c r="J361" s="46">
        <x:v>81</x:v>
      </x:c>
      <x:c r="K361" s="47">
        <x:f>(F361-(0)+0-(J361*Ventas!AE370*1.0556))</x:f>
      </x:c>
      <x:c r="L361" s="6"/>
      <x:c r="M361" s="51">
        <x:f>(G361+0)</x:f>
      </x:c>
      <x:c r="N361" s="40"/>
      <x:c r="O361" s="54">
        <x:f>(H361+0)</x:f>
      </x:c>
      <x:c r="P361" s="43"/>
      <x:c r="Q361" s="55">
        <x:f>(K361+M361+O361)</x:f>
      </x:c>
      <x:c r="R361" s="56">
        <x:f>(((L361*7)+(N361*1)+(P361*0))/8)</x:f>
      </x:c>
      <x:c r="S361" s="47">
        <x:f>(180*(Ventas!AE370*0.9644) - IF(K361&gt;0,K361,0))</x:f>
      </x:c>
      <x:c r="T361" s="47">
        <x:f>IF(S361&gt;0,S361,0)</x:f>
      </x:c>
      <x:c r="U361" s="40"/>
      <x:c r="V361" s="40"/>
      <x:c r="W361" s="43"/>
      <x:c r="X361" s="43"/>
      <x:c r="Y361" s="47">
        <x:f>IF(K361&gt;0,K361+IF(T361&gt;0,T361,0),T361)</x:f>
      </x:c>
      <x:c r="Z361" s="40"/>
      <x:c r="AA361" s="43"/>
      <x:c r="AB361" s="6"/>
      <x:c r="AC361" s="6"/>
      <x:c r="AD361" s="40"/>
      <x:c r="AE361" s="40"/>
      <x:c r="AF361" s="43"/>
      <x:c r="AG361" s="43"/>
      <x:c r="AH361" s="6"/>
      <x:c r="AI361" s="6"/>
      <x:c r="AJ361" s="40"/>
      <x:c r="AK361" s="40"/>
      <x:c r="AL361" s="43"/>
      <x:c r="AM361" s="43"/>
      <x:c r="AN361" s="55">
        <x:f>(IF(AH361&gt;0,AH361,0)+IF(AJ361&gt;0,AJ361,0)+IF(AL361&gt;0,AL361,0))</x:f>
      </x:c>
      <x:c r="AO361" s="56">
        <x:f>(((AI361*7)+(AK361*1)+(AM361*1))/8)</x:f>
      </x:c>
      <x:c r="AP361" s="4" t="s">
        <x:v>35</x:v>
      </x:c>
    </x:row>
    <x:row r="362">
      <x:c r="A362" s="4" t="s">
        <x:v>1124</x:v>
      </x:c>
      <x:c r="B362" s="4" t="s">
        <x:v>1123</x:v>
      </x:c>
      <x:c r="C362" s="38" t="s">
        <x:v>1122</x:v>
      </x:c>
      <x:c r="D362" s="41"/>
      <x:c r="E362" s="44"/>
      <x:c r="F362" s="6"/>
      <x:c r="G362" s="40"/>
      <x:c r="H362" s="43"/>
      <x:c r="I362" s="45">
        <x:v>46313</x:v>
      </x:c>
      <x:c r="J362" s="46">
        <x:v>81</x:v>
      </x:c>
      <x:c r="K362" s="47">
        <x:f>(F362-(0)+0-(J362*Ventas!AE371*1.0556))</x:f>
      </x:c>
      <x:c r="L362" s="6"/>
      <x:c r="M362" s="51">
        <x:f>(G362+0)</x:f>
      </x:c>
      <x:c r="N362" s="40"/>
      <x:c r="O362" s="54">
        <x:f>(H362+0)</x:f>
      </x:c>
      <x:c r="P362" s="43"/>
      <x:c r="Q362" s="55">
        <x:f>(K362+M362+O362)</x:f>
      </x:c>
      <x:c r="R362" s="56">
        <x:f>(((L362*7)+(N362*1)+(P362*0))/8)</x:f>
      </x:c>
      <x:c r="S362" s="47">
        <x:f>(180*(Ventas!AE371*0.9644) - IF(K362&gt;0,K362,0))</x:f>
      </x:c>
      <x:c r="T362" s="47">
        <x:f>IF(S362&gt;0,S362,0)</x:f>
      </x:c>
      <x:c r="U362" s="40"/>
      <x:c r="V362" s="40"/>
      <x:c r="W362" s="43"/>
      <x:c r="X362" s="43"/>
      <x:c r="Y362" s="47">
        <x:f>IF(K362&gt;0,K362+IF(T362&gt;0,T362,0),T362)</x:f>
      </x:c>
      <x:c r="Z362" s="40"/>
      <x:c r="AA362" s="43"/>
      <x:c r="AB362" s="6"/>
      <x:c r="AC362" s="6"/>
      <x:c r="AD362" s="40"/>
      <x:c r="AE362" s="40"/>
      <x:c r="AF362" s="43"/>
      <x:c r="AG362" s="43"/>
      <x:c r="AH362" s="6"/>
      <x:c r="AI362" s="6"/>
      <x:c r="AJ362" s="40"/>
      <x:c r="AK362" s="40"/>
      <x:c r="AL362" s="43"/>
      <x:c r="AM362" s="43"/>
      <x:c r="AN362" s="55">
        <x:f>(IF(AH362&gt;0,AH362,0)+IF(AJ362&gt;0,AJ362,0)+IF(AL362&gt;0,AL362,0))</x:f>
      </x:c>
      <x:c r="AO362" s="56">
        <x:f>(((AI362*7)+(AK362*1)+(AM362*1))/8)</x:f>
      </x:c>
      <x:c r="AP362" s="4" t="s">
        <x:v>35</x:v>
      </x:c>
    </x:row>
    <x:row r="363">
      <x:c r="A363" s="4" t="s">
        <x:v>1127</x:v>
      </x:c>
      <x:c r="B363" s="4" t="s">
        <x:v>1126</x:v>
      </x:c>
      <x:c r="C363" s="38" t="s">
        <x:v>1125</x:v>
      </x:c>
      <x:c r="D363" s="41"/>
      <x:c r="E363" s="44"/>
      <x:c r="F363" s="6"/>
      <x:c r="G363" s="40"/>
      <x:c r="H363" s="43"/>
      <x:c r="I363" s="45">
        <x:v>46313</x:v>
      </x:c>
      <x:c r="J363" s="46">
        <x:v>81</x:v>
      </x:c>
      <x:c r="K363" s="47">
        <x:f>(F363-(0)+0-(J363*Ventas!AE372*1.0556))</x:f>
      </x:c>
      <x:c r="L363" s="6"/>
      <x:c r="M363" s="51">
        <x:f>(G363+0)</x:f>
      </x:c>
      <x:c r="N363" s="40"/>
      <x:c r="O363" s="54">
        <x:f>(H363+0)</x:f>
      </x:c>
      <x:c r="P363" s="43"/>
      <x:c r="Q363" s="55">
        <x:f>(K363+M363+O363)</x:f>
      </x:c>
      <x:c r="R363" s="56">
        <x:f>(((L363*7)+(N363*1)+(P363*0))/8)</x:f>
      </x:c>
      <x:c r="S363" s="47">
        <x:f>(180*(Ventas!AE372*0.9644) - IF(K363&gt;0,K363,0))</x:f>
      </x:c>
      <x:c r="T363" s="47">
        <x:f>IF(S363&gt;0,S363,0)</x:f>
      </x:c>
      <x:c r="U363" s="40"/>
      <x:c r="V363" s="40"/>
      <x:c r="W363" s="43"/>
      <x:c r="X363" s="43"/>
      <x:c r="Y363" s="47">
        <x:f>IF(K363&gt;0,K363+IF(T363&gt;0,T363,0),T363)</x:f>
      </x:c>
      <x:c r="Z363" s="40"/>
      <x:c r="AA363" s="43"/>
      <x:c r="AB363" s="6"/>
      <x:c r="AC363" s="6"/>
      <x:c r="AD363" s="40"/>
      <x:c r="AE363" s="40"/>
      <x:c r="AF363" s="43"/>
      <x:c r="AG363" s="43"/>
      <x:c r="AH363" s="6"/>
      <x:c r="AI363" s="6"/>
      <x:c r="AJ363" s="40"/>
      <x:c r="AK363" s="40"/>
      <x:c r="AL363" s="43"/>
      <x:c r="AM363" s="43"/>
      <x:c r="AN363" s="55">
        <x:f>(IF(AH363&gt;0,AH363,0)+IF(AJ363&gt;0,AJ363,0)+IF(AL363&gt;0,AL363,0))</x:f>
      </x:c>
      <x:c r="AO363" s="56">
        <x:f>(((AI363*7)+(AK363*1)+(AM363*1))/8)</x:f>
      </x:c>
      <x:c r="AP363" s="4" t="s">
        <x:v>35</x:v>
      </x:c>
    </x:row>
    <x:row r="364">
      <x:c r="A364" s="4" t="s">
        <x:v>1130</x:v>
      </x:c>
      <x:c r="B364" s="4" t="s">
        <x:v>1129</x:v>
      </x:c>
      <x:c r="C364" s="38" t="s">
        <x:v>1128</x:v>
      </x:c>
      <x:c r="D364" s="41"/>
      <x:c r="E364" s="44"/>
      <x:c r="F364" s="6"/>
      <x:c r="G364" s="40"/>
      <x:c r="H364" s="43"/>
      <x:c r="I364" s="45">
        <x:v>46313</x:v>
      </x:c>
      <x:c r="J364" s="46">
        <x:v>81</x:v>
      </x:c>
      <x:c r="K364" s="47">
        <x:f>(F364-(0)+0-(J364*Ventas!AE373*1.0556))</x:f>
      </x:c>
      <x:c r="L364" s="6"/>
      <x:c r="M364" s="51">
        <x:f>(G364+0)</x:f>
      </x:c>
      <x:c r="N364" s="40"/>
      <x:c r="O364" s="54">
        <x:f>(H364+0)</x:f>
      </x:c>
      <x:c r="P364" s="43"/>
      <x:c r="Q364" s="55">
        <x:f>(K364+M364+O364)</x:f>
      </x:c>
      <x:c r="R364" s="56">
        <x:f>(((L364*7)+(N364*1)+(P364*0))/8)</x:f>
      </x:c>
      <x:c r="S364" s="47">
        <x:f>(180*(Ventas!AE373*0.9644) - IF(K364&gt;0,K364,0))</x:f>
      </x:c>
      <x:c r="T364" s="47">
        <x:f>IF(S364&gt;0,S364,0)</x:f>
      </x:c>
      <x:c r="U364" s="40"/>
      <x:c r="V364" s="40"/>
      <x:c r="W364" s="43"/>
      <x:c r="X364" s="43"/>
      <x:c r="Y364" s="47">
        <x:f>IF(K364&gt;0,K364+IF(T364&gt;0,T364,0),T364)</x:f>
      </x:c>
      <x:c r="Z364" s="40"/>
      <x:c r="AA364" s="43"/>
      <x:c r="AB364" s="6"/>
      <x:c r="AC364" s="6"/>
      <x:c r="AD364" s="40"/>
      <x:c r="AE364" s="40"/>
      <x:c r="AF364" s="43"/>
      <x:c r="AG364" s="43"/>
      <x:c r="AH364" s="6"/>
      <x:c r="AI364" s="6"/>
      <x:c r="AJ364" s="40"/>
      <x:c r="AK364" s="40"/>
      <x:c r="AL364" s="43"/>
      <x:c r="AM364" s="43"/>
      <x:c r="AN364" s="55">
        <x:f>(IF(AH364&gt;0,AH364,0)+IF(AJ364&gt;0,AJ364,0)+IF(AL364&gt;0,AL364,0))</x:f>
      </x:c>
      <x:c r="AO364" s="56">
        <x:f>(((AI364*7)+(AK364*1)+(AM364*1))/8)</x:f>
      </x:c>
      <x:c r="AP364" s="4" t="s">
        <x:v>35</x:v>
      </x:c>
    </x:row>
    <x:row r="365">
      <x:c r="A365" s="4" t="s">
        <x:v>1133</x:v>
      </x:c>
      <x:c r="B365" s="4" t="s">
        <x:v>1132</x:v>
      </x:c>
      <x:c r="C365" s="38" t="s">
        <x:v>1131</x:v>
      </x:c>
      <x:c r="D365" s="41"/>
      <x:c r="E365" s="44"/>
      <x:c r="F365" s="6"/>
      <x:c r="G365" s="40"/>
      <x:c r="H365" s="43"/>
      <x:c r="I365" s="45">
        <x:v>46313</x:v>
      </x:c>
      <x:c r="J365" s="46">
        <x:v>81</x:v>
      </x:c>
      <x:c r="K365" s="47">
        <x:f>(F365-(0)+0-(J365*Ventas!AE374*1.0556))</x:f>
      </x:c>
      <x:c r="L365" s="6"/>
      <x:c r="M365" s="51">
        <x:f>(G365+0)</x:f>
      </x:c>
      <x:c r="N365" s="40"/>
      <x:c r="O365" s="54">
        <x:f>(H365+0)</x:f>
      </x:c>
      <x:c r="P365" s="43"/>
      <x:c r="Q365" s="55">
        <x:f>(K365+M365+O365)</x:f>
      </x:c>
      <x:c r="R365" s="56">
        <x:f>(((L365*7)+(N365*1)+(P365*0))/8)</x:f>
      </x:c>
      <x:c r="S365" s="47">
        <x:f>(180*(Ventas!AE374*0.9644) - IF(K365&gt;0,K365,0))</x:f>
      </x:c>
      <x:c r="T365" s="47">
        <x:f>IF(S365&gt;0,S365,0)</x:f>
      </x:c>
      <x:c r="U365" s="40"/>
      <x:c r="V365" s="40"/>
      <x:c r="W365" s="43"/>
      <x:c r="X365" s="43"/>
      <x:c r="Y365" s="47">
        <x:f>IF(K365&gt;0,K365+IF(T365&gt;0,T365,0),T365)</x:f>
      </x:c>
      <x:c r="Z365" s="40"/>
      <x:c r="AA365" s="43"/>
      <x:c r="AB365" s="6"/>
      <x:c r="AC365" s="6"/>
      <x:c r="AD365" s="40"/>
      <x:c r="AE365" s="40"/>
      <x:c r="AF365" s="43"/>
      <x:c r="AG365" s="43"/>
      <x:c r="AH365" s="6"/>
      <x:c r="AI365" s="6"/>
      <x:c r="AJ365" s="40"/>
      <x:c r="AK365" s="40"/>
      <x:c r="AL365" s="43"/>
      <x:c r="AM365" s="43"/>
      <x:c r="AN365" s="55">
        <x:f>(IF(AH365&gt;0,AH365,0)+IF(AJ365&gt;0,AJ365,0)+IF(AL365&gt;0,AL365,0))</x:f>
      </x:c>
      <x:c r="AO365" s="56">
        <x:f>(((AI365*7)+(AK365*1)+(AM365*1))/8)</x:f>
      </x:c>
      <x:c r="AP365" s="4" t="s">
        <x:v>35</x:v>
      </x:c>
    </x:row>
    <x:row r="366">
      <x:c r="A366" s="4" t="s">
        <x:v>1136</x:v>
      </x:c>
      <x:c r="B366" s="4" t="s">
        <x:v>1135</x:v>
      </x:c>
      <x:c r="C366" s="38" t="s">
        <x:v>1134</x:v>
      </x:c>
      <x:c r="D366" s="41"/>
      <x:c r="E366" s="44"/>
      <x:c r="F366" s="6"/>
      <x:c r="G366" s="40"/>
      <x:c r="H366" s="43"/>
      <x:c r="I366" s="45">
        <x:v>46313</x:v>
      </x:c>
      <x:c r="J366" s="46">
        <x:v>81</x:v>
      </x:c>
      <x:c r="K366" s="47">
        <x:f>(F366-(0)+0-(J366*Ventas!AE375*1.0556))</x:f>
      </x:c>
      <x:c r="L366" s="6"/>
      <x:c r="M366" s="51">
        <x:f>(G366+0)</x:f>
      </x:c>
      <x:c r="N366" s="40"/>
      <x:c r="O366" s="54">
        <x:f>(H366+0)</x:f>
      </x:c>
      <x:c r="P366" s="43"/>
      <x:c r="Q366" s="55">
        <x:f>(K366+M366+O366)</x:f>
      </x:c>
      <x:c r="R366" s="56">
        <x:f>(((L366*7)+(N366*1)+(P366*0))/8)</x:f>
      </x:c>
      <x:c r="S366" s="47">
        <x:f>(180*(Ventas!AE375*0.9644) - IF(K366&gt;0,K366,0))</x:f>
      </x:c>
      <x:c r="T366" s="47">
        <x:f>IF(S366&gt;0,S366,0)</x:f>
      </x:c>
      <x:c r="U366" s="40"/>
      <x:c r="V366" s="40"/>
      <x:c r="W366" s="43"/>
      <x:c r="X366" s="43"/>
      <x:c r="Y366" s="47">
        <x:f>IF(K366&gt;0,K366+IF(T366&gt;0,T366,0),T366)</x:f>
      </x:c>
      <x:c r="Z366" s="40"/>
      <x:c r="AA366" s="43"/>
      <x:c r="AB366" s="6"/>
      <x:c r="AC366" s="6"/>
      <x:c r="AD366" s="40"/>
      <x:c r="AE366" s="40"/>
      <x:c r="AF366" s="43"/>
      <x:c r="AG366" s="43"/>
      <x:c r="AH366" s="6"/>
      <x:c r="AI366" s="6"/>
      <x:c r="AJ366" s="40"/>
      <x:c r="AK366" s="40"/>
      <x:c r="AL366" s="43"/>
      <x:c r="AM366" s="43"/>
      <x:c r="AN366" s="55">
        <x:f>(IF(AH366&gt;0,AH366,0)+IF(AJ366&gt;0,AJ366,0)+IF(AL366&gt;0,AL366,0))</x:f>
      </x:c>
      <x:c r="AO366" s="56">
        <x:f>(((AI366*7)+(AK366*1)+(AM366*1))/8)</x:f>
      </x:c>
      <x:c r="AP366" s="4" t="s">
        <x:v>35</x:v>
      </x:c>
    </x:row>
    <x:row r="367">
      <x:c r="A367" s="4" t="s">
        <x:v>1139</x:v>
      </x:c>
      <x:c r="B367" s="4" t="s">
        <x:v>1138</x:v>
      </x:c>
      <x:c r="C367" s="38" t="s">
        <x:v>1137</x:v>
      </x:c>
      <x:c r="D367" s="41"/>
      <x:c r="E367" s="44"/>
      <x:c r="F367" s="6"/>
      <x:c r="G367" s="40"/>
      <x:c r="H367" s="43"/>
      <x:c r="I367" s="45">
        <x:v>46313</x:v>
      </x:c>
      <x:c r="J367" s="46">
        <x:v>81</x:v>
      </x:c>
      <x:c r="K367" s="47">
        <x:f>(F367-(0)+0-(J367*Ventas!AE376*1.0556))</x:f>
      </x:c>
      <x:c r="L367" s="6"/>
      <x:c r="M367" s="51">
        <x:f>(G367+0)</x:f>
      </x:c>
      <x:c r="N367" s="40"/>
      <x:c r="O367" s="54">
        <x:f>(H367+0)</x:f>
      </x:c>
      <x:c r="P367" s="43"/>
      <x:c r="Q367" s="55">
        <x:f>(K367+M367+O367)</x:f>
      </x:c>
      <x:c r="R367" s="56">
        <x:f>(((L367*7)+(N367*1)+(P367*0))/8)</x:f>
      </x:c>
      <x:c r="S367" s="47">
        <x:f>(180*(Ventas!AE376*0.9644) - IF(K367&gt;0,K367,0))</x:f>
      </x:c>
      <x:c r="T367" s="47">
        <x:f>IF(S367&gt;0,S367,0)</x:f>
      </x:c>
      <x:c r="U367" s="40"/>
      <x:c r="V367" s="40"/>
      <x:c r="W367" s="43"/>
      <x:c r="X367" s="43"/>
      <x:c r="Y367" s="47">
        <x:f>IF(K367&gt;0,K367+IF(T367&gt;0,T367,0),T367)</x:f>
      </x:c>
      <x:c r="Z367" s="40"/>
      <x:c r="AA367" s="43"/>
      <x:c r="AB367" s="6"/>
      <x:c r="AC367" s="6"/>
      <x:c r="AD367" s="40"/>
      <x:c r="AE367" s="40"/>
      <x:c r="AF367" s="43"/>
      <x:c r="AG367" s="43"/>
      <x:c r="AH367" s="6"/>
      <x:c r="AI367" s="6"/>
      <x:c r="AJ367" s="40"/>
      <x:c r="AK367" s="40"/>
      <x:c r="AL367" s="43"/>
      <x:c r="AM367" s="43"/>
      <x:c r="AN367" s="55">
        <x:f>(IF(AH367&gt;0,AH367,0)+IF(AJ367&gt;0,AJ367,0)+IF(AL367&gt;0,AL367,0))</x:f>
      </x:c>
      <x:c r="AO367" s="56">
        <x:f>(((AI367*7)+(AK367*1)+(AM367*1))/8)</x:f>
      </x:c>
      <x:c r="AP367" s="4" t="s">
        <x:v>35</x:v>
      </x:c>
    </x:row>
    <x:row r="368">
      <x:c r="A368" s="4" t="s">
        <x:v>1142</x:v>
      </x:c>
      <x:c r="B368" s="4" t="s">
        <x:v>1141</x:v>
      </x:c>
      <x:c r="C368" s="38" t="s">
        <x:v>1140</x:v>
      </x:c>
      <x:c r="D368" s="41"/>
      <x:c r="E368" s="44"/>
      <x:c r="F368" s="6"/>
      <x:c r="G368" s="40"/>
      <x:c r="H368" s="43"/>
      <x:c r="I368" s="45">
        <x:v>46313</x:v>
      </x:c>
      <x:c r="J368" s="46">
        <x:v>81</x:v>
      </x:c>
      <x:c r="K368" s="47">
        <x:f>(F368-(0)+0-(J368*Ventas!AE377*1.0556))</x:f>
      </x:c>
      <x:c r="L368" s="6"/>
      <x:c r="M368" s="51">
        <x:f>(G368+0)</x:f>
      </x:c>
      <x:c r="N368" s="40"/>
      <x:c r="O368" s="54">
        <x:f>(H368+0)</x:f>
      </x:c>
      <x:c r="P368" s="43"/>
      <x:c r="Q368" s="55">
        <x:f>(K368+M368+O368)</x:f>
      </x:c>
      <x:c r="R368" s="56">
        <x:f>(((L368*7)+(N368*1)+(P368*0))/8)</x:f>
      </x:c>
      <x:c r="S368" s="47">
        <x:f>(180*(Ventas!AE377*0.9644) - IF(K368&gt;0,K368,0))</x:f>
      </x:c>
      <x:c r="T368" s="47">
        <x:f>IF(S368&gt;0,S368,0)</x:f>
      </x:c>
      <x:c r="U368" s="40"/>
      <x:c r="V368" s="40"/>
      <x:c r="W368" s="43"/>
      <x:c r="X368" s="43"/>
      <x:c r="Y368" s="47">
        <x:f>IF(K368&gt;0,K368+IF(T368&gt;0,T368,0),T368)</x:f>
      </x:c>
      <x:c r="Z368" s="40"/>
      <x:c r="AA368" s="43"/>
      <x:c r="AB368" s="6"/>
      <x:c r="AC368" s="6"/>
      <x:c r="AD368" s="40"/>
      <x:c r="AE368" s="40"/>
      <x:c r="AF368" s="43"/>
      <x:c r="AG368" s="43"/>
      <x:c r="AH368" s="6"/>
      <x:c r="AI368" s="6"/>
      <x:c r="AJ368" s="40"/>
      <x:c r="AK368" s="40"/>
      <x:c r="AL368" s="43"/>
      <x:c r="AM368" s="43"/>
      <x:c r="AN368" s="55">
        <x:f>(IF(AH368&gt;0,AH368,0)+IF(AJ368&gt;0,AJ368,0)+IF(AL368&gt;0,AL368,0))</x:f>
      </x:c>
      <x:c r="AO368" s="56">
        <x:f>(((AI368*7)+(AK368*1)+(AM368*1))/8)</x:f>
      </x:c>
      <x:c r="AP368" s="4" t="s">
        <x:v>35</x:v>
      </x:c>
    </x:row>
    <x:row r="369">
      <x:c r="A369" s="4" t="s">
        <x:v>1145</x:v>
      </x:c>
      <x:c r="B369" s="4" t="s">
        <x:v>1144</x:v>
      </x:c>
      <x:c r="C369" s="38" t="s">
        <x:v>1143</x:v>
      </x:c>
      <x:c r="D369" s="41"/>
      <x:c r="E369" s="44"/>
      <x:c r="F369" s="6"/>
      <x:c r="G369" s="40"/>
      <x:c r="H369" s="43"/>
      <x:c r="I369" s="45">
        <x:v>46313</x:v>
      </x:c>
      <x:c r="J369" s="46">
        <x:v>81</x:v>
      </x:c>
      <x:c r="K369" s="47">
        <x:f>(F369-(0)+0-(J369*Ventas!AE378*1.0556))</x:f>
      </x:c>
      <x:c r="L369" s="6"/>
      <x:c r="M369" s="51">
        <x:f>(G369+0)</x:f>
      </x:c>
      <x:c r="N369" s="40"/>
      <x:c r="O369" s="54">
        <x:f>(H369+0)</x:f>
      </x:c>
      <x:c r="P369" s="43"/>
      <x:c r="Q369" s="55">
        <x:f>(K369+M369+O369)</x:f>
      </x:c>
      <x:c r="R369" s="56">
        <x:f>(((L369*7)+(N369*1)+(P369*0))/8)</x:f>
      </x:c>
      <x:c r="S369" s="47">
        <x:f>(180*(Ventas!AE378*0.9644) - IF(K369&gt;0,K369,0))</x:f>
      </x:c>
      <x:c r="T369" s="47">
        <x:f>IF(S369&gt;0,S369,0)</x:f>
      </x:c>
      <x:c r="U369" s="40"/>
      <x:c r="V369" s="40"/>
      <x:c r="W369" s="43"/>
      <x:c r="X369" s="43"/>
      <x:c r="Y369" s="47">
        <x:f>IF(K369&gt;0,K369+IF(T369&gt;0,T369,0),T369)</x:f>
      </x:c>
      <x:c r="Z369" s="40"/>
      <x:c r="AA369" s="43"/>
      <x:c r="AB369" s="6"/>
      <x:c r="AC369" s="6"/>
      <x:c r="AD369" s="40"/>
      <x:c r="AE369" s="40"/>
      <x:c r="AF369" s="43"/>
      <x:c r="AG369" s="43"/>
      <x:c r="AH369" s="6"/>
      <x:c r="AI369" s="6"/>
      <x:c r="AJ369" s="40"/>
      <x:c r="AK369" s="40"/>
      <x:c r="AL369" s="43"/>
      <x:c r="AM369" s="43"/>
      <x:c r="AN369" s="55">
        <x:f>(IF(AH369&gt;0,AH369,0)+IF(AJ369&gt;0,AJ369,0)+IF(AL369&gt;0,AL369,0))</x:f>
      </x:c>
      <x:c r="AO369" s="56">
        <x:f>(((AI369*7)+(AK369*1)+(AM369*1))/8)</x:f>
      </x:c>
      <x:c r="AP369" s="4" t="s">
        <x:v>35</x:v>
      </x:c>
    </x:row>
    <x:row r="370">
      <x:c r="A370" s="4" t="s">
        <x:v>1148</x:v>
      </x:c>
      <x:c r="B370" s="4" t="s">
        <x:v>1147</x:v>
      </x:c>
      <x:c r="C370" s="38" t="s">
        <x:v>1146</x:v>
      </x:c>
      <x:c r="D370" s="41"/>
      <x:c r="E370" s="44"/>
      <x:c r="F370" s="6"/>
      <x:c r="G370" s="40"/>
      <x:c r="H370" s="43"/>
      <x:c r="I370" s="45">
        <x:v>46313</x:v>
      </x:c>
      <x:c r="J370" s="46">
        <x:v>81</x:v>
      </x:c>
      <x:c r="K370" s="47">
        <x:f>(F370-(0)+0-(J370*Ventas!AE379*1.0556))</x:f>
      </x:c>
      <x:c r="L370" s="6"/>
      <x:c r="M370" s="51">
        <x:f>(G370+0)</x:f>
      </x:c>
      <x:c r="N370" s="40"/>
      <x:c r="O370" s="54">
        <x:f>(H370+0)</x:f>
      </x:c>
      <x:c r="P370" s="43"/>
      <x:c r="Q370" s="55">
        <x:f>(K370+M370+O370)</x:f>
      </x:c>
      <x:c r="R370" s="56">
        <x:f>(((L370*7)+(N370*1)+(P370*0))/8)</x:f>
      </x:c>
      <x:c r="S370" s="47">
        <x:f>(180*(Ventas!AE379*0.9644) - IF(K370&gt;0,K370,0))</x:f>
      </x:c>
      <x:c r="T370" s="47">
        <x:f>IF(S370&gt;0,S370,0)</x:f>
      </x:c>
      <x:c r="U370" s="40"/>
      <x:c r="V370" s="40"/>
      <x:c r="W370" s="43"/>
      <x:c r="X370" s="43"/>
      <x:c r="Y370" s="47">
        <x:f>IF(K370&gt;0,K370+IF(T370&gt;0,T370,0),T370)</x:f>
      </x:c>
      <x:c r="Z370" s="40"/>
      <x:c r="AA370" s="43"/>
      <x:c r="AB370" s="6"/>
      <x:c r="AC370" s="6"/>
      <x:c r="AD370" s="40"/>
      <x:c r="AE370" s="40"/>
      <x:c r="AF370" s="43"/>
      <x:c r="AG370" s="43"/>
      <x:c r="AH370" s="6"/>
      <x:c r="AI370" s="6"/>
      <x:c r="AJ370" s="40"/>
      <x:c r="AK370" s="40"/>
      <x:c r="AL370" s="43"/>
      <x:c r="AM370" s="43"/>
      <x:c r="AN370" s="55">
        <x:f>(IF(AH370&gt;0,AH370,0)+IF(AJ370&gt;0,AJ370,0)+IF(AL370&gt;0,AL370,0))</x:f>
      </x:c>
      <x:c r="AO370" s="56">
        <x:f>(((AI370*7)+(AK370*1)+(AM370*1))/8)</x:f>
      </x:c>
      <x:c r="AP370" s="4" t="s">
        <x:v>35</x:v>
      </x:c>
    </x:row>
    <x:row r="371">
      <x:c r="A371" s="4" t="s">
        <x:v>1151</x:v>
      </x:c>
      <x:c r="B371" s="4" t="s">
        <x:v>1150</x:v>
      </x:c>
      <x:c r="C371" s="38" t="s">
        <x:v>1149</x:v>
      </x:c>
      <x:c r="D371" s="41"/>
      <x:c r="E371" s="44"/>
      <x:c r="F371" s="6"/>
      <x:c r="G371" s="40"/>
      <x:c r="H371" s="43"/>
      <x:c r="I371" s="45">
        <x:v>46313</x:v>
      </x:c>
      <x:c r="J371" s="46">
        <x:v>81</x:v>
      </x:c>
      <x:c r="K371" s="47">
        <x:f>(F371-(0)+0-(J371*Ventas!AE380*1.0556))</x:f>
      </x:c>
      <x:c r="L371" s="6"/>
      <x:c r="M371" s="51">
        <x:f>(G371+0)</x:f>
      </x:c>
      <x:c r="N371" s="40"/>
      <x:c r="O371" s="54">
        <x:f>(H371+0)</x:f>
      </x:c>
      <x:c r="P371" s="43"/>
      <x:c r="Q371" s="55">
        <x:f>(K371+M371+O371)</x:f>
      </x:c>
      <x:c r="R371" s="56">
        <x:f>(((L371*7)+(N371*1)+(P371*0))/8)</x:f>
      </x:c>
      <x:c r="S371" s="47">
        <x:f>(180*(Ventas!AE380*0.9644) - IF(K371&gt;0,K371,0))</x:f>
      </x:c>
      <x:c r="T371" s="47">
        <x:f>IF(S371&gt;0,S371,0)</x:f>
      </x:c>
      <x:c r="U371" s="40"/>
      <x:c r="V371" s="40"/>
      <x:c r="W371" s="43"/>
      <x:c r="X371" s="43"/>
      <x:c r="Y371" s="47">
        <x:f>IF(K371&gt;0,K371+IF(T371&gt;0,T371,0),T371)</x:f>
      </x:c>
      <x:c r="Z371" s="40"/>
      <x:c r="AA371" s="43"/>
      <x:c r="AB371" s="6"/>
      <x:c r="AC371" s="6"/>
      <x:c r="AD371" s="40"/>
      <x:c r="AE371" s="40"/>
      <x:c r="AF371" s="43"/>
      <x:c r="AG371" s="43"/>
      <x:c r="AH371" s="6"/>
      <x:c r="AI371" s="6"/>
      <x:c r="AJ371" s="40"/>
      <x:c r="AK371" s="40"/>
      <x:c r="AL371" s="43"/>
      <x:c r="AM371" s="43"/>
      <x:c r="AN371" s="55">
        <x:f>(IF(AH371&gt;0,AH371,0)+IF(AJ371&gt;0,AJ371,0)+IF(AL371&gt;0,AL371,0))</x:f>
      </x:c>
      <x:c r="AO371" s="56">
        <x:f>(((AI371*7)+(AK371*1)+(AM371*1))/8)</x:f>
      </x:c>
      <x:c r="AP371" s="4" t="s">
        <x:v>35</x:v>
      </x:c>
    </x:row>
    <x:row r="372">
      <x:c r="A372" s="4" t="s">
        <x:v>1154</x:v>
      </x:c>
      <x:c r="B372" s="4" t="s">
        <x:v>1153</x:v>
      </x:c>
      <x:c r="C372" s="38" t="s">
        <x:v>1152</x:v>
      </x:c>
      <x:c r="D372" s="41"/>
      <x:c r="E372" s="44"/>
      <x:c r="F372" s="6"/>
      <x:c r="G372" s="40"/>
      <x:c r="H372" s="43"/>
      <x:c r="I372" s="45">
        <x:v>46313</x:v>
      </x:c>
      <x:c r="J372" s="46">
        <x:v>81</x:v>
      </x:c>
      <x:c r="K372" s="47">
        <x:f>(F372-(0)+0-(J372*Ventas!AE381*1.0556))</x:f>
      </x:c>
      <x:c r="L372" s="6"/>
      <x:c r="M372" s="51">
        <x:f>(G372+0)</x:f>
      </x:c>
      <x:c r="N372" s="40"/>
      <x:c r="O372" s="54">
        <x:f>(H372+0)</x:f>
      </x:c>
      <x:c r="P372" s="43"/>
      <x:c r="Q372" s="55">
        <x:f>(K372+M372+O372)</x:f>
      </x:c>
      <x:c r="R372" s="56">
        <x:f>(((L372*7)+(N372*1)+(P372*0))/8)</x:f>
      </x:c>
      <x:c r="S372" s="47">
        <x:f>(180*(Ventas!AE381*0.9644) - IF(K372&gt;0,K372,0))</x:f>
      </x:c>
      <x:c r="T372" s="47">
        <x:f>IF(S372&gt;0,S372,0)</x:f>
      </x:c>
      <x:c r="U372" s="40"/>
      <x:c r="V372" s="40"/>
      <x:c r="W372" s="43"/>
      <x:c r="X372" s="43"/>
      <x:c r="Y372" s="47">
        <x:f>IF(K372&gt;0,K372+IF(T372&gt;0,T372,0),T372)</x:f>
      </x:c>
      <x:c r="Z372" s="40"/>
      <x:c r="AA372" s="43"/>
      <x:c r="AB372" s="6"/>
      <x:c r="AC372" s="6"/>
      <x:c r="AD372" s="40"/>
      <x:c r="AE372" s="40"/>
      <x:c r="AF372" s="43"/>
      <x:c r="AG372" s="43"/>
      <x:c r="AH372" s="6"/>
      <x:c r="AI372" s="6"/>
      <x:c r="AJ372" s="40"/>
      <x:c r="AK372" s="40"/>
      <x:c r="AL372" s="43"/>
      <x:c r="AM372" s="43"/>
      <x:c r="AN372" s="55">
        <x:f>(IF(AH372&gt;0,AH372,0)+IF(AJ372&gt;0,AJ372,0)+IF(AL372&gt;0,AL372,0))</x:f>
      </x:c>
      <x:c r="AO372" s="56">
        <x:f>(((AI372*7)+(AK372*1)+(AM372*1))/8)</x:f>
      </x:c>
      <x:c r="AP372" s="4" t="s">
        <x:v>35</x:v>
      </x:c>
    </x:row>
    <x:row r="373">
      <x:c r="A373" s="4" t="s">
        <x:v>1157</x:v>
      </x:c>
      <x:c r="B373" s="4" t="s">
        <x:v>1156</x:v>
      </x:c>
      <x:c r="C373" s="38" t="s">
        <x:v>1155</x:v>
      </x:c>
      <x:c r="D373" s="41"/>
      <x:c r="E373" s="44"/>
      <x:c r="F373" s="6"/>
      <x:c r="G373" s="40"/>
      <x:c r="H373" s="43"/>
      <x:c r="I373" s="45">
        <x:v>46313</x:v>
      </x:c>
      <x:c r="J373" s="46">
        <x:v>81</x:v>
      </x:c>
      <x:c r="K373" s="47">
        <x:f>(F373-(0)+0-(J373*Ventas!AE382*1.0556))</x:f>
      </x:c>
      <x:c r="L373" s="6"/>
      <x:c r="M373" s="51">
        <x:f>(G373+0)</x:f>
      </x:c>
      <x:c r="N373" s="40"/>
      <x:c r="O373" s="54">
        <x:f>(H373+0)</x:f>
      </x:c>
      <x:c r="P373" s="43"/>
      <x:c r="Q373" s="55">
        <x:f>(K373+M373+O373)</x:f>
      </x:c>
      <x:c r="R373" s="56">
        <x:f>(((L373*7)+(N373*1)+(P373*0))/8)</x:f>
      </x:c>
      <x:c r="S373" s="47">
        <x:f>(180*(Ventas!AE382*0.9644) - IF(K373&gt;0,K373,0))</x:f>
      </x:c>
      <x:c r="T373" s="47">
        <x:f>IF(S373&gt;0,S373,0)</x:f>
      </x:c>
      <x:c r="U373" s="40"/>
      <x:c r="V373" s="40"/>
      <x:c r="W373" s="43"/>
      <x:c r="X373" s="43"/>
      <x:c r="Y373" s="47">
        <x:f>IF(K373&gt;0,K373+IF(T373&gt;0,T373,0),T373)</x:f>
      </x:c>
      <x:c r="Z373" s="40"/>
      <x:c r="AA373" s="43"/>
      <x:c r="AB373" s="6"/>
      <x:c r="AC373" s="6"/>
      <x:c r="AD373" s="40"/>
      <x:c r="AE373" s="40"/>
      <x:c r="AF373" s="43"/>
      <x:c r="AG373" s="43"/>
      <x:c r="AH373" s="6"/>
      <x:c r="AI373" s="6"/>
      <x:c r="AJ373" s="40"/>
      <x:c r="AK373" s="40"/>
      <x:c r="AL373" s="43"/>
      <x:c r="AM373" s="43"/>
      <x:c r="AN373" s="55">
        <x:f>(IF(AH373&gt;0,AH373,0)+IF(AJ373&gt;0,AJ373,0)+IF(AL373&gt;0,AL373,0))</x:f>
      </x:c>
      <x:c r="AO373" s="56">
        <x:f>(((AI373*7)+(AK373*1)+(AM373*1))/8)</x:f>
      </x:c>
      <x:c r="AP373" s="4" t="s">
        <x:v>35</x:v>
      </x:c>
    </x:row>
    <x:row r="374">
      <x:c r="A374" s="4" t="s">
        <x:v>1160</x:v>
      </x:c>
      <x:c r="B374" s="4" t="s">
        <x:v>1159</x:v>
      </x:c>
      <x:c r="C374" s="38" t="s">
        <x:v>1158</x:v>
      </x:c>
      <x:c r="D374" s="41"/>
      <x:c r="E374" s="44"/>
      <x:c r="F374" s="6"/>
      <x:c r="G374" s="40"/>
      <x:c r="H374" s="43"/>
      <x:c r="I374" s="45">
        <x:v>46313</x:v>
      </x:c>
      <x:c r="J374" s="46">
        <x:v>81</x:v>
      </x:c>
      <x:c r="K374" s="47">
        <x:f>(F374-(0)+0-(J374*Ventas!AE383*1.0556))</x:f>
      </x:c>
      <x:c r="L374" s="6"/>
      <x:c r="M374" s="51">
        <x:f>(G374+0)</x:f>
      </x:c>
      <x:c r="N374" s="40"/>
      <x:c r="O374" s="54">
        <x:f>(H374+0)</x:f>
      </x:c>
      <x:c r="P374" s="43"/>
      <x:c r="Q374" s="55">
        <x:f>(K374+M374+O374)</x:f>
      </x:c>
      <x:c r="R374" s="56">
        <x:f>(((L374*7)+(N374*1)+(P374*0))/8)</x:f>
      </x:c>
      <x:c r="S374" s="47">
        <x:f>(180*(Ventas!AE383*0.9644) - IF(K374&gt;0,K374,0))</x:f>
      </x:c>
      <x:c r="T374" s="47">
        <x:f>IF(S374&gt;0,S374,0)</x:f>
      </x:c>
      <x:c r="U374" s="40"/>
      <x:c r="V374" s="40"/>
      <x:c r="W374" s="43"/>
      <x:c r="X374" s="43"/>
      <x:c r="Y374" s="47">
        <x:f>IF(K374&gt;0,K374+IF(T374&gt;0,T374,0),T374)</x:f>
      </x:c>
      <x:c r="Z374" s="40"/>
      <x:c r="AA374" s="43"/>
      <x:c r="AB374" s="6"/>
      <x:c r="AC374" s="6"/>
      <x:c r="AD374" s="40"/>
      <x:c r="AE374" s="40"/>
      <x:c r="AF374" s="43"/>
      <x:c r="AG374" s="43"/>
      <x:c r="AH374" s="6"/>
      <x:c r="AI374" s="6"/>
      <x:c r="AJ374" s="40"/>
      <x:c r="AK374" s="40"/>
      <x:c r="AL374" s="43"/>
      <x:c r="AM374" s="43"/>
      <x:c r="AN374" s="55">
        <x:f>(IF(AH374&gt;0,AH374,0)+IF(AJ374&gt;0,AJ374,0)+IF(AL374&gt;0,AL374,0))</x:f>
      </x:c>
      <x:c r="AO374" s="56">
        <x:f>(((AI374*7)+(AK374*1)+(AM374*1))/8)</x:f>
      </x:c>
      <x:c r="AP374" s="4" t="s">
        <x:v>35</x:v>
      </x:c>
    </x:row>
    <x:row r="375">
      <x:c r="A375" s="4" t="s">
        <x:v>1163</x:v>
      </x:c>
      <x:c r="B375" s="4" t="s">
        <x:v>1162</x:v>
      </x:c>
      <x:c r="C375" s="38" t="s">
        <x:v>1161</x:v>
      </x:c>
      <x:c r="D375" s="41"/>
      <x:c r="E375" s="44"/>
      <x:c r="F375" s="6"/>
      <x:c r="G375" s="40"/>
      <x:c r="H375" s="43"/>
      <x:c r="I375" s="45">
        <x:v>46313</x:v>
      </x:c>
      <x:c r="J375" s="46">
        <x:v>81</x:v>
      </x:c>
      <x:c r="K375" s="47">
        <x:f>(F375-(0)+0-(J375*Ventas!AE384*1.0556))</x:f>
      </x:c>
      <x:c r="L375" s="6"/>
      <x:c r="M375" s="51">
        <x:f>(G375+0)</x:f>
      </x:c>
      <x:c r="N375" s="40"/>
      <x:c r="O375" s="54">
        <x:f>(H375+0)</x:f>
      </x:c>
      <x:c r="P375" s="43"/>
      <x:c r="Q375" s="55">
        <x:f>(K375+M375+O375)</x:f>
      </x:c>
      <x:c r="R375" s="56">
        <x:f>(((L375*7)+(N375*1)+(P375*0))/8)</x:f>
      </x:c>
      <x:c r="S375" s="47">
        <x:f>(180*(Ventas!AE384*0.9644) - IF(K375&gt;0,K375,0))</x:f>
      </x:c>
      <x:c r="T375" s="47">
        <x:f>IF(S375&gt;0,S375,0)</x:f>
      </x:c>
      <x:c r="U375" s="40"/>
      <x:c r="V375" s="40"/>
      <x:c r="W375" s="43"/>
      <x:c r="X375" s="43"/>
      <x:c r="Y375" s="47">
        <x:f>IF(K375&gt;0,K375+IF(T375&gt;0,T375,0),T375)</x:f>
      </x:c>
      <x:c r="Z375" s="40"/>
      <x:c r="AA375" s="43"/>
      <x:c r="AB375" s="6"/>
      <x:c r="AC375" s="6"/>
      <x:c r="AD375" s="40"/>
      <x:c r="AE375" s="40"/>
      <x:c r="AF375" s="43"/>
      <x:c r="AG375" s="43"/>
      <x:c r="AH375" s="6"/>
      <x:c r="AI375" s="6"/>
      <x:c r="AJ375" s="40"/>
      <x:c r="AK375" s="40"/>
      <x:c r="AL375" s="43"/>
      <x:c r="AM375" s="43"/>
      <x:c r="AN375" s="55">
        <x:f>(IF(AH375&gt;0,AH375,0)+IF(AJ375&gt;0,AJ375,0)+IF(AL375&gt;0,AL375,0))</x:f>
      </x:c>
      <x:c r="AO375" s="56">
        <x:f>(((AI375*7)+(AK375*1)+(AM375*1))/8)</x:f>
      </x:c>
      <x:c r="AP375" s="4" t="s">
        <x:v>35</x:v>
      </x:c>
    </x:row>
    <x:row r="376">
      <x:c r="A376" s="4" t="s">
        <x:v>1166</x:v>
      </x:c>
      <x:c r="B376" s="4" t="s">
        <x:v>1165</x:v>
      </x:c>
      <x:c r="C376" s="38" t="s">
        <x:v>1164</x:v>
      </x:c>
      <x:c r="D376" s="41"/>
      <x:c r="E376" s="44"/>
      <x:c r="F376" s="6"/>
      <x:c r="G376" s="40"/>
      <x:c r="H376" s="43"/>
      <x:c r="I376" s="45">
        <x:v>46313</x:v>
      </x:c>
      <x:c r="J376" s="46">
        <x:v>81</x:v>
      </x:c>
      <x:c r="K376" s="47">
        <x:f>(F376-(0)+0-(J376*Ventas!AE385*1.0556))</x:f>
      </x:c>
      <x:c r="L376" s="6"/>
      <x:c r="M376" s="51">
        <x:f>(G376+0)</x:f>
      </x:c>
      <x:c r="N376" s="40"/>
      <x:c r="O376" s="54">
        <x:f>(H376+0)</x:f>
      </x:c>
      <x:c r="P376" s="43"/>
      <x:c r="Q376" s="55">
        <x:f>(K376+M376+O376)</x:f>
      </x:c>
      <x:c r="R376" s="56">
        <x:f>(((L376*7)+(N376*1)+(P376*0))/8)</x:f>
      </x:c>
      <x:c r="S376" s="47">
        <x:f>(180*(Ventas!AE385*0.9644) - IF(K376&gt;0,K376,0))</x:f>
      </x:c>
      <x:c r="T376" s="47">
        <x:f>IF(S376&gt;0,S376,0)</x:f>
      </x:c>
      <x:c r="U376" s="40"/>
      <x:c r="V376" s="40"/>
      <x:c r="W376" s="43"/>
      <x:c r="X376" s="43"/>
      <x:c r="Y376" s="47">
        <x:f>IF(K376&gt;0,K376+IF(T376&gt;0,T376,0),T376)</x:f>
      </x:c>
      <x:c r="Z376" s="40"/>
      <x:c r="AA376" s="43"/>
      <x:c r="AB376" s="6"/>
      <x:c r="AC376" s="6"/>
      <x:c r="AD376" s="40"/>
      <x:c r="AE376" s="40"/>
      <x:c r="AF376" s="43"/>
      <x:c r="AG376" s="43"/>
      <x:c r="AH376" s="6"/>
      <x:c r="AI376" s="6"/>
      <x:c r="AJ376" s="40"/>
      <x:c r="AK376" s="40"/>
      <x:c r="AL376" s="43"/>
      <x:c r="AM376" s="43"/>
      <x:c r="AN376" s="55">
        <x:f>(IF(AH376&gt;0,AH376,0)+IF(AJ376&gt;0,AJ376,0)+IF(AL376&gt;0,AL376,0))</x:f>
      </x:c>
      <x:c r="AO376" s="56">
        <x:f>(((AI376*7)+(AK376*1)+(AM376*1))/8)</x:f>
      </x:c>
      <x:c r="AP376" s="4" t="s">
        <x:v>35</x:v>
      </x:c>
    </x:row>
    <x:row r="377">
      <x:c r="A377" s="4" t="s">
        <x:v>1169</x:v>
      </x:c>
      <x:c r="B377" s="4" t="s">
        <x:v>1168</x:v>
      </x:c>
      <x:c r="C377" s="38" t="s">
        <x:v>1167</x:v>
      </x:c>
      <x:c r="D377" s="41"/>
      <x:c r="E377" s="44"/>
      <x:c r="F377" s="6"/>
      <x:c r="G377" s="40"/>
      <x:c r="H377" s="43"/>
      <x:c r="I377" s="45">
        <x:v>46313</x:v>
      </x:c>
      <x:c r="J377" s="46">
        <x:v>81</x:v>
      </x:c>
      <x:c r="K377" s="47">
        <x:f>(F377-(0)+0-(J377*Ventas!AE386*1.0556))</x:f>
      </x:c>
      <x:c r="L377" s="6"/>
      <x:c r="M377" s="51">
        <x:f>(G377+0)</x:f>
      </x:c>
      <x:c r="N377" s="40"/>
      <x:c r="O377" s="54">
        <x:f>(H377+0)</x:f>
      </x:c>
      <x:c r="P377" s="43"/>
      <x:c r="Q377" s="55">
        <x:f>(K377+M377+O377)</x:f>
      </x:c>
      <x:c r="R377" s="56">
        <x:f>(((L377*7)+(N377*1)+(P377*0))/8)</x:f>
      </x:c>
      <x:c r="S377" s="47">
        <x:f>(180*(Ventas!AE386*0.9644) - IF(K377&gt;0,K377,0))</x:f>
      </x:c>
      <x:c r="T377" s="47">
        <x:f>IF(S377&gt;0,S377,0)</x:f>
      </x:c>
      <x:c r="U377" s="40"/>
      <x:c r="V377" s="40"/>
      <x:c r="W377" s="43"/>
      <x:c r="X377" s="43"/>
      <x:c r="Y377" s="47">
        <x:f>IF(K377&gt;0,K377+IF(T377&gt;0,T377,0),T377)</x:f>
      </x:c>
      <x:c r="Z377" s="40"/>
      <x:c r="AA377" s="43"/>
      <x:c r="AB377" s="6"/>
      <x:c r="AC377" s="6"/>
      <x:c r="AD377" s="40"/>
      <x:c r="AE377" s="40"/>
      <x:c r="AF377" s="43"/>
      <x:c r="AG377" s="43"/>
      <x:c r="AH377" s="6"/>
      <x:c r="AI377" s="6"/>
      <x:c r="AJ377" s="40"/>
      <x:c r="AK377" s="40"/>
      <x:c r="AL377" s="43"/>
      <x:c r="AM377" s="43"/>
      <x:c r="AN377" s="55">
        <x:f>(IF(AH377&gt;0,AH377,0)+IF(AJ377&gt;0,AJ377,0)+IF(AL377&gt;0,AL377,0))</x:f>
      </x:c>
      <x:c r="AO377" s="56">
        <x:f>(((AI377*7)+(AK377*1)+(AM377*1))/8)</x:f>
      </x:c>
      <x:c r="AP377" s="4" t="s">
        <x:v>35</x:v>
      </x:c>
    </x:row>
    <x:row r="378">
      <x:c r="A378" s="4" t="s">
        <x:v>1172</x:v>
      </x:c>
      <x:c r="B378" s="4" t="s">
        <x:v>1171</x:v>
      </x:c>
      <x:c r="C378" s="38" t="s">
        <x:v>1170</x:v>
      </x:c>
      <x:c r="D378" s="41"/>
      <x:c r="E378" s="44"/>
      <x:c r="F378" s="6"/>
      <x:c r="G378" s="40"/>
      <x:c r="H378" s="43"/>
      <x:c r="I378" s="45">
        <x:v>46313</x:v>
      </x:c>
      <x:c r="J378" s="46">
        <x:v>81</x:v>
      </x:c>
      <x:c r="K378" s="47">
        <x:f>(F378-(0)+0-(J378*Ventas!AE387*1.0556))</x:f>
      </x:c>
      <x:c r="L378" s="6"/>
      <x:c r="M378" s="51">
        <x:f>(G378+0)</x:f>
      </x:c>
      <x:c r="N378" s="40"/>
      <x:c r="O378" s="54">
        <x:f>(H378+0)</x:f>
      </x:c>
      <x:c r="P378" s="43"/>
      <x:c r="Q378" s="55">
        <x:f>(K378+M378+O378)</x:f>
      </x:c>
      <x:c r="R378" s="56">
        <x:f>(((L378*7)+(N378*1)+(P378*0))/8)</x:f>
      </x:c>
      <x:c r="S378" s="47">
        <x:f>(180*(Ventas!AE387*0.9644) - IF(K378&gt;0,K378,0))</x:f>
      </x:c>
      <x:c r="T378" s="47">
        <x:f>IF(S378&gt;0,S378,0)</x:f>
      </x:c>
      <x:c r="U378" s="40"/>
      <x:c r="V378" s="40"/>
      <x:c r="W378" s="43"/>
      <x:c r="X378" s="43"/>
      <x:c r="Y378" s="47">
        <x:f>IF(K378&gt;0,K378+IF(T378&gt;0,T378,0),T378)</x:f>
      </x:c>
      <x:c r="Z378" s="40"/>
      <x:c r="AA378" s="43"/>
      <x:c r="AB378" s="6"/>
      <x:c r="AC378" s="6"/>
      <x:c r="AD378" s="40"/>
      <x:c r="AE378" s="40"/>
      <x:c r="AF378" s="43"/>
      <x:c r="AG378" s="43"/>
      <x:c r="AH378" s="6"/>
      <x:c r="AI378" s="6"/>
      <x:c r="AJ378" s="40"/>
      <x:c r="AK378" s="40"/>
      <x:c r="AL378" s="43"/>
      <x:c r="AM378" s="43"/>
      <x:c r="AN378" s="55">
        <x:f>(IF(AH378&gt;0,AH378,0)+IF(AJ378&gt;0,AJ378,0)+IF(AL378&gt;0,AL378,0))</x:f>
      </x:c>
      <x:c r="AO378" s="56">
        <x:f>(((AI378*7)+(AK378*1)+(AM378*1))/8)</x:f>
      </x:c>
      <x:c r="AP378" s="4" t="s">
        <x:v>35</x:v>
      </x:c>
    </x:row>
    <x:row r="379">
      <x:c r="A379" s="4" t="s">
        <x:v>1175</x:v>
      </x:c>
      <x:c r="B379" s="4" t="s">
        <x:v>1174</x:v>
      </x:c>
      <x:c r="C379" s="38" t="s">
        <x:v>1173</x:v>
      </x:c>
      <x:c r="D379" s="41"/>
      <x:c r="E379" s="44"/>
      <x:c r="F379" s="6"/>
      <x:c r="G379" s="40"/>
      <x:c r="H379" s="43"/>
      <x:c r="I379" s="45">
        <x:v>46313</x:v>
      </x:c>
      <x:c r="J379" s="46">
        <x:v>81</x:v>
      </x:c>
      <x:c r="K379" s="47">
        <x:f>(F379-(0)+0-(J379*Ventas!AE388*1.0556))</x:f>
      </x:c>
      <x:c r="L379" s="6"/>
      <x:c r="M379" s="51">
        <x:f>(G379+0)</x:f>
      </x:c>
      <x:c r="N379" s="40"/>
      <x:c r="O379" s="54">
        <x:f>(H379+0)</x:f>
      </x:c>
      <x:c r="P379" s="43"/>
      <x:c r="Q379" s="55">
        <x:f>(K379+M379+O379)</x:f>
      </x:c>
      <x:c r="R379" s="56">
        <x:f>(((L379*7)+(N379*1)+(P379*0))/8)</x:f>
      </x:c>
      <x:c r="S379" s="47">
        <x:f>(180*(Ventas!AE388*0.9644) - IF(K379&gt;0,K379,0))</x:f>
      </x:c>
      <x:c r="T379" s="47">
        <x:f>IF(S379&gt;0,S379,0)</x:f>
      </x:c>
      <x:c r="U379" s="40"/>
      <x:c r="V379" s="40"/>
      <x:c r="W379" s="43"/>
      <x:c r="X379" s="43"/>
      <x:c r="Y379" s="47">
        <x:f>IF(K379&gt;0,K379+IF(T379&gt;0,T379,0),T379)</x:f>
      </x:c>
      <x:c r="Z379" s="40"/>
      <x:c r="AA379" s="43"/>
      <x:c r="AB379" s="6"/>
      <x:c r="AC379" s="6"/>
      <x:c r="AD379" s="40"/>
      <x:c r="AE379" s="40"/>
      <x:c r="AF379" s="43"/>
      <x:c r="AG379" s="43"/>
      <x:c r="AH379" s="6"/>
      <x:c r="AI379" s="6"/>
      <x:c r="AJ379" s="40"/>
      <x:c r="AK379" s="40"/>
      <x:c r="AL379" s="43"/>
      <x:c r="AM379" s="43"/>
      <x:c r="AN379" s="55">
        <x:f>(IF(AH379&gt;0,AH379,0)+IF(AJ379&gt;0,AJ379,0)+IF(AL379&gt;0,AL379,0))</x:f>
      </x:c>
      <x:c r="AO379" s="56">
        <x:f>(((AI379*7)+(AK379*1)+(AM379*1))/8)</x:f>
      </x:c>
      <x:c r="AP379" s="4" t="s">
        <x:v>35</x:v>
      </x:c>
    </x:row>
    <x:row r="380">
      <x:c r="A380" s="4" t="s">
        <x:v>1178</x:v>
      </x:c>
      <x:c r="B380" s="4" t="s">
        <x:v>1177</x:v>
      </x:c>
      <x:c r="C380" s="38" t="s">
        <x:v>1176</x:v>
      </x:c>
      <x:c r="D380" s="41"/>
      <x:c r="E380" s="44"/>
      <x:c r="F380" s="6"/>
      <x:c r="G380" s="40"/>
      <x:c r="H380" s="43"/>
      <x:c r="I380" s="45">
        <x:v>46313</x:v>
      </x:c>
      <x:c r="J380" s="46">
        <x:v>81</x:v>
      </x:c>
      <x:c r="K380" s="47">
        <x:f>(F380-(0)+0-(J380*Ventas!AE389*1.0556))</x:f>
      </x:c>
      <x:c r="L380" s="6"/>
      <x:c r="M380" s="51">
        <x:f>(G380+0)</x:f>
      </x:c>
      <x:c r="N380" s="40"/>
      <x:c r="O380" s="54">
        <x:f>(H380+0)</x:f>
      </x:c>
      <x:c r="P380" s="43"/>
      <x:c r="Q380" s="55">
        <x:f>(K380+M380+O380)</x:f>
      </x:c>
      <x:c r="R380" s="56">
        <x:f>(((L380*7)+(N380*1)+(P380*0))/8)</x:f>
      </x:c>
      <x:c r="S380" s="47">
        <x:f>(180*(Ventas!AE389*0.9644) - IF(K380&gt;0,K380,0))</x:f>
      </x:c>
      <x:c r="T380" s="47">
        <x:f>IF(S380&gt;0,S380,0)</x:f>
      </x:c>
      <x:c r="U380" s="40"/>
      <x:c r="V380" s="40"/>
      <x:c r="W380" s="43"/>
      <x:c r="X380" s="43"/>
      <x:c r="Y380" s="47">
        <x:f>IF(K380&gt;0,K380+IF(T380&gt;0,T380,0),T380)</x:f>
      </x:c>
      <x:c r="Z380" s="40"/>
      <x:c r="AA380" s="43"/>
      <x:c r="AB380" s="6"/>
      <x:c r="AC380" s="6"/>
      <x:c r="AD380" s="40"/>
      <x:c r="AE380" s="40"/>
      <x:c r="AF380" s="43"/>
      <x:c r="AG380" s="43"/>
      <x:c r="AH380" s="6"/>
      <x:c r="AI380" s="6"/>
      <x:c r="AJ380" s="40"/>
      <x:c r="AK380" s="40"/>
      <x:c r="AL380" s="43"/>
      <x:c r="AM380" s="43"/>
      <x:c r="AN380" s="55">
        <x:f>(IF(AH380&gt;0,AH380,0)+IF(AJ380&gt;0,AJ380,0)+IF(AL380&gt;0,AL380,0))</x:f>
      </x:c>
      <x:c r="AO380" s="56">
        <x:f>(((AI380*7)+(AK380*1)+(AM380*1))/8)</x:f>
      </x:c>
      <x:c r="AP380" s="4" t="s">
        <x:v>35</x:v>
      </x:c>
    </x:row>
    <x:row r="381">
      <x:c r="A381" s="4" t="s">
        <x:v>1181</x:v>
      </x:c>
      <x:c r="B381" s="4" t="s">
        <x:v>1180</x:v>
      </x:c>
      <x:c r="C381" s="38" t="s">
        <x:v>1179</x:v>
      </x:c>
      <x:c r="D381" s="41"/>
      <x:c r="E381" s="44"/>
      <x:c r="F381" s="6"/>
      <x:c r="G381" s="40"/>
      <x:c r="H381" s="43"/>
      <x:c r="I381" s="45">
        <x:v>46313</x:v>
      </x:c>
      <x:c r="J381" s="46">
        <x:v>81</x:v>
      </x:c>
      <x:c r="K381" s="47">
        <x:f>(F381-(0)+0-(J381*Ventas!AE390*1.0556))</x:f>
      </x:c>
      <x:c r="L381" s="6"/>
      <x:c r="M381" s="51">
        <x:f>(G381+0)</x:f>
      </x:c>
      <x:c r="N381" s="40"/>
      <x:c r="O381" s="54">
        <x:f>(H381+0)</x:f>
      </x:c>
      <x:c r="P381" s="43"/>
      <x:c r="Q381" s="55">
        <x:f>(K381+M381+O381)</x:f>
      </x:c>
      <x:c r="R381" s="56">
        <x:f>(((L381*7)+(N381*1)+(P381*0))/8)</x:f>
      </x:c>
      <x:c r="S381" s="47">
        <x:f>(180*(Ventas!AE390*0.9644) - IF(K381&gt;0,K381,0))</x:f>
      </x:c>
      <x:c r="T381" s="47">
        <x:f>IF(S381&gt;0,S381,0)</x:f>
      </x:c>
      <x:c r="U381" s="40"/>
      <x:c r="V381" s="40"/>
      <x:c r="W381" s="43"/>
      <x:c r="X381" s="43"/>
      <x:c r="Y381" s="47">
        <x:f>IF(K381&gt;0,K381+IF(T381&gt;0,T381,0),T381)</x:f>
      </x:c>
      <x:c r="Z381" s="40"/>
      <x:c r="AA381" s="43"/>
      <x:c r="AB381" s="6"/>
      <x:c r="AC381" s="6"/>
      <x:c r="AD381" s="40"/>
      <x:c r="AE381" s="40"/>
      <x:c r="AF381" s="43"/>
      <x:c r="AG381" s="43"/>
      <x:c r="AH381" s="6"/>
      <x:c r="AI381" s="6"/>
      <x:c r="AJ381" s="40"/>
      <x:c r="AK381" s="40"/>
      <x:c r="AL381" s="43"/>
      <x:c r="AM381" s="43"/>
      <x:c r="AN381" s="55">
        <x:f>(IF(AH381&gt;0,AH381,0)+IF(AJ381&gt;0,AJ381,0)+IF(AL381&gt;0,AL381,0))</x:f>
      </x:c>
      <x:c r="AO381" s="56">
        <x:f>(((AI381*7)+(AK381*1)+(AM381*1))/8)</x:f>
      </x:c>
      <x:c r="AP381" s="4" t="s">
        <x:v>35</x:v>
      </x:c>
    </x:row>
    <x:row r="382">
      <x:c r="A382" s="4" t="s">
        <x:v>1184</x:v>
      </x:c>
      <x:c r="B382" s="4" t="s">
        <x:v>1183</x:v>
      </x:c>
      <x:c r="C382" s="38" t="s">
        <x:v>1182</x:v>
      </x:c>
      <x:c r="D382" s="41"/>
      <x:c r="E382" s="44"/>
      <x:c r="F382" s="6"/>
      <x:c r="G382" s="40"/>
      <x:c r="H382" s="43"/>
      <x:c r="I382" s="45">
        <x:v>46313</x:v>
      </x:c>
      <x:c r="J382" s="46">
        <x:v>81</x:v>
      </x:c>
      <x:c r="K382" s="47">
        <x:f>(F382-(0)+0-(J382*Ventas!AE391*1.0556))</x:f>
      </x:c>
      <x:c r="L382" s="6"/>
      <x:c r="M382" s="51">
        <x:f>(G382+0)</x:f>
      </x:c>
      <x:c r="N382" s="40"/>
      <x:c r="O382" s="54">
        <x:f>(H382+0)</x:f>
      </x:c>
      <x:c r="P382" s="43"/>
      <x:c r="Q382" s="55">
        <x:f>(K382+M382+O382)</x:f>
      </x:c>
      <x:c r="R382" s="56">
        <x:f>(((L382*7)+(N382*1)+(P382*0))/8)</x:f>
      </x:c>
      <x:c r="S382" s="47">
        <x:f>(180*(Ventas!AE391*0.9644) - IF(K382&gt;0,K382,0))</x:f>
      </x:c>
      <x:c r="T382" s="47">
        <x:f>IF(S382&gt;0,S382,0)</x:f>
      </x:c>
      <x:c r="U382" s="40"/>
      <x:c r="V382" s="40"/>
      <x:c r="W382" s="43"/>
      <x:c r="X382" s="43"/>
      <x:c r="Y382" s="47">
        <x:f>IF(K382&gt;0,K382+IF(T382&gt;0,T382,0),T382)</x:f>
      </x:c>
      <x:c r="Z382" s="40"/>
      <x:c r="AA382" s="43"/>
      <x:c r="AB382" s="6"/>
      <x:c r="AC382" s="6"/>
      <x:c r="AD382" s="40"/>
      <x:c r="AE382" s="40"/>
      <x:c r="AF382" s="43"/>
      <x:c r="AG382" s="43"/>
      <x:c r="AH382" s="6"/>
      <x:c r="AI382" s="6"/>
      <x:c r="AJ382" s="40"/>
      <x:c r="AK382" s="40"/>
      <x:c r="AL382" s="43"/>
      <x:c r="AM382" s="43"/>
      <x:c r="AN382" s="55">
        <x:f>(IF(AH382&gt;0,AH382,0)+IF(AJ382&gt;0,AJ382,0)+IF(AL382&gt;0,AL382,0))</x:f>
      </x:c>
      <x:c r="AO382" s="56">
        <x:f>(((AI382*7)+(AK382*1)+(AM382*1))/8)</x:f>
      </x:c>
      <x:c r="AP382" s="4" t="s">
        <x:v>35</x:v>
      </x:c>
    </x:row>
    <x:row r="383">
      <x:c r="A383" s="4" t="s">
        <x:v>1187</x:v>
      </x:c>
      <x:c r="B383" s="4" t="s">
        <x:v>1186</x:v>
      </x:c>
      <x:c r="C383" s="38" t="s">
        <x:v>1185</x:v>
      </x:c>
      <x:c r="D383" s="41"/>
      <x:c r="E383" s="44"/>
      <x:c r="F383" s="6"/>
      <x:c r="G383" s="40"/>
      <x:c r="H383" s="43"/>
      <x:c r="I383" s="45">
        <x:v>46313</x:v>
      </x:c>
      <x:c r="J383" s="46">
        <x:v>81</x:v>
      </x:c>
      <x:c r="K383" s="47">
        <x:f>(F383-(0)+0-(J383*Ventas!AE392*1.0556))</x:f>
      </x:c>
      <x:c r="L383" s="6"/>
      <x:c r="M383" s="51">
        <x:f>(G383+0)</x:f>
      </x:c>
      <x:c r="N383" s="40"/>
      <x:c r="O383" s="54">
        <x:f>(H383+0)</x:f>
      </x:c>
      <x:c r="P383" s="43"/>
      <x:c r="Q383" s="55">
        <x:f>(K383+M383+O383)</x:f>
      </x:c>
      <x:c r="R383" s="56">
        <x:f>(((L383*7)+(N383*1)+(P383*0))/8)</x:f>
      </x:c>
      <x:c r="S383" s="47">
        <x:f>(180*(Ventas!AE392*0.9644) - IF(K383&gt;0,K383,0))</x:f>
      </x:c>
      <x:c r="T383" s="47">
        <x:f>IF(S383&gt;0,S383,0)</x:f>
      </x:c>
      <x:c r="U383" s="40"/>
      <x:c r="V383" s="40"/>
      <x:c r="W383" s="43"/>
      <x:c r="X383" s="43"/>
      <x:c r="Y383" s="47">
        <x:f>IF(K383&gt;0,K383+IF(T383&gt;0,T383,0),T383)</x:f>
      </x:c>
      <x:c r="Z383" s="40"/>
      <x:c r="AA383" s="43"/>
      <x:c r="AB383" s="6"/>
      <x:c r="AC383" s="6"/>
      <x:c r="AD383" s="40"/>
      <x:c r="AE383" s="40"/>
      <x:c r="AF383" s="43"/>
      <x:c r="AG383" s="43"/>
      <x:c r="AH383" s="6"/>
      <x:c r="AI383" s="6"/>
      <x:c r="AJ383" s="40"/>
      <x:c r="AK383" s="40"/>
      <x:c r="AL383" s="43"/>
      <x:c r="AM383" s="43"/>
      <x:c r="AN383" s="55">
        <x:f>(IF(AH383&gt;0,AH383,0)+IF(AJ383&gt;0,AJ383,0)+IF(AL383&gt;0,AL383,0))</x:f>
      </x:c>
      <x:c r="AO383" s="56">
        <x:f>(((AI383*7)+(AK383*1)+(AM383*1))/8)</x:f>
      </x:c>
      <x:c r="AP383" s="4" t="s">
        <x:v>35</x:v>
      </x:c>
    </x:row>
    <x:row r="384">
      <x:c r="A384" s="4" t="s">
        <x:v>1190</x:v>
      </x:c>
      <x:c r="B384" s="4" t="s">
        <x:v>1189</x:v>
      </x:c>
      <x:c r="C384" s="38" t="s">
        <x:v>1188</x:v>
      </x:c>
      <x:c r="D384" s="41"/>
      <x:c r="E384" s="44"/>
      <x:c r="F384" s="6"/>
      <x:c r="G384" s="40"/>
      <x:c r="H384" s="43"/>
      <x:c r="I384" s="45">
        <x:v>46313</x:v>
      </x:c>
      <x:c r="J384" s="46">
        <x:v>81</x:v>
      </x:c>
      <x:c r="K384" s="47">
        <x:f>(F384-(0)+0-(J384*Ventas!AE393*1.0556))</x:f>
      </x:c>
      <x:c r="L384" s="6"/>
      <x:c r="M384" s="51">
        <x:f>(G384+0)</x:f>
      </x:c>
      <x:c r="N384" s="40"/>
      <x:c r="O384" s="54">
        <x:f>(H384+0)</x:f>
      </x:c>
      <x:c r="P384" s="43"/>
      <x:c r="Q384" s="55">
        <x:f>(K384+M384+O384)</x:f>
      </x:c>
      <x:c r="R384" s="56">
        <x:f>(((L384*7)+(N384*1)+(P384*0))/8)</x:f>
      </x:c>
      <x:c r="S384" s="47">
        <x:f>(180*(Ventas!AE393*0.9644) - IF(K384&gt;0,K384,0))</x:f>
      </x:c>
      <x:c r="T384" s="47">
        <x:f>IF(S384&gt;0,S384,0)</x:f>
      </x:c>
      <x:c r="U384" s="40"/>
      <x:c r="V384" s="40"/>
      <x:c r="W384" s="43"/>
      <x:c r="X384" s="43"/>
      <x:c r="Y384" s="47">
        <x:f>IF(K384&gt;0,K384+IF(T384&gt;0,T384,0),T384)</x:f>
      </x:c>
      <x:c r="Z384" s="40"/>
      <x:c r="AA384" s="43"/>
      <x:c r="AB384" s="6"/>
      <x:c r="AC384" s="6"/>
      <x:c r="AD384" s="40"/>
      <x:c r="AE384" s="40"/>
      <x:c r="AF384" s="43"/>
      <x:c r="AG384" s="43"/>
      <x:c r="AH384" s="6"/>
      <x:c r="AI384" s="6"/>
      <x:c r="AJ384" s="40"/>
      <x:c r="AK384" s="40"/>
      <x:c r="AL384" s="43"/>
      <x:c r="AM384" s="43"/>
      <x:c r="AN384" s="55">
        <x:f>(IF(AH384&gt;0,AH384,0)+IF(AJ384&gt;0,AJ384,0)+IF(AL384&gt;0,AL384,0))</x:f>
      </x:c>
      <x:c r="AO384" s="56">
        <x:f>(((AI384*7)+(AK384*1)+(AM384*1))/8)</x:f>
      </x:c>
      <x:c r="AP384" s="4" t="s">
        <x:v>35</x:v>
      </x:c>
    </x:row>
    <x:row r="385">
      <x:c r="A385" s="4" t="s">
        <x:v>1193</x:v>
      </x:c>
      <x:c r="B385" s="4" t="s">
        <x:v>1192</x:v>
      </x:c>
      <x:c r="C385" s="38" t="s">
        <x:v>1191</x:v>
      </x:c>
      <x:c r="D385" s="41"/>
      <x:c r="E385" s="44"/>
      <x:c r="F385" s="6"/>
      <x:c r="G385" s="40"/>
      <x:c r="H385" s="43"/>
      <x:c r="I385" s="45">
        <x:v>46313</x:v>
      </x:c>
      <x:c r="J385" s="46">
        <x:v>81</x:v>
      </x:c>
      <x:c r="K385" s="47">
        <x:f>(F385-(0)+0-(J385*Ventas!AE394*1.0556))</x:f>
      </x:c>
      <x:c r="L385" s="6"/>
      <x:c r="M385" s="51">
        <x:f>(G385+0)</x:f>
      </x:c>
      <x:c r="N385" s="40"/>
      <x:c r="O385" s="54">
        <x:f>(H385+0)</x:f>
      </x:c>
      <x:c r="P385" s="43"/>
      <x:c r="Q385" s="55">
        <x:f>(K385+M385+O385)</x:f>
      </x:c>
      <x:c r="R385" s="56">
        <x:f>(((L385*7)+(N385*1)+(P385*0))/8)</x:f>
      </x:c>
      <x:c r="S385" s="47">
        <x:f>(180*(Ventas!AE394*0.9644) - IF(K385&gt;0,K385,0))</x:f>
      </x:c>
      <x:c r="T385" s="47">
        <x:f>IF(S385&gt;0,S385,0)</x:f>
      </x:c>
      <x:c r="U385" s="40"/>
      <x:c r="V385" s="40"/>
      <x:c r="W385" s="43"/>
      <x:c r="X385" s="43"/>
      <x:c r="Y385" s="47">
        <x:f>IF(K385&gt;0,K385+IF(T385&gt;0,T385,0),T385)</x:f>
      </x:c>
      <x:c r="Z385" s="40"/>
      <x:c r="AA385" s="43"/>
      <x:c r="AB385" s="6"/>
      <x:c r="AC385" s="6"/>
      <x:c r="AD385" s="40"/>
      <x:c r="AE385" s="40"/>
      <x:c r="AF385" s="43"/>
      <x:c r="AG385" s="43"/>
      <x:c r="AH385" s="6"/>
      <x:c r="AI385" s="6"/>
      <x:c r="AJ385" s="40"/>
      <x:c r="AK385" s="40"/>
      <x:c r="AL385" s="43"/>
      <x:c r="AM385" s="43"/>
      <x:c r="AN385" s="55">
        <x:f>(IF(AH385&gt;0,AH385,0)+IF(AJ385&gt;0,AJ385,0)+IF(AL385&gt;0,AL385,0))</x:f>
      </x:c>
      <x:c r="AO385" s="56">
        <x:f>(((AI385*7)+(AK385*1)+(AM385*1))/8)</x:f>
      </x:c>
      <x:c r="AP385" s="4" t="s">
        <x:v>35</x:v>
      </x:c>
    </x:row>
    <x:row r="386">
      <x:c r="A386" s="4" t="s">
        <x:v>1196</x:v>
      </x:c>
      <x:c r="B386" s="4" t="s">
        <x:v>1195</x:v>
      </x:c>
      <x:c r="C386" s="38" t="s">
        <x:v>1194</x:v>
      </x:c>
      <x:c r="D386" s="41"/>
      <x:c r="E386" s="44"/>
      <x:c r="F386" s="6"/>
      <x:c r="G386" s="40"/>
      <x:c r="H386" s="43"/>
      <x:c r="I386" s="45">
        <x:v>46313</x:v>
      </x:c>
      <x:c r="J386" s="46">
        <x:v>81</x:v>
      </x:c>
      <x:c r="K386" s="47">
        <x:f>(F386-(0)+0-(J386*Ventas!AE395*1.0556))</x:f>
      </x:c>
      <x:c r="L386" s="6"/>
      <x:c r="M386" s="51">
        <x:f>(G386+0)</x:f>
      </x:c>
      <x:c r="N386" s="40"/>
      <x:c r="O386" s="54">
        <x:f>(H386+0)</x:f>
      </x:c>
      <x:c r="P386" s="43"/>
      <x:c r="Q386" s="55">
        <x:f>(K386+M386+O386)</x:f>
      </x:c>
      <x:c r="R386" s="56">
        <x:f>(((L386*7)+(N386*1)+(P386*0))/8)</x:f>
      </x:c>
      <x:c r="S386" s="47">
        <x:f>(180*(Ventas!AE395*0.9644) - IF(K386&gt;0,K386,0))</x:f>
      </x:c>
      <x:c r="T386" s="47">
        <x:f>IF(S386&gt;0,S386,0)</x:f>
      </x:c>
      <x:c r="U386" s="40"/>
      <x:c r="V386" s="40"/>
      <x:c r="W386" s="43"/>
      <x:c r="X386" s="43"/>
      <x:c r="Y386" s="47">
        <x:f>IF(K386&gt;0,K386+IF(T386&gt;0,T386,0),T386)</x:f>
      </x:c>
      <x:c r="Z386" s="40"/>
      <x:c r="AA386" s="43"/>
      <x:c r="AB386" s="6"/>
      <x:c r="AC386" s="6"/>
      <x:c r="AD386" s="40"/>
      <x:c r="AE386" s="40"/>
      <x:c r="AF386" s="43"/>
      <x:c r="AG386" s="43"/>
      <x:c r="AH386" s="6"/>
      <x:c r="AI386" s="6"/>
      <x:c r="AJ386" s="40"/>
      <x:c r="AK386" s="40"/>
      <x:c r="AL386" s="43"/>
      <x:c r="AM386" s="43"/>
      <x:c r="AN386" s="55">
        <x:f>(IF(AH386&gt;0,AH386,0)+IF(AJ386&gt;0,AJ386,0)+IF(AL386&gt;0,AL386,0))</x:f>
      </x:c>
      <x:c r="AO386" s="56">
        <x:f>(((AI386*7)+(AK386*1)+(AM386*1))/8)</x:f>
      </x:c>
      <x:c r="AP386" s="4" t="s">
        <x:v>35</x:v>
      </x:c>
    </x:row>
    <x:row r="387">
      <x:c r="A387" s="4" t="s">
        <x:v>1199</x:v>
      </x:c>
      <x:c r="B387" s="4" t="s">
        <x:v>1198</x:v>
      </x:c>
      <x:c r="C387" s="38" t="s">
        <x:v>1197</x:v>
      </x:c>
      <x:c r="D387" s="41"/>
      <x:c r="E387" s="44"/>
      <x:c r="F387" s="6"/>
      <x:c r="G387" s="40"/>
      <x:c r="H387" s="43"/>
      <x:c r="I387" s="45">
        <x:v>46313</x:v>
      </x:c>
      <x:c r="J387" s="46">
        <x:v>81</x:v>
      </x:c>
      <x:c r="K387" s="47">
        <x:f>(F387-(0)+0-(J387*Ventas!AE396*1.0556))</x:f>
      </x:c>
      <x:c r="L387" s="6"/>
      <x:c r="M387" s="51">
        <x:f>(G387+0)</x:f>
      </x:c>
      <x:c r="N387" s="40"/>
      <x:c r="O387" s="54">
        <x:f>(H387+0)</x:f>
      </x:c>
      <x:c r="P387" s="43"/>
      <x:c r="Q387" s="55">
        <x:f>(K387+M387+O387)</x:f>
      </x:c>
      <x:c r="R387" s="56">
        <x:f>(((L387*7)+(N387*1)+(P387*0))/8)</x:f>
      </x:c>
      <x:c r="S387" s="47">
        <x:f>(180*(Ventas!AE396*0.9644) - IF(K387&gt;0,K387,0))</x:f>
      </x:c>
      <x:c r="T387" s="47">
        <x:f>IF(S387&gt;0,S387,0)</x:f>
      </x:c>
      <x:c r="U387" s="40"/>
      <x:c r="V387" s="40"/>
      <x:c r="W387" s="43"/>
      <x:c r="X387" s="43"/>
      <x:c r="Y387" s="47">
        <x:f>IF(K387&gt;0,K387+IF(T387&gt;0,T387,0),T387)</x:f>
      </x:c>
      <x:c r="Z387" s="40"/>
      <x:c r="AA387" s="43"/>
      <x:c r="AB387" s="6"/>
      <x:c r="AC387" s="6"/>
      <x:c r="AD387" s="40"/>
      <x:c r="AE387" s="40"/>
      <x:c r="AF387" s="43"/>
      <x:c r="AG387" s="43"/>
      <x:c r="AH387" s="6"/>
      <x:c r="AI387" s="6"/>
      <x:c r="AJ387" s="40"/>
      <x:c r="AK387" s="40"/>
      <x:c r="AL387" s="43"/>
      <x:c r="AM387" s="43"/>
      <x:c r="AN387" s="55">
        <x:f>(IF(AH387&gt;0,AH387,0)+IF(AJ387&gt;0,AJ387,0)+IF(AL387&gt;0,AL387,0))</x:f>
      </x:c>
      <x:c r="AO387" s="56">
        <x:f>(((AI387*7)+(AK387*1)+(AM387*1))/8)</x:f>
      </x:c>
      <x:c r="AP387" s="4" t="s">
        <x:v>35</x:v>
      </x:c>
    </x:row>
    <x:row r="388">
      <x:c r="A388" s="4" t="s">
        <x:v>1202</x:v>
      </x:c>
      <x:c r="B388" s="4" t="s">
        <x:v>1201</x:v>
      </x:c>
      <x:c r="C388" s="38" t="s">
        <x:v>1200</x:v>
      </x:c>
      <x:c r="D388" s="41"/>
      <x:c r="E388" s="44"/>
      <x:c r="F388" s="6"/>
      <x:c r="G388" s="40"/>
      <x:c r="H388" s="43"/>
      <x:c r="I388" s="45">
        <x:v>46313</x:v>
      </x:c>
      <x:c r="J388" s="46">
        <x:v>81</x:v>
      </x:c>
      <x:c r="K388" s="47">
        <x:f>(F388-(0)+0-(J388*Ventas!AE397*1.0556))</x:f>
      </x:c>
      <x:c r="L388" s="6"/>
      <x:c r="M388" s="51">
        <x:f>(G388+0)</x:f>
      </x:c>
      <x:c r="N388" s="40"/>
      <x:c r="O388" s="54">
        <x:f>(H388+0)</x:f>
      </x:c>
      <x:c r="P388" s="43"/>
      <x:c r="Q388" s="55">
        <x:f>(K388+M388+O388)</x:f>
      </x:c>
      <x:c r="R388" s="56">
        <x:f>(((L388*7)+(N388*1)+(P388*0))/8)</x:f>
      </x:c>
      <x:c r="S388" s="47">
        <x:f>(180*(Ventas!AE397*0.9644) - IF(K388&gt;0,K388,0))</x:f>
      </x:c>
      <x:c r="T388" s="47">
        <x:f>IF(S388&gt;0,S388,0)</x:f>
      </x:c>
      <x:c r="U388" s="40"/>
      <x:c r="V388" s="40"/>
      <x:c r="W388" s="43"/>
      <x:c r="X388" s="43"/>
      <x:c r="Y388" s="47">
        <x:f>IF(K388&gt;0,K388+IF(T388&gt;0,T388,0),T388)</x:f>
      </x:c>
      <x:c r="Z388" s="40"/>
      <x:c r="AA388" s="43"/>
      <x:c r="AB388" s="6"/>
      <x:c r="AC388" s="6"/>
      <x:c r="AD388" s="40"/>
      <x:c r="AE388" s="40"/>
      <x:c r="AF388" s="43"/>
      <x:c r="AG388" s="43"/>
      <x:c r="AH388" s="6"/>
      <x:c r="AI388" s="6"/>
      <x:c r="AJ388" s="40"/>
      <x:c r="AK388" s="40"/>
      <x:c r="AL388" s="43"/>
      <x:c r="AM388" s="43"/>
      <x:c r="AN388" s="55">
        <x:f>(IF(AH388&gt;0,AH388,0)+IF(AJ388&gt;0,AJ388,0)+IF(AL388&gt;0,AL388,0))</x:f>
      </x:c>
      <x:c r="AO388" s="56">
        <x:f>(((AI388*7)+(AK388*1)+(AM388*1))/8)</x:f>
      </x:c>
      <x:c r="AP388" s="4" t="s">
        <x:v>35</x:v>
      </x:c>
    </x:row>
    <x:row r="389">
      <x:c r="A389" s="4" t="s">
        <x:v>1205</x:v>
      </x:c>
      <x:c r="B389" s="4" t="s">
        <x:v>1204</x:v>
      </x:c>
      <x:c r="C389" s="38" t="s">
        <x:v>1203</x:v>
      </x:c>
      <x:c r="D389" s="41"/>
      <x:c r="E389" s="44"/>
      <x:c r="F389" s="6"/>
      <x:c r="G389" s="40"/>
      <x:c r="H389" s="43"/>
      <x:c r="I389" s="45">
        <x:v>46313</x:v>
      </x:c>
      <x:c r="J389" s="46">
        <x:v>81</x:v>
      </x:c>
      <x:c r="K389" s="47">
        <x:f>(F389-(0)+0-(J389*Ventas!AE398*1.0556))</x:f>
      </x:c>
      <x:c r="L389" s="6"/>
      <x:c r="M389" s="51">
        <x:f>(G389+0)</x:f>
      </x:c>
      <x:c r="N389" s="40"/>
      <x:c r="O389" s="54">
        <x:f>(H389+0)</x:f>
      </x:c>
      <x:c r="P389" s="43"/>
      <x:c r="Q389" s="55">
        <x:f>(K389+M389+O389)</x:f>
      </x:c>
      <x:c r="R389" s="56">
        <x:f>(((L389*7)+(N389*1)+(P389*0))/8)</x:f>
      </x:c>
      <x:c r="S389" s="47">
        <x:f>(180*(Ventas!AE398*0.9644) - IF(K389&gt;0,K389,0))</x:f>
      </x:c>
      <x:c r="T389" s="47">
        <x:f>IF(S389&gt;0,S389,0)</x:f>
      </x:c>
      <x:c r="U389" s="40"/>
      <x:c r="V389" s="40"/>
      <x:c r="W389" s="43"/>
      <x:c r="X389" s="43"/>
      <x:c r="Y389" s="47">
        <x:f>IF(K389&gt;0,K389+IF(T389&gt;0,T389,0),T389)</x:f>
      </x:c>
      <x:c r="Z389" s="40"/>
      <x:c r="AA389" s="43"/>
      <x:c r="AB389" s="6"/>
      <x:c r="AC389" s="6"/>
      <x:c r="AD389" s="40"/>
      <x:c r="AE389" s="40"/>
      <x:c r="AF389" s="43"/>
      <x:c r="AG389" s="43"/>
      <x:c r="AH389" s="6"/>
      <x:c r="AI389" s="6"/>
      <x:c r="AJ389" s="40"/>
      <x:c r="AK389" s="40"/>
      <x:c r="AL389" s="43"/>
      <x:c r="AM389" s="43"/>
      <x:c r="AN389" s="55">
        <x:f>(IF(AH389&gt;0,AH389,0)+IF(AJ389&gt;0,AJ389,0)+IF(AL389&gt;0,AL389,0))</x:f>
      </x:c>
      <x:c r="AO389" s="56">
        <x:f>(((AI389*7)+(AK389*1)+(AM389*1))/8)</x:f>
      </x:c>
      <x:c r="AP389" s="4" t="s">
        <x:v>35</x:v>
      </x:c>
    </x:row>
    <x:row r="390">
      <x:c r="A390" s="4" t="s">
        <x:v>1208</x:v>
      </x:c>
      <x:c r="B390" s="4" t="s">
        <x:v>1207</x:v>
      </x:c>
      <x:c r="C390" s="38" t="s">
        <x:v>1206</x:v>
      </x:c>
      <x:c r="D390" s="41"/>
      <x:c r="E390" s="44"/>
      <x:c r="F390" s="6"/>
      <x:c r="G390" s="40"/>
      <x:c r="H390" s="43"/>
      <x:c r="I390" s="45">
        <x:v>46313</x:v>
      </x:c>
      <x:c r="J390" s="46">
        <x:v>81</x:v>
      </x:c>
      <x:c r="K390" s="47">
        <x:f>(F390-(0)+0-(J390*Ventas!AE399*1.0556))</x:f>
      </x:c>
      <x:c r="L390" s="6"/>
      <x:c r="M390" s="51">
        <x:f>(G390+0)</x:f>
      </x:c>
      <x:c r="N390" s="40"/>
      <x:c r="O390" s="54">
        <x:f>(H390+0)</x:f>
      </x:c>
      <x:c r="P390" s="43"/>
      <x:c r="Q390" s="55">
        <x:f>(K390+M390+O390)</x:f>
      </x:c>
      <x:c r="R390" s="56">
        <x:f>(((L390*7)+(N390*1)+(P390*0))/8)</x:f>
      </x:c>
      <x:c r="S390" s="47">
        <x:f>(180*(Ventas!AE399*0.9644) - IF(K390&gt;0,K390,0))</x:f>
      </x:c>
      <x:c r="T390" s="47">
        <x:f>IF(S390&gt;0,S390,0)</x:f>
      </x:c>
      <x:c r="U390" s="40"/>
      <x:c r="V390" s="40"/>
      <x:c r="W390" s="43"/>
      <x:c r="X390" s="43"/>
      <x:c r="Y390" s="47">
        <x:f>IF(K390&gt;0,K390+IF(T390&gt;0,T390,0),T390)</x:f>
      </x:c>
      <x:c r="Z390" s="40"/>
      <x:c r="AA390" s="43"/>
      <x:c r="AB390" s="6"/>
      <x:c r="AC390" s="6"/>
      <x:c r="AD390" s="40"/>
      <x:c r="AE390" s="40"/>
      <x:c r="AF390" s="43"/>
      <x:c r="AG390" s="43"/>
      <x:c r="AH390" s="6"/>
      <x:c r="AI390" s="6"/>
      <x:c r="AJ390" s="40"/>
      <x:c r="AK390" s="40"/>
      <x:c r="AL390" s="43"/>
      <x:c r="AM390" s="43"/>
      <x:c r="AN390" s="55">
        <x:f>(IF(AH390&gt;0,AH390,0)+IF(AJ390&gt;0,AJ390,0)+IF(AL390&gt;0,AL390,0))</x:f>
      </x:c>
      <x:c r="AO390" s="56">
        <x:f>(((AI390*7)+(AK390*1)+(AM390*1))/8)</x:f>
      </x:c>
      <x:c r="AP390" s="4" t="s">
        <x:v>35</x:v>
      </x:c>
    </x:row>
    <x:row r="391">
      <x:c r="A391" s="4" t="s">
        <x:v>1211</x:v>
      </x:c>
      <x:c r="B391" s="4" t="s">
        <x:v>1210</x:v>
      </x:c>
      <x:c r="C391" s="38" t="s">
        <x:v>1209</x:v>
      </x:c>
      <x:c r="D391" s="41"/>
      <x:c r="E391" s="44"/>
      <x:c r="F391" s="6"/>
      <x:c r="G391" s="40"/>
      <x:c r="H391" s="43"/>
      <x:c r="I391" s="45">
        <x:v>46313</x:v>
      </x:c>
      <x:c r="J391" s="46">
        <x:v>81</x:v>
      </x:c>
      <x:c r="K391" s="47">
        <x:f>(F391-(0)+0-(J391*Ventas!AE400*1.0556))</x:f>
      </x:c>
      <x:c r="L391" s="6"/>
      <x:c r="M391" s="51">
        <x:f>(G391+0)</x:f>
      </x:c>
      <x:c r="N391" s="40"/>
      <x:c r="O391" s="54">
        <x:f>(H391+0)</x:f>
      </x:c>
      <x:c r="P391" s="43"/>
      <x:c r="Q391" s="55">
        <x:f>(K391+M391+O391)</x:f>
      </x:c>
      <x:c r="R391" s="56">
        <x:f>(((L391*7)+(N391*1)+(P391*0))/8)</x:f>
      </x:c>
      <x:c r="S391" s="47">
        <x:f>(180*(Ventas!AE400*0.9644) - IF(K391&gt;0,K391,0))</x:f>
      </x:c>
      <x:c r="T391" s="47">
        <x:f>IF(S391&gt;0,S391,0)</x:f>
      </x:c>
      <x:c r="U391" s="40"/>
      <x:c r="V391" s="40"/>
      <x:c r="W391" s="43"/>
      <x:c r="X391" s="43"/>
      <x:c r="Y391" s="47">
        <x:f>IF(K391&gt;0,K391+IF(T391&gt;0,T391,0),T391)</x:f>
      </x:c>
      <x:c r="Z391" s="40"/>
      <x:c r="AA391" s="43"/>
      <x:c r="AB391" s="6"/>
      <x:c r="AC391" s="6"/>
      <x:c r="AD391" s="40"/>
      <x:c r="AE391" s="40"/>
      <x:c r="AF391" s="43"/>
      <x:c r="AG391" s="43"/>
      <x:c r="AH391" s="6"/>
      <x:c r="AI391" s="6"/>
      <x:c r="AJ391" s="40"/>
      <x:c r="AK391" s="40"/>
      <x:c r="AL391" s="43"/>
      <x:c r="AM391" s="43"/>
      <x:c r="AN391" s="55">
        <x:f>(IF(AH391&gt;0,AH391,0)+IF(AJ391&gt;0,AJ391,0)+IF(AL391&gt;0,AL391,0))</x:f>
      </x:c>
      <x:c r="AO391" s="56">
        <x:f>(((AI391*7)+(AK391*1)+(AM391*1))/8)</x:f>
      </x:c>
      <x:c r="AP391" s="4" t="s">
        <x:v>35</x:v>
      </x:c>
    </x:row>
    <x:row r="392">
      <x:c r="A392" s="4" t="s">
        <x:v>1214</x:v>
      </x:c>
      <x:c r="B392" s="4" t="s">
        <x:v>1213</x:v>
      </x:c>
      <x:c r="C392" s="38" t="s">
        <x:v>1212</x:v>
      </x:c>
      <x:c r="D392" s="41"/>
      <x:c r="E392" s="44"/>
      <x:c r="F392" s="6"/>
      <x:c r="G392" s="40"/>
      <x:c r="H392" s="43"/>
      <x:c r="I392" s="45">
        <x:v>46313</x:v>
      </x:c>
      <x:c r="J392" s="46">
        <x:v>81</x:v>
      </x:c>
      <x:c r="K392" s="47">
        <x:f>(F392-(0)+0-(J392*Ventas!AE401*1.0556))</x:f>
      </x:c>
      <x:c r="L392" s="6"/>
      <x:c r="M392" s="51">
        <x:f>(G392+0)</x:f>
      </x:c>
      <x:c r="N392" s="40"/>
      <x:c r="O392" s="54">
        <x:f>(H392+0)</x:f>
      </x:c>
      <x:c r="P392" s="43"/>
      <x:c r="Q392" s="55">
        <x:f>(K392+M392+O392)</x:f>
      </x:c>
      <x:c r="R392" s="56">
        <x:f>(((L392*7)+(N392*1)+(P392*0))/8)</x:f>
      </x:c>
      <x:c r="S392" s="47">
        <x:f>(180*(Ventas!AE401*0.9644) - IF(K392&gt;0,K392,0))</x:f>
      </x:c>
      <x:c r="T392" s="47">
        <x:f>IF(S392&gt;0,S392,0)</x:f>
      </x:c>
      <x:c r="U392" s="40"/>
      <x:c r="V392" s="40"/>
      <x:c r="W392" s="43"/>
      <x:c r="X392" s="43"/>
      <x:c r="Y392" s="47">
        <x:f>IF(K392&gt;0,K392+IF(T392&gt;0,T392,0),T392)</x:f>
      </x:c>
      <x:c r="Z392" s="40"/>
      <x:c r="AA392" s="43"/>
      <x:c r="AB392" s="6"/>
      <x:c r="AC392" s="6"/>
      <x:c r="AD392" s="40"/>
      <x:c r="AE392" s="40"/>
      <x:c r="AF392" s="43"/>
      <x:c r="AG392" s="43"/>
      <x:c r="AH392" s="6"/>
      <x:c r="AI392" s="6"/>
      <x:c r="AJ392" s="40"/>
      <x:c r="AK392" s="40"/>
      <x:c r="AL392" s="43"/>
      <x:c r="AM392" s="43"/>
      <x:c r="AN392" s="55">
        <x:f>(IF(AH392&gt;0,AH392,0)+IF(AJ392&gt;0,AJ392,0)+IF(AL392&gt;0,AL392,0))</x:f>
      </x:c>
      <x:c r="AO392" s="56">
        <x:f>(((AI392*7)+(AK392*1)+(AM392*1))/8)</x:f>
      </x:c>
      <x:c r="AP392" s="4" t="s">
        <x:v>35</x:v>
      </x:c>
    </x:row>
    <x:row r="393">
      <x:c r="A393" s="4" t="s">
        <x:v>1217</x:v>
      </x:c>
      <x:c r="B393" s="4" t="s">
        <x:v>1216</x:v>
      </x:c>
      <x:c r="C393" s="38" t="s">
        <x:v>1215</x:v>
      </x:c>
      <x:c r="D393" s="41"/>
      <x:c r="E393" s="44"/>
      <x:c r="F393" s="6"/>
      <x:c r="G393" s="40"/>
      <x:c r="H393" s="43"/>
      <x:c r="I393" s="45">
        <x:v>46313</x:v>
      </x:c>
      <x:c r="J393" s="46">
        <x:v>81</x:v>
      </x:c>
      <x:c r="K393" s="47">
        <x:f>(F393-(0)+0-(J393*Ventas!AE402*1.0556))</x:f>
      </x:c>
      <x:c r="L393" s="6"/>
      <x:c r="M393" s="51">
        <x:f>(G393+0)</x:f>
      </x:c>
      <x:c r="N393" s="40"/>
      <x:c r="O393" s="54">
        <x:f>(H393+0)</x:f>
      </x:c>
      <x:c r="P393" s="43"/>
      <x:c r="Q393" s="55">
        <x:f>(K393+M393+O393)</x:f>
      </x:c>
      <x:c r="R393" s="56">
        <x:f>(((L393*7)+(N393*1)+(P393*0))/8)</x:f>
      </x:c>
      <x:c r="S393" s="47">
        <x:f>(180*(Ventas!AE402*0.9644) - IF(K393&gt;0,K393,0))</x:f>
      </x:c>
      <x:c r="T393" s="47">
        <x:f>IF(S393&gt;0,S393,0)</x:f>
      </x:c>
      <x:c r="U393" s="40"/>
      <x:c r="V393" s="40"/>
      <x:c r="W393" s="43"/>
      <x:c r="X393" s="43"/>
      <x:c r="Y393" s="47">
        <x:f>IF(K393&gt;0,K393+IF(T393&gt;0,T393,0),T393)</x:f>
      </x:c>
      <x:c r="Z393" s="40"/>
      <x:c r="AA393" s="43"/>
      <x:c r="AB393" s="6"/>
      <x:c r="AC393" s="6"/>
      <x:c r="AD393" s="40"/>
      <x:c r="AE393" s="40"/>
      <x:c r="AF393" s="43"/>
      <x:c r="AG393" s="43"/>
      <x:c r="AH393" s="6"/>
      <x:c r="AI393" s="6"/>
      <x:c r="AJ393" s="40"/>
      <x:c r="AK393" s="40"/>
      <x:c r="AL393" s="43"/>
      <x:c r="AM393" s="43"/>
      <x:c r="AN393" s="55">
        <x:f>(IF(AH393&gt;0,AH393,0)+IF(AJ393&gt;0,AJ393,0)+IF(AL393&gt;0,AL393,0))</x:f>
      </x:c>
      <x:c r="AO393" s="56">
        <x:f>(((AI393*7)+(AK393*1)+(AM393*1))/8)</x:f>
      </x:c>
      <x:c r="AP393" s="4" t="s">
        <x:v>35</x:v>
      </x:c>
    </x:row>
    <x:row r="394">
      <x:c r="A394" s="4" t="s">
        <x:v>1220</x:v>
      </x:c>
      <x:c r="B394" s="4" t="s">
        <x:v>1219</x:v>
      </x:c>
      <x:c r="C394" s="38" t="s">
        <x:v>1218</x:v>
      </x:c>
      <x:c r="D394" s="41"/>
      <x:c r="E394" s="44"/>
      <x:c r="F394" s="6"/>
      <x:c r="G394" s="40"/>
      <x:c r="H394" s="43"/>
      <x:c r="I394" s="45">
        <x:v>46313</x:v>
      </x:c>
      <x:c r="J394" s="46">
        <x:v>81</x:v>
      </x:c>
      <x:c r="K394" s="47">
        <x:f>(F394-(0)+0-(J394*Ventas!AE403*1.0556))</x:f>
      </x:c>
      <x:c r="L394" s="6"/>
      <x:c r="M394" s="51">
        <x:f>(G394+0)</x:f>
      </x:c>
      <x:c r="N394" s="40"/>
      <x:c r="O394" s="54">
        <x:f>(H394+0)</x:f>
      </x:c>
      <x:c r="P394" s="43"/>
      <x:c r="Q394" s="55">
        <x:f>(K394+M394+O394)</x:f>
      </x:c>
      <x:c r="R394" s="56">
        <x:f>(((L394*7)+(N394*1)+(P394*0))/8)</x:f>
      </x:c>
      <x:c r="S394" s="47">
        <x:f>(180*(Ventas!AE403*0.9644) - IF(K394&gt;0,K394,0))</x:f>
      </x:c>
      <x:c r="T394" s="47">
        <x:f>IF(S394&gt;0,S394,0)</x:f>
      </x:c>
      <x:c r="U394" s="40"/>
      <x:c r="V394" s="40"/>
      <x:c r="W394" s="43"/>
      <x:c r="X394" s="43"/>
      <x:c r="Y394" s="47">
        <x:f>IF(K394&gt;0,K394+IF(T394&gt;0,T394,0),T394)</x:f>
      </x:c>
      <x:c r="Z394" s="40"/>
      <x:c r="AA394" s="43"/>
      <x:c r="AB394" s="6"/>
      <x:c r="AC394" s="6"/>
      <x:c r="AD394" s="40"/>
      <x:c r="AE394" s="40"/>
      <x:c r="AF394" s="43"/>
      <x:c r="AG394" s="43"/>
      <x:c r="AH394" s="6"/>
      <x:c r="AI394" s="6"/>
      <x:c r="AJ394" s="40"/>
      <x:c r="AK394" s="40"/>
      <x:c r="AL394" s="43"/>
      <x:c r="AM394" s="43"/>
      <x:c r="AN394" s="55">
        <x:f>(IF(AH394&gt;0,AH394,0)+IF(AJ394&gt;0,AJ394,0)+IF(AL394&gt;0,AL394,0))</x:f>
      </x:c>
      <x:c r="AO394" s="56">
        <x:f>(((AI394*7)+(AK394*1)+(AM394*1))/8)</x:f>
      </x:c>
      <x:c r="AP394" s="4" t="s">
        <x:v>35</x:v>
      </x:c>
    </x:row>
    <x:row r="395">
      <x:c r="A395" s="4" t="s">
        <x:v>1223</x:v>
      </x:c>
      <x:c r="B395" s="4" t="s">
        <x:v>1222</x:v>
      </x:c>
      <x:c r="C395" s="38" t="s">
        <x:v>1221</x:v>
      </x:c>
      <x:c r="D395" s="41"/>
      <x:c r="E395" s="44"/>
      <x:c r="F395" s="6"/>
      <x:c r="G395" s="40"/>
      <x:c r="H395" s="43"/>
      <x:c r="I395" s="45">
        <x:v>46313</x:v>
      </x:c>
      <x:c r="J395" s="46">
        <x:v>81</x:v>
      </x:c>
      <x:c r="K395" s="47">
        <x:f>(F395-(0)+0-(J395*Ventas!AE404*1.0556))</x:f>
      </x:c>
      <x:c r="L395" s="6"/>
      <x:c r="M395" s="51">
        <x:f>(G395+0)</x:f>
      </x:c>
      <x:c r="N395" s="40"/>
      <x:c r="O395" s="54">
        <x:f>(H395+0)</x:f>
      </x:c>
      <x:c r="P395" s="43"/>
      <x:c r="Q395" s="55">
        <x:f>(K395+M395+O395)</x:f>
      </x:c>
      <x:c r="R395" s="56">
        <x:f>(((L395*7)+(N395*1)+(P395*0))/8)</x:f>
      </x:c>
      <x:c r="S395" s="47">
        <x:f>(180*(Ventas!AE404*0.9644) - IF(K395&gt;0,K395,0))</x:f>
      </x:c>
      <x:c r="T395" s="47">
        <x:f>IF(S395&gt;0,S395,0)</x:f>
      </x:c>
      <x:c r="U395" s="40"/>
      <x:c r="V395" s="40"/>
      <x:c r="W395" s="43"/>
      <x:c r="X395" s="43"/>
      <x:c r="Y395" s="47">
        <x:f>IF(K395&gt;0,K395+IF(T395&gt;0,T395,0),T395)</x:f>
      </x:c>
      <x:c r="Z395" s="40"/>
      <x:c r="AA395" s="43"/>
      <x:c r="AB395" s="6"/>
      <x:c r="AC395" s="6"/>
      <x:c r="AD395" s="40"/>
      <x:c r="AE395" s="40"/>
      <x:c r="AF395" s="43"/>
      <x:c r="AG395" s="43"/>
      <x:c r="AH395" s="6"/>
      <x:c r="AI395" s="6"/>
      <x:c r="AJ395" s="40"/>
      <x:c r="AK395" s="40"/>
      <x:c r="AL395" s="43"/>
      <x:c r="AM395" s="43"/>
      <x:c r="AN395" s="55">
        <x:f>(IF(AH395&gt;0,AH395,0)+IF(AJ395&gt;0,AJ395,0)+IF(AL395&gt;0,AL395,0))</x:f>
      </x:c>
      <x:c r="AO395" s="56">
        <x:f>(((AI395*7)+(AK395*1)+(AM395*1))/8)</x:f>
      </x:c>
      <x:c r="AP395" s="4" t="s">
        <x:v>35</x:v>
      </x:c>
    </x:row>
    <x:row r="396">
      <x:c r="A396" s="4" t="s">
        <x:v>1226</x:v>
      </x:c>
      <x:c r="B396" s="4" t="s">
        <x:v>1225</x:v>
      </x:c>
      <x:c r="C396" s="38" t="s">
        <x:v>1224</x:v>
      </x:c>
      <x:c r="D396" s="41"/>
      <x:c r="E396" s="44"/>
      <x:c r="F396" s="6"/>
      <x:c r="G396" s="40"/>
      <x:c r="H396" s="43"/>
      <x:c r="I396" s="45">
        <x:v>46313</x:v>
      </x:c>
      <x:c r="J396" s="46">
        <x:v>81</x:v>
      </x:c>
      <x:c r="K396" s="47">
        <x:f>(F396-(0)+0-(J396*Ventas!AE405*1.0556))</x:f>
      </x:c>
      <x:c r="L396" s="6"/>
      <x:c r="M396" s="51">
        <x:f>(G396+0)</x:f>
      </x:c>
      <x:c r="N396" s="40"/>
      <x:c r="O396" s="54">
        <x:f>(H396+0)</x:f>
      </x:c>
      <x:c r="P396" s="43"/>
      <x:c r="Q396" s="55">
        <x:f>(K396+M396+O396)</x:f>
      </x:c>
      <x:c r="R396" s="56">
        <x:f>(((L396*7)+(N396*1)+(P396*0))/8)</x:f>
      </x:c>
      <x:c r="S396" s="47">
        <x:f>(180*(Ventas!AE405*0.9644) - IF(K396&gt;0,K396,0))</x:f>
      </x:c>
      <x:c r="T396" s="47">
        <x:f>IF(S396&gt;0,S396,0)</x:f>
      </x:c>
      <x:c r="U396" s="40"/>
      <x:c r="V396" s="40"/>
      <x:c r="W396" s="43"/>
      <x:c r="X396" s="43"/>
      <x:c r="Y396" s="47">
        <x:f>IF(K396&gt;0,K396+IF(T396&gt;0,T396,0),T396)</x:f>
      </x:c>
      <x:c r="Z396" s="40"/>
      <x:c r="AA396" s="43"/>
      <x:c r="AB396" s="6"/>
      <x:c r="AC396" s="6"/>
      <x:c r="AD396" s="40"/>
      <x:c r="AE396" s="40"/>
      <x:c r="AF396" s="43"/>
      <x:c r="AG396" s="43"/>
      <x:c r="AH396" s="6"/>
      <x:c r="AI396" s="6"/>
      <x:c r="AJ396" s="40"/>
      <x:c r="AK396" s="40"/>
      <x:c r="AL396" s="43"/>
      <x:c r="AM396" s="43"/>
      <x:c r="AN396" s="55">
        <x:f>(IF(AH396&gt;0,AH396,0)+IF(AJ396&gt;0,AJ396,0)+IF(AL396&gt;0,AL396,0))</x:f>
      </x:c>
      <x:c r="AO396" s="56">
        <x:f>(((AI396*7)+(AK396*1)+(AM396*1))/8)</x:f>
      </x:c>
      <x:c r="AP396" s="4" t="s">
        <x:v>35</x:v>
      </x:c>
    </x:row>
    <x:row r="397">
      <x:c r="A397" s="4" t="s">
        <x:v>1229</x:v>
      </x:c>
      <x:c r="B397" s="4" t="s">
        <x:v>1228</x:v>
      </x:c>
      <x:c r="C397" s="38" t="s">
        <x:v>1227</x:v>
      </x:c>
      <x:c r="D397" s="41"/>
      <x:c r="E397" s="44"/>
      <x:c r="F397" s="6"/>
      <x:c r="G397" s="40"/>
      <x:c r="H397" s="43"/>
      <x:c r="I397" s="45">
        <x:v>46313</x:v>
      </x:c>
      <x:c r="J397" s="46">
        <x:v>81</x:v>
      </x:c>
      <x:c r="K397" s="47">
        <x:f>(F397-(0)+0-(J397*Ventas!AE406*1.0556))</x:f>
      </x:c>
      <x:c r="L397" s="6"/>
      <x:c r="M397" s="51">
        <x:f>(G397+0)</x:f>
      </x:c>
      <x:c r="N397" s="40"/>
      <x:c r="O397" s="54">
        <x:f>(H397+0)</x:f>
      </x:c>
      <x:c r="P397" s="43"/>
      <x:c r="Q397" s="55">
        <x:f>(K397+M397+O397)</x:f>
      </x:c>
      <x:c r="R397" s="56">
        <x:f>(((L397*7)+(N397*1)+(P397*0))/8)</x:f>
      </x:c>
      <x:c r="S397" s="47">
        <x:f>(180*(Ventas!AE406*0.9644) - IF(K397&gt;0,K397,0))</x:f>
      </x:c>
      <x:c r="T397" s="47">
        <x:f>IF(S397&gt;0,S397,0)</x:f>
      </x:c>
      <x:c r="U397" s="40"/>
      <x:c r="V397" s="40"/>
      <x:c r="W397" s="43"/>
      <x:c r="X397" s="43"/>
      <x:c r="Y397" s="47">
        <x:f>IF(K397&gt;0,K397+IF(T397&gt;0,T397,0),T397)</x:f>
      </x:c>
      <x:c r="Z397" s="40"/>
      <x:c r="AA397" s="43"/>
      <x:c r="AB397" s="6"/>
      <x:c r="AC397" s="6"/>
      <x:c r="AD397" s="40"/>
      <x:c r="AE397" s="40"/>
      <x:c r="AF397" s="43"/>
      <x:c r="AG397" s="43"/>
      <x:c r="AH397" s="6"/>
      <x:c r="AI397" s="6"/>
      <x:c r="AJ397" s="40"/>
      <x:c r="AK397" s="40"/>
      <x:c r="AL397" s="43"/>
      <x:c r="AM397" s="43"/>
      <x:c r="AN397" s="55">
        <x:f>(IF(AH397&gt;0,AH397,0)+IF(AJ397&gt;0,AJ397,0)+IF(AL397&gt;0,AL397,0))</x:f>
      </x:c>
      <x:c r="AO397" s="56">
        <x:f>(((AI397*7)+(AK397*1)+(AM397*1))/8)</x:f>
      </x:c>
      <x:c r="AP397" s="4" t="s">
        <x:v>35</x:v>
      </x:c>
    </x:row>
    <x:row r="398">
      <x:c r="A398" s="4" t="s">
        <x:v>1232</x:v>
      </x:c>
      <x:c r="B398" s="4" t="s">
        <x:v>1231</x:v>
      </x:c>
      <x:c r="C398" s="38" t="s">
        <x:v>1230</x:v>
      </x:c>
      <x:c r="D398" s="41"/>
      <x:c r="E398" s="44"/>
      <x:c r="F398" s="6"/>
      <x:c r="G398" s="40"/>
      <x:c r="H398" s="43"/>
      <x:c r="I398" s="45">
        <x:v>46313</x:v>
      </x:c>
      <x:c r="J398" s="46">
        <x:v>81</x:v>
      </x:c>
      <x:c r="K398" s="47">
        <x:f>(F398-(0)+0-(J398*Ventas!AE407*1.0556))</x:f>
      </x:c>
      <x:c r="L398" s="6"/>
      <x:c r="M398" s="51">
        <x:f>(G398+0)</x:f>
      </x:c>
      <x:c r="N398" s="40"/>
      <x:c r="O398" s="54">
        <x:f>(H398+0)</x:f>
      </x:c>
      <x:c r="P398" s="43"/>
      <x:c r="Q398" s="55">
        <x:f>(K398+M398+O398)</x:f>
      </x:c>
      <x:c r="R398" s="56">
        <x:f>(((L398*7)+(N398*1)+(P398*0))/8)</x:f>
      </x:c>
      <x:c r="S398" s="47">
        <x:f>(180*(Ventas!AE407*0.9644) - IF(K398&gt;0,K398,0))</x:f>
      </x:c>
      <x:c r="T398" s="47">
        <x:f>IF(S398&gt;0,S398,0)</x:f>
      </x:c>
      <x:c r="U398" s="40"/>
      <x:c r="V398" s="40"/>
      <x:c r="W398" s="43"/>
      <x:c r="X398" s="43"/>
      <x:c r="Y398" s="47">
        <x:f>IF(K398&gt;0,K398+IF(T398&gt;0,T398,0),T398)</x:f>
      </x:c>
      <x:c r="Z398" s="40"/>
      <x:c r="AA398" s="43"/>
      <x:c r="AB398" s="6"/>
      <x:c r="AC398" s="6"/>
      <x:c r="AD398" s="40"/>
      <x:c r="AE398" s="40"/>
      <x:c r="AF398" s="43"/>
      <x:c r="AG398" s="43"/>
      <x:c r="AH398" s="6"/>
      <x:c r="AI398" s="6"/>
      <x:c r="AJ398" s="40"/>
      <x:c r="AK398" s="40"/>
      <x:c r="AL398" s="43"/>
      <x:c r="AM398" s="43"/>
      <x:c r="AN398" s="55">
        <x:f>(IF(AH398&gt;0,AH398,0)+IF(AJ398&gt;0,AJ398,0)+IF(AL398&gt;0,AL398,0))</x:f>
      </x:c>
      <x:c r="AO398" s="56">
        <x:f>(((AI398*7)+(AK398*1)+(AM398*1))/8)</x:f>
      </x:c>
      <x:c r="AP398" s="4" t="s">
        <x:v>35</x:v>
      </x:c>
    </x:row>
    <x:row r="399">
      <x:c r="A399" s="4" t="s">
        <x:v>1235</x:v>
      </x:c>
      <x:c r="B399" s="4" t="s">
        <x:v>1234</x:v>
      </x:c>
      <x:c r="C399" s="38" t="s">
        <x:v>1233</x:v>
      </x:c>
      <x:c r="D399" s="41"/>
      <x:c r="E399" s="44"/>
      <x:c r="F399" s="6"/>
      <x:c r="G399" s="40"/>
      <x:c r="H399" s="43"/>
      <x:c r="I399" s="45">
        <x:v>46313</x:v>
      </x:c>
      <x:c r="J399" s="46">
        <x:v>81</x:v>
      </x:c>
      <x:c r="K399" s="47">
        <x:f>(F399-(0)+0-(J399*Ventas!AE408*1.0556))</x:f>
      </x:c>
      <x:c r="L399" s="6"/>
      <x:c r="M399" s="51">
        <x:f>(G399+0)</x:f>
      </x:c>
      <x:c r="N399" s="40"/>
      <x:c r="O399" s="54">
        <x:f>(H399+0)</x:f>
      </x:c>
      <x:c r="P399" s="43"/>
      <x:c r="Q399" s="55">
        <x:f>(K399+M399+O399)</x:f>
      </x:c>
      <x:c r="R399" s="56">
        <x:f>(((L399*7)+(N399*1)+(P399*0))/8)</x:f>
      </x:c>
      <x:c r="S399" s="47">
        <x:f>(180*(Ventas!AE408*0.9644) - IF(K399&gt;0,K399,0))</x:f>
      </x:c>
      <x:c r="T399" s="47">
        <x:f>IF(S399&gt;0,S399,0)</x:f>
      </x:c>
      <x:c r="U399" s="40"/>
      <x:c r="V399" s="40"/>
      <x:c r="W399" s="43"/>
      <x:c r="X399" s="43"/>
      <x:c r="Y399" s="47">
        <x:f>IF(K399&gt;0,K399+IF(T399&gt;0,T399,0),T399)</x:f>
      </x:c>
      <x:c r="Z399" s="40"/>
      <x:c r="AA399" s="43"/>
      <x:c r="AB399" s="6"/>
      <x:c r="AC399" s="6"/>
      <x:c r="AD399" s="40"/>
      <x:c r="AE399" s="40"/>
      <x:c r="AF399" s="43"/>
      <x:c r="AG399" s="43"/>
      <x:c r="AH399" s="6"/>
      <x:c r="AI399" s="6"/>
      <x:c r="AJ399" s="40"/>
      <x:c r="AK399" s="40"/>
      <x:c r="AL399" s="43"/>
      <x:c r="AM399" s="43"/>
      <x:c r="AN399" s="55">
        <x:f>(IF(AH399&gt;0,AH399,0)+IF(AJ399&gt;0,AJ399,0)+IF(AL399&gt;0,AL399,0))</x:f>
      </x:c>
      <x:c r="AO399" s="56">
        <x:f>(((AI399*7)+(AK399*1)+(AM399*1))/8)</x:f>
      </x:c>
      <x:c r="AP399" s="4" t="s">
        <x:v>35</x:v>
      </x:c>
    </x:row>
    <x:row r="400">
      <x:c r="A400" s="4" t="s">
        <x:v>1238</x:v>
      </x:c>
      <x:c r="B400" s="4" t="s">
        <x:v>1237</x:v>
      </x:c>
      <x:c r="C400" s="38" t="s">
        <x:v>1236</x:v>
      </x:c>
      <x:c r="D400" s="41"/>
      <x:c r="E400" s="44"/>
      <x:c r="F400" s="6"/>
      <x:c r="G400" s="40"/>
      <x:c r="H400" s="43"/>
      <x:c r="I400" s="45">
        <x:v>46313</x:v>
      </x:c>
      <x:c r="J400" s="46">
        <x:v>81</x:v>
      </x:c>
      <x:c r="K400" s="47">
        <x:f>(F400-(0)+0-(J400*Ventas!AE409*1.0556))</x:f>
      </x:c>
      <x:c r="L400" s="6"/>
      <x:c r="M400" s="51">
        <x:f>(G400+0)</x:f>
      </x:c>
      <x:c r="N400" s="40"/>
      <x:c r="O400" s="54">
        <x:f>(H400+0)</x:f>
      </x:c>
      <x:c r="P400" s="43"/>
      <x:c r="Q400" s="55">
        <x:f>(K400+M400+O400)</x:f>
      </x:c>
      <x:c r="R400" s="56">
        <x:f>(((L400*7)+(N400*1)+(P400*0))/8)</x:f>
      </x:c>
      <x:c r="S400" s="47">
        <x:f>(180*(Ventas!AE409*0.9644) - IF(K400&gt;0,K400,0))</x:f>
      </x:c>
      <x:c r="T400" s="47">
        <x:f>IF(S400&gt;0,S400,0)</x:f>
      </x:c>
      <x:c r="U400" s="40"/>
      <x:c r="V400" s="40"/>
      <x:c r="W400" s="43"/>
      <x:c r="X400" s="43"/>
      <x:c r="Y400" s="47">
        <x:f>IF(K400&gt;0,K400+IF(T400&gt;0,T400,0),T400)</x:f>
      </x:c>
      <x:c r="Z400" s="40"/>
      <x:c r="AA400" s="43"/>
      <x:c r="AB400" s="6"/>
      <x:c r="AC400" s="6"/>
      <x:c r="AD400" s="40"/>
      <x:c r="AE400" s="40"/>
      <x:c r="AF400" s="43"/>
      <x:c r="AG400" s="43"/>
      <x:c r="AH400" s="6"/>
      <x:c r="AI400" s="6"/>
      <x:c r="AJ400" s="40"/>
      <x:c r="AK400" s="40"/>
      <x:c r="AL400" s="43"/>
      <x:c r="AM400" s="43"/>
      <x:c r="AN400" s="55">
        <x:f>(IF(AH400&gt;0,AH400,0)+IF(AJ400&gt;0,AJ400,0)+IF(AL400&gt;0,AL400,0))</x:f>
      </x:c>
      <x:c r="AO400" s="56">
        <x:f>(((AI400*7)+(AK400*1)+(AM400*1))/8)</x:f>
      </x:c>
      <x:c r="AP400" s="4" t="s">
        <x:v>35</x:v>
      </x:c>
    </x:row>
    <x:row r="401">
      <x:c r="A401" s="4" t="s">
        <x:v>1241</x:v>
      </x:c>
      <x:c r="B401" s="4" t="s">
        <x:v>1240</x:v>
      </x:c>
      <x:c r="C401" s="38" t="s">
        <x:v>1239</x:v>
      </x:c>
      <x:c r="D401" s="41"/>
      <x:c r="E401" s="44"/>
      <x:c r="F401" s="6"/>
      <x:c r="G401" s="40"/>
      <x:c r="H401" s="43"/>
      <x:c r="I401" s="45">
        <x:v>46313</x:v>
      </x:c>
      <x:c r="J401" s="46">
        <x:v>81</x:v>
      </x:c>
      <x:c r="K401" s="47">
        <x:f>(F401-(0)+0-(J401*Ventas!AE410*1.0556))</x:f>
      </x:c>
      <x:c r="L401" s="6"/>
      <x:c r="M401" s="51">
        <x:f>(G401+0)</x:f>
      </x:c>
      <x:c r="N401" s="40"/>
      <x:c r="O401" s="54">
        <x:f>(H401+0)</x:f>
      </x:c>
      <x:c r="P401" s="43"/>
      <x:c r="Q401" s="55">
        <x:f>(K401+M401+O401)</x:f>
      </x:c>
      <x:c r="R401" s="56">
        <x:f>(((L401*7)+(N401*1)+(P401*0))/8)</x:f>
      </x:c>
      <x:c r="S401" s="47">
        <x:f>(180*(Ventas!AE410*0.9644) - IF(K401&gt;0,K401,0))</x:f>
      </x:c>
      <x:c r="T401" s="47">
        <x:f>IF(S401&gt;0,S401,0)</x:f>
      </x:c>
      <x:c r="U401" s="40"/>
      <x:c r="V401" s="40"/>
      <x:c r="W401" s="43"/>
      <x:c r="X401" s="43"/>
      <x:c r="Y401" s="47">
        <x:f>IF(K401&gt;0,K401+IF(T401&gt;0,T401,0),T401)</x:f>
      </x:c>
      <x:c r="Z401" s="40"/>
      <x:c r="AA401" s="43"/>
      <x:c r="AB401" s="6"/>
      <x:c r="AC401" s="6"/>
      <x:c r="AD401" s="40"/>
      <x:c r="AE401" s="40"/>
      <x:c r="AF401" s="43"/>
      <x:c r="AG401" s="43"/>
      <x:c r="AH401" s="6"/>
      <x:c r="AI401" s="6"/>
      <x:c r="AJ401" s="40"/>
      <x:c r="AK401" s="40"/>
      <x:c r="AL401" s="43"/>
      <x:c r="AM401" s="43"/>
      <x:c r="AN401" s="55">
        <x:f>(IF(AH401&gt;0,AH401,0)+IF(AJ401&gt;0,AJ401,0)+IF(AL401&gt;0,AL401,0))</x:f>
      </x:c>
      <x:c r="AO401" s="56">
        <x:f>(((AI401*7)+(AK401*1)+(AM401*1))/8)</x:f>
      </x:c>
      <x:c r="AP401" s="4" t="s">
        <x:v>35</x:v>
      </x:c>
    </x:row>
    <x:row r="402">
      <x:c r="A402" s="4" t="s">
        <x:v>1244</x:v>
      </x:c>
      <x:c r="B402" s="4" t="s">
        <x:v>1243</x:v>
      </x:c>
      <x:c r="C402" s="38" t="s">
        <x:v>1242</x:v>
      </x:c>
      <x:c r="D402" s="41"/>
      <x:c r="E402" s="44"/>
      <x:c r="F402" s="6"/>
      <x:c r="G402" s="40"/>
      <x:c r="H402" s="43"/>
      <x:c r="I402" s="45">
        <x:v>46313</x:v>
      </x:c>
      <x:c r="J402" s="46">
        <x:v>81</x:v>
      </x:c>
      <x:c r="K402" s="47">
        <x:f>(F402-(0)+0-(J402*Ventas!AE411*1.0556))</x:f>
      </x:c>
      <x:c r="L402" s="6"/>
      <x:c r="M402" s="51">
        <x:f>(G402+0)</x:f>
      </x:c>
      <x:c r="N402" s="40"/>
      <x:c r="O402" s="54">
        <x:f>(H402+0)</x:f>
      </x:c>
      <x:c r="P402" s="43"/>
      <x:c r="Q402" s="55">
        <x:f>(K402+M402+O402)</x:f>
      </x:c>
      <x:c r="R402" s="56">
        <x:f>(((L402*7)+(N402*1)+(P402*0))/8)</x:f>
      </x:c>
      <x:c r="S402" s="47">
        <x:f>(180*(Ventas!AE411*0.9644) - IF(K402&gt;0,K402,0))</x:f>
      </x:c>
      <x:c r="T402" s="47">
        <x:f>IF(S402&gt;0,S402,0)</x:f>
      </x:c>
      <x:c r="U402" s="40"/>
      <x:c r="V402" s="40"/>
      <x:c r="W402" s="43"/>
      <x:c r="X402" s="43"/>
      <x:c r="Y402" s="47">
        <x:f>IF(K402&gt;0,K402+IF(T402&gt;0,T402,0),T402)</x:f>
      </x:c>
      <x:c r="Z402" s="40"/>
      <x:c r="AA402" s="43"/>
      <x:c r="AB402" s="6"/>
      <x:c r="AC402" s="6"/>
      <x:c r="AD402" s="40"/>
      <x:c r="AE402" s="40"/>
      <x:c r="AF402" s="43"/>
      <x:c r="AG402" s="43"/>
      <x:c r="AH402" s="6"/>
      <x:c r="AI402" s="6"/>
      <x:c r="AJ402" s="40"/>
      <x:c r="AK402" s="40"/>
      <x:c r="AL402" s="43"/>
      <x:c r="AM402" s="43"/>
      <x:c r="AN402" s="55">
        <x:f>(IF(AH402&gt;0,AH402,0)+IF(AJ402&gt;0,AJ402,0)+IF(AL402&gt;0,AL402,0))</x:f>
      </x:c>
      <x:c r="AO402" s="56">
        <x:f>(((AI402*7)+(AK402*1)+(AM402*1))/8)</x:f>
      </x:c>
      <x:c r="AP402" s="4" t="s">
        <x:v>35</x:v>
      </x:c>
    </x:row>
    <x:row r="403">
      <x:c r="A403" s="4" t="s">
        <x:v>1247</x:v>
      </x:c>
      <x:c r="B403" s="4" t="s">
        <x:v>1246</x:v>
      </x:c>
      <x:c r="C403" s="38" t="s">
        <x:v>1245</x:v>
      </x:c>
      <x:c r="D403" s="41"/>
      <x:c r="E403" s="44"/>
      <x:c r="F403" s="6"/>
      <x:c r="G403" s="40"/>
      <x:c r="H403" s="43"/>
      <x:c r="I403" s="45">
        <x:v>46313</x:v>
      </x:c>
      <x:c r="J403" s="46">
        <x:v>81</x:v>
      </x:c>
      <x:c r="K403" s="47">
        <x:f>(F403-(0)+0-(J403*Ventas!AE412*1.0556))</x:f>
      </x:c>
      <x:c r="L403" s="6"/>
      <x:c r="M403" s="51">
        <x:f>(G403+0)</x:f>
      </x:c>
      <x:c r="N403" s="40"/>
      <x:c r="O403" s="54">
        <x:f>(H403+0)</x:f>
      </x:c>
      <x:c r="P403" s="43"/>
      <x:c r="Q403" s="55">
        <x:f>(K403+M403+O403)</x:f>
      </x:c>
      <x:c r="R403" s="56">
        <x:f>(((L403*7)+(N403*1)+(P403*0))/8)</x:f>
      </x:c>
      <x:c r="S403" s="47">
        <x:f>(180*(Ventas!AE412*0.9644) - IF(K403&gt;0,K403,0))</x:f>
      </x:c>
      <x:c r="T403" s="47">
        <x:f>IF(S403&gt;0,S403,0)</x:f>
      </x:c>
      <x:c r="U403" s="40"/>
      <x:c r="V403" s="40"/>
      <x:c r="W403" s="43"/>
      <x:c r="X403" s="43"/>
      <x:c r="Y403" s="47">
        <x:f>IF(K403&gt;0,K403+IF(T403&gt;0,T403,0),T403)</x:f>
      </x:c>
      <x:c r="Z403" s="40"/>
      <x:c r="AA403" s="43"/>
      <x:c r="AB403" s="6"/>
      <x:c r="AC403" s="6"/>
      <x:c r="AD403" s="40"/>
      <x:c r="AE403" s="40"/>
      <x:c r="AF403" s="43"/>
      <x:c r="AG403" s="43"/>
      <x:c r="AH403" s="6"/>
      <x:c r="AI403" s="6"/>
      <x:c r="AJ403" s="40"/>
      <x:c r="AK403" s="40"/>
      <x:c r="AL403" s="43"/>
      <x:c r="AM403" s="43"/>
      <x:c r="AN403" s="55">
        <x:f>(IF(AH403&gt;0,AH403,0)+IF(AJ403&gt;0,AJ403,0)+IF(AL403&gt;0,AL403,0))</x:f>
      </x:c>
      <x:c r="AO403" s="56">
        <x:f>(((AI403*7)+(AK403*1)+(AM403*1))/8)</x:f>
      </x:c>
      <x:c r="AP403" s="4" t="s">
        <x:v>35</x:v>
      </x:c>
    </x:row>
    <x:row r="404">
      <x:c r="A404" s="4" t="s">
        <x:v>1250</x:v>
      </x:c>
      <x:c r="B404" s="4" t="s">
        <x:v>1249</x:v>
      </x:c>
      <x:c r="C404" s="38" t="s">
        <x:v>1248</x:v>
      </x:c>
      <x:c r="D404" s="41"/>
      <x:c r="E404" s="44"/>
      <x:c r="F404" s="6"/>
      <x:c r="G404" s="40"/>
      <x:c r="H404" s="43"/>
      <x:c r="I404" s="45">
        <x:v>46313</x:v>
      </x:c>
      <x:c r="J404" s="46">
        <x:v>81</x:v>
      </x:c>
      <x:c r="K404" s="47">
        <x:f>(F404-(0)+0-(J404*Ventas!AE413*1.0556))</x:f>
      </x:c>
      <x:c r="L404" s="6"/>
      <x:c r="M404" s="51">
        <x:f>(G404+0)</x:f>
      </x:c>
      <x:c r="N404" s="40"/>
      <x:c r="O404" s="54">
        <x:f>(H404+0)</x:f>
      </x:c>
      <x:c r="P404" s="43"/>
      <x:c r="Q404" s="55">
        <x:f>(K404+M404+O404)</x:f>
      </x:c>
      <x:c r="R404" s="56">
        <x:f>(((L404*7)+(N404*1)+(P404*0))/8)</x:f>
      </x:c>
      <x:c r="S404" s="47">
        <x:f>(180*(Ventas!AE413*0.9644) - IF(K404&gt;0,K404,0))</x:f>
      </x:c>
      <x:c r="T404" s="47">
        <x:f>IF(S404&gt;0,S404,0)</x:f>
      </x:c>
      <x:c r="U404" s="40"/>
      <x:c r="V404" s="40"/>
      <x:c r="W404" s="43"/>
      <x:c r="X404" s="43"/>
      <x:c r="Y404" s="47">
        <x:f>IF(K404&gt;0,K404+IF(T404&gt;0,T404,0),T404)</x:f>
      </x:c>
      <x:c r="Z404" s="40"/>
      <x:c r="AA404" s="43"/>
      <x:c r="AB404" s="6"/>
      <x:c r="AC404" s="6"/>
      <x:c r="AD404" s="40"/>
      <x:c r="AE404" s="40"/>
      <x:c r="AF404" s="43"/>
      <x:c r="AG404" s="43"/>
      <x:c r="AH404" s="6"/>
      <x:c r="AI404" s="6"/>
      <x:c r="AJ404" s="40"/>
      <x:c r="AK404" s="40"/>
      <x:c r="AL404" s="43"/>
      <x:c r="AM404" s="43"/>
      <x:c r="AN404" s="55">
        <x:f>(IF(AH404&gt;0,AH404,0)+IF(AJ404&gt;0,AJ404,0)+IF(AL404&gt;0,AL404,0))</x:f>
      </x:c>
      <x:c r="AO404" s="56">
        <x:f>(((AI404*7)+(AK404*1)+(AM404*1))/8)</x:f>
      </x:c>
      <x:c r="AP404" s="4" t="s">
        <x:v>35</x:v>
      </x:c>
    </x:row>
    <x:row r="405">
      <x:c r="A405" s="4" t="s">
        <x:v>1253</x:v>
      </x:c>
      <x:c r="B405" s="4" t="s">
        <x:v>1252</x:v>
      </x:c>
      <x:c r="C405" s="38" t="s">
        <x:v>1251</x:v>
      </x:c>
      <x:c r="D405" s="41"/>
      <x:c r="E405" s="44"/>
      <x:c r="F405" s="6"/>
      <x:c r="G405" s="40"/>
      <x:c r="H405" s="43"/>
      <x:c r="I405" s="45">
        <x:v>46313</x:v>
      </x:c>
      <x:c r="J405" s="46">
        <x:v>81</x:v>
      </x:c>
      <x:c r="K405" s="47">
        <x:f>(F405-(0)+0-(J405*Ventas!AE414*1.0556))</x:f>
      </x:c>
      <x:c r="L405" s="6"/>
      <x:c r="M405" s="51">
        <x:f>(G405+0)</x:f>
      </x:c>
      <x:c r="N405" s="40"/>
      <x:c r="O405" s="54">
        <x:f>(H405+0)</x:f>
      </x:c>
      <x:c r="P405" s="43"/>
      <x:c r="Q405" s="55">
        <x:f>(K405+M405+O405)</x:f>
      </x:c>
      <x:c r="R405" s="56">
        <x:f>(((L405*7)+(N405*1)+(P405*0))/8)</x:f>
      </x:c>
      <x:c r="S405" s="47">
        <x:f>(180*(Ventas!AE414*0.9644) - IF(K405&gt;0,K405,0))</x:f>
      </x:c>
      <x:c r="T405" s="47">
        <x:f>IF(S405&gt;0,S405,0)</x:f>
      </x:c>
      <x:c r="U405" s="40"/>
      <x:c r="V405" s="40"/>
      <x:c r="W405" s="43"/>
      <x:c r="X405" s="43"/>
      <x:c r="Y405" s="47">
        <x:f>IF(K405&gt;0,K405+IF(T405&gt;0,T405,0),T405)</x:f>
      </x:c>
      <x:c r="Z405" s="40"/>
      <x:c r="AA405" s="43"/>
      <x:c r="AB405" s="6"/>
      <x:c r="AC405" s="6"/>
      <x:c r="AD405" s="40"/>
      <x:c r="AE405" s="40"/>
      <x:c r="AF405" s="43"/>
      <x:c r="AG405" s="43"/>
      <x:c r="AH405" s="6"/>
      <x:c r="AI405" s="6"/>
      <x:c r="AJ405" s="40"/>
      <x:c r="AK405" s="40"/>
      <x:c r="AL405" s="43"/>
      <x:c r="AM405" s="43"/>
      <x:c r="AN405" s="55">
        <x:f>(IF(AH405&gt;0,AH405,0)+IF(AJ405&gt;0,AJ405,0)+IF(AL405&gt;0,AL405,0))</x:f>
      </x:c>
      <x:c r="AO405" s="56">
        <x:f>(((AI405*7)+(AK405*1)+(AM405*1))/8)</x:f>
      </x:c>
      <x:c r="AP405" s="4" t="s">
        <x:v>35</x:v>
      </x:c>
    </x:row>
    <x:row r="406">
      <x:c r="A406" s="4" t="s">
        <x:v>1256</x:v>
      </x:c>
      <x:c r="B406" s="4" t="s">
        <x:v>1255</x:v>
      </x:c>
      <x:c r="C406" s="38" t="s">
        <x:v>1254</x:v>
      </x:c>
      <x:c r="D406" s="41"/>
      <x:c r="E406" s="44"/>
      <x:c r="F406" s="6"/>
      <x:c r="G406" s="40"/>
      <x:c r="H406" s="43"/>
      <x:c r="I406" s="45">
        <x:v>46313</x:v>
      </x:c>
      <x:c r="J406" s="46">
        <x:v>81</x:v>
      </x:c>
      <x:c r="K406" s="47">
        <x:f>(F406-(0)+0-(J406*Ventas!AE415*1.0556))</x:f>
      </x:c>
      <x:c r="L406" s="6"/>
      <x:c r="M406" s="51">
        <x:f>(G406+0)</x:f>
      </x:c>
      <x:c r="N406" s="40"/>
      <x:c r="O406" s="54">
        <x:f>(H406+0)</x:f>
      </x:c>
      <x:c r="P406" s="43"/>
      <x:c r="Q406" s="55">
        <x:f>(K406+M406+O406)</x:f>
      </x:c>
      <x:c r="R406" s="56">
        <x:f>(((L406*7)+(N406*1)+(P406*0))/8)</x:f>
      </x:c>
      <x:c r="S406" s="47">
        <x:f>(180*(Ventas!AE415*0.9644) - IF(K406&gt;0,K406,0))</x:f>
      </x:c>
      <x:c r="T406" s="47">
        <x:f>IF(S406&gt;0,S406,0)</x:f>
      </x:c>
      <x:c r="U406" s="40"/>
      <x:c r="V406" s="40"/>
      <x:c r="W406" s="43"/>
      <x:c r="X406" s="43"/>
      <x:c r="Y406" s="47">
        <x:f>IF(K406&gt;0,K406+IF(T406&gt;0,T406,0),T406)</x:f>
      </x:c>
      <x:c r="Z406" s="40"/>
      <x:c r="AA406" s="43"/>
      <x:c r="AB406" s="6"/>
      <x:c r="AC406" s="6"/>
      <x:c r="AD406" s="40"/>
      <x:c r="AE406" s="40"/>
      <x:c r="AF406" s="43"/>
      <x:c r="AG406" s="43"/>
      <x:c r="AH406" s="6"/>
      <x:c r="AI406" s="6"/>
      <x:c r="AJ406" s="40"/>
      <x:c r="AK406" s="40"/>
      <x:c r="AL406" s="43"/>
      <x:c r="AM406" s="43"/>
      <x:c r="AN406" s="55">
        <x:f>(IF(AH406&gt;0,AH406,0)+IF(AJ406&gt;0,AJ406,0)+IF(AL406&gt;0,AL406,0))</x:f>
      </x:c>
      <x:c r="AO406" s="56">
        <x:f>(((AI406*7)+(AK406*1)+(AM406*1))/8)</x:f>
      </x:c>
      <x:c r="AP406" s="4" t="s">
        <x:v>35</x:v>
      </x:c>
    </x:row>
    <x:row r="407">
      <x:c r="A407" s="4" t="s">
        <x:v>1259</x:v>
      </x:c>
      <x:c r="B407" s="4" t="s">
        <x:v>1258</x:v>
      </x:c>
      <x:c r="C407" s="38" t="s">
        <x:v>1257</x:v>
      </x:c>
      <x:c r="D407" s="41"/>
      <x:c r="E407" s="44"/>
      <x:c r="F407" s="6"/>
      <x:c r="G407" s="40"/>
      <x:c r="H407" s="43"/>
      <x:c r="I407" s="45">
        <x:v>46313</x:v>
      </x:c>
      <x:c r="J407" s="46">
        <x:v>81</x:v>
      </x:c>
      <x:c r="K407" s="47">
        <x:f>(F407-(0)+0-(J407*Ventas!AE416*1.0556))</x:f>
      </x:c>
      <x:c r="L407" s="6"/>
      <x:c r="M407" s="51">
        <x:f>(G407+0)</x:f>
      </x:c>
      <x:c r="N407" s="40"/>
      <x:c r="O407" s="54">
        <x:f>(H407+0)</x:f>
      </x:c>
      <x:c r="P407" s="43"/>
      <x:c r="Q407" s="55">
        <x:f>(K407+M407+O407)</x:f>
      </x:c>
      <x:c r="R407" s="56">
        <x:f>(((L407*7)+(N407*1)+(P407*0))/8)</x:f>
      </x:c>
      <x:c r="S407" s="47">
        <x:f>(180*(Ventas!AE416*0.9644) - IF(K407&gt;0,K407,0))</x:f>
      </x:c>
      <x:c r="T407" s="47">
        <x:f>IF(S407&gt;0,S407,0)</x:f>
      </x:c>
      <x:c r="U407" s="40"/>
      <x:c r="V407" s="40"/>
      <x:c r="W407" s="43"/>
      <x:c r="X407" s="43"/>
      <x:c r="Y407" s="47">
        <x:f>IF(K407&gt;0,K407+IF(T407&gt;0,T407,0),T407)</x:f>
      </x:c>
      <x:c r="Z407" s="40"/>
      <x:c r="AA407" s="43"/>
      <x:c r="AB407" s="6"/>
      <x:c r="AC407" s="6"/>
      <x:c r="AD407" s="40"/>
      <x:c r="AE407" s="40"/>
      <x:c r="AF407" s="43"/>
      <x:c r="AG407" s="43"/>
      <x:c r="AH407" s="6"/>
      <x:c r="AI407" s="6"/>
      <x:c r="AJ407" s="40"/>
      <x:c r="AK407" s="40"/>
      <x:c r="AL407" s="43"/>
      <x:c r="AM407" s="43"/>
      <x:c r="AN407" s="55">
        <x:f>(IF(AH407&gt;0,AH407,0)+IF(AJ407&gt;0,AJ407,0)+IF(AL407&gt;0,AL407,0))</x:f>
      </x:c>
      <x:c r="AO407" s="56">
        <x:f>(((AI407*7)+(AK407*1)+(AM407*1))/8)</x:f>
      </x:c>
      <x:c r="AP407" s="4" t="s">
        <x:v>35</x:v>
      </x:c>
    </x:row>
    <x:row r="408">
      <x:c r="A408" s="4" t="s">
        <x:v>1262</x:v>
      </x:c>
      <x:c r="B408" s="4" t="s">
        <x:v>1261</x:v>
      </x:c>
      <x:c r="C408" s="38" t="s">
        <x:v>1260</x:v>
      </x:c>
      <x:c r="D408" s="41"/>
      <x:c r="E408" s="44"/>
      <x:c r="F408" s="6"/>
      <x:c r="G408" s="40"/>
      <x:c r="H408" s="43"/>
      <x:c r="I408" s="45">
        <x:v>46313</x:v>
      </x:c>
      <x:c r="J408" s="46">
        <x:v>81</x:v>
      </x:c>
      <x:c r="K408" s="47">
        <x:f>(F408-(0)+0-(J408*Ventas!AE417*1.0556))</x:f>
      </x:c>
      <x:c r="L408" s="6"/>
      <x:c r="M408" s="51">
        <x:f>(G408+0)</x:f>
      </x:c>
      <x:c r="N408" s="40"/>
      <x:c r="O408" s="54">
        <x:f>(H408+0)</x:f>
      </x:c>
      <x:c r="P408" s="43"/>
      <x:c r="Q408" s="55">
        <x:f>(K408+M408+O408)</x:f>
      </x:c>
      <x:c r="R408" s="56">
        <x:f>(((L408*7)+(N408*1)+(P408*0))/8)</x:f>
      </x:c>
      <x:c r="S408" s="47">
        <x:f>(180*(Ventas!AE417*0.9644) - IF(K408&gt;0,K408,0))</x:f>
      </x:c>
      <x:c r="T408" s="47">
        <x:f>IF(S408&gt;0,S408,0)</x:f>
      </x:c>
      <x:c r="U408" s="40"/>
      <x:c r="V408" s="40"/>
      <x:c r="W408" s="43"/>
      <x:c r="X408" s="43"/>
      <x:c r="Y408" s="47">
        <x:f>IF(K408&gt;0,K408+IF(T408&gt;0,T408,0),T408)</x:f>
      </x:c>
      <x:c r="Z408" s="40"/>
      <x:c r="AA408" s="43"/>
      <x:c r="AB408" s="6"/>
      <x:c r="AC408" s="6"/>
      <x:c r="AD408" s="40"/>
      <x:c r="AE408" s="40"/>
      <x:c r="AF408" s="43"/>
      <x:c r="AG408" s="43"/>
      <x:c r="AH408" s="6"/>
      <x:c r="AI408" s="6"/>
      <x:c r="AJ408" s="40"/>
      <x:c r="AK408" s="40"/>
      <x:c r="AL408" s="43"/>
      <x:c r="AM408" s="43"/>
      <x:c r="AN408" s="55">
        <x:f>(IF(AH408&gt;0,AH408,0)+IF(AJ408&gt;0,AJ408,0)+IF(AL408&gt;0,AL408,0))</x:f>
      </x:c>
      <x:c r="AO408" s="56">
        <x:f>(((AI408*7)+(AK408*1)+(AM408*1))/8)</x:f>
      </x:c>
      <x:c r="AP408" s="4" t="s">
        <x:v>35</x:v>
      </x:c>
    </x:row>
    <x:row r="409">
      <x:c r="A409" s="4" t="s">
        <x:v>1265</x:v>
      </x:c>
      <x:c r="B409" s="4" t="s">
        <x:v>1264</x:v>
      </x:c>
      <x:c r="C409" s="38" t="s">
        <x:v>1263</x:v>
      </x:c>
      <x:c r="D409" s="41"/>
      <x:c r="E409" s="44"/>
      <x:c r="F409" s="6"/>
      <x:c r="G409" s="40"/>
      <x:c r="H409" s="43"/>
      <x:c r="I409" s="45">
        <x:v>46313</x:v>
      </x:c>
      <x:c r="J409" s="46">
        <x:v>81</x:v>
      </x:c>
      <x:c r="K409" s="47">
        <x:f>(F409-(0)+0-(J409*Ventas!AE418*1.0556))</x:f>
      </x:c>
      <x:c r="L409" s="6"/>
      <x:c r="M409" s="51">
        <x:f>(G409+0)</x:f>
      </x:c>
      <x:c r="N409" s="40"/>
      <x:c r="O409" s="54">
        <x:f>(H409+0)</x:f>
      </x:c>
      <x:c r="P409" s="43"/>
      <x:c r="Q409" s="55">
        <x:f>(K409+M409+O409)</x:f>
      </x:c>
      <x:c r="R409" s="56">
        <x:f>(((L409*7)+(N409*1)+(P409*0))/8)</x:f>
      </x:c>
      <x:c r="S409" s="47">
        <x:f>(180*(Ventas!AE418*0.9644) - IF(K409&gt;0,K409,0))</x:f>
      </x:c>
      <x:c r="T409" s="47">
        <x:f>IF(S409&gt;0,S409,0)</x:f>
      </x:c>
      <x:c r="U409" s="40"/>
      <x:c r="V409" s="40"/>
      <x:c r="W409" s="43"/>
      <x:c r="X409" s="43"/>
      <x:c r="Y409" s="47">
        <x:f>IF(K409&gt;0,K409+IF(T409&gt;0,T409,0),T409)</x:f>
      </x:c>
      <x:c r="Z409" s="40"/>
      <x:c r="AA409" s="43"/>
      <x:c r="AB409" s="6"/>
      <x:c r="AC409" s="6"/>
      <x:c r="AD409" s="40"/>
      <x:c r="AE409" s="40"/>
      <x:c r="AF409" s="43"/>
      <x:c r="AG409" s="43"/>
      <x:c r="AH409" s="6"/>
      <x:c r="AI409" s="6"/>
      <x:c r="AJ409" s="40"/>
      <x:c r="AK409" s="40"/>
      <x:c r="AL409" s="43"/>
      <x:c r="AM409" s="43"/>
      <x:c r="AN409" s="55">
        <x:f>(IF(AH409&gt;0,AH409,0)+IF(AJ409&gt;0,AJ409,0)+IF(AL409&gt;0,AL409,0))</x:f>
      </x:c>
      <x:c r="AO409" s="56">
        <x:f>(((AI409*7)+(AK409*1)+(AM409*1))/8)</x:f>
      </x:c>
      <x:c r="AP409" s="4" t="s">
        <x:v>35</x:v>
      </x:c>
    </x:row>
    <x:row r="410">
      <x:c r="A410" s="4" t="s">
        <x:v>1268</x:v>
      </x:c>
      <x:c r="B410" s="4" t="s">
        <x:v>1267</x:v>
      </x:c>
      <x:c r="C410" s="38" t="s">
        <x:v>1266</x:v>
      </x:c>
      <x:c r="D410" s="41"/>
      <x:c r="E410" s="44"/>
      <x:c r="F410" s="6"/>
      <x:c r="G410" s="40"/>
      <x:c r="H410" s="43"/>
      <x:c r="I410" s="45">
        <x:v>46313</x:v>
      </x:c>
      <x:c r="J410" s="46">
        <x:v>81</x:v>
      </x:c>
      <x:c r="K410" s="47">
        <x:f>(F410-(0)+0-(J410*Ventas!AE419*1.0556))</x:f>
      </x:c>
      <x:c r="L410" s="6"/>
      <x:c r="M410" s="51">
        <x:f>(G410+0)</x:f>
      </x:c>
      <x:c r="N410" s="40"/>
      <x:c r="O410" s="54">
        <x:f>(H410+0)</x:f>
      </x:c>
      <x:c r="P410" s="43"/>
      <x:c r="Q410" s="55">
        <x:f>(K410+M410+O410)</x:f>
      </x:c>
      <x:c r="R410" s="56">
        <x:f>(((L410*7)+(N410*1)+(P410*0))/8)</x:f>
      </x:c>
      <x:c r="S410" s="47">
        <x:f>(180*(Ventas!AE419*0.9644) - IF(K410&gt;0,K410,0))</x:f>
      </x:c>
      <x:c r="T410" s="47">
        <x:f>IF(S410&gt;0,S410,0)</x:f>
      </x:c>
      <x:c r="U410" s="40"/>
      <x:c r="V410" s="40"/>
      <x:c r="W410" s="43"/>
      <x:c r="X410" s="43"/>
      <x:c r="Y410" s="47">
        <x:f>IF(K410&gt;0,K410+IF(T410&gt;0,T410,0),T410)</x:f>
      </x:c>
      <x:c r="Z410" s="40"/>
      <x:c r="AA410" s="43"/>
      <x:c r="AB410" s="6"/>
      <x:c r="AC410" s="6"/>
      <x:c r="AD410" s="40"/>
      <x:c r="AE410" s="40"/>
      <x:c r="AF410" s="43"/>
      <x:c r="AG410" s="43"/>
      <x:c r="AH410" s="6"/>
      <x:c r="AI410" s="6"/>
      <x:c r="AJ410" s="40"/>
      <x:c r="AK410" s="40"/>
      <x:c r="AL410" s="43"/>
      <x:c r="AM410" s="43"/>
      <x:c r="AN410" s="55">
        <x:f>(IF(AH410&gt;0,AH410,0)+IF(AJ410&gt;0,AJ410,0)+IF(AL410&gt;0,AL410,0))</x:f>
      </x:c>
      <x:c r="AO410" s="56">
        <x:f>(((AI410*7)+(AK410*1)+(AM410*1))/8)</x:f>
      </x:c>
      <x:c r="AP410" s="4" t="s">
        <x:v>35</x:v>
      </x:c>
    </x:row>
    <x:row r="411">
      <x:c r="A411" s="4" t="s">
        <x:v>1271</x:v>
      </x:c>
      <x:c r="B411" s="4" t="s">
        <x:v>1270</x:v>
      </x:c>
      <x:c r="C411" s="38" t="s">
        <x:v>1269</x:v>
      </x:c>
      <x:c r="D411" s="41"/>
      <x:c r="E411" s="44"/>
      <x:c r="F411" s="6"/>
      <x:c r="G411" s="40"/>
      <x:c r="H411" s="43"/>
      <x:c r="I411" s="45">
        <x:v>46313</x:v>
      </x:c>
      <x:c r="J411" s="46">
        <x:v>81</x:v>
      </x:c>
      <x:c r="K411" s="47">
        <x:f>(F411-(0)+0-(J411*Ventas!AE420*1.0556))</x:f>
      </x:c>
      <x:c r="L411" s="6"/>
      <x:c r="M411" s="51">
        <x:f>(G411+0)</x:f>
      </x:c>
      <x:c r="N411" s="40"/>
      <x:c r="O411" s="54">
        <x:f>(H411+0)</x:f>
      </x:c>
      <x:c r="P411" s="43"/>
      <x:c r="Q411" s="55">
        <x:f>(K411+M411+O411)</x:f>
      </x:c>
      <x:c r="R411" s="56">
        <x:f>(((L411*7)+(N411*1)+(P411*0))/8)</x:f>
      </x:c>
      <x:c r="S411" s="47">
        <x:f>(180*(Ventas!AE420*0.9644) - IF(K411&gt;0,K411,0))</x:f>
      </x:c>
      <x:c r="T411" s="47">
        <x:f>IF(S411&gt;0,S411,0)</x:f>
      </x:c>
      <x:c r="U411" s="40"/>
      <x:c r="V411" s="40"/>
      <x:c r="W411" s="43"/>
      <x:c r="X411" s="43"/>
      <x:c r="Y411" s="47">
        <x:f>IF(K411&gt;0,K411+IF(T411&gt;0,T411,0),T411)</x:f>
      </x:c>
      <x:c r="Z411" s="40"/>
      <x:c r="AA411" s="43"/>
      <x:c r="AB411" s="6"/>
      <x:c r="AC411" s="6"/>
      <x:c r="AD411" s="40"/>
      <x:c r="AE411" s="40"/>
      <x:c r="AF411" s="43"/>
      <x:c r="AG411" s="43"/>
      <x:c r="AH411" s="6"/>
      <x:c r="AI411" s="6"/>
      <x:c r="AJ411" s="40"/>
      <x:c r="AK411" s="40"/>
      <x:c r="AL411" s="43"/>
      <x:c r="AM411" s="43"/>
      <x:c r="AN411" s="55">
        <x:f>(IF(AH411&gt;0,AH411,0)+IF(AJ411&gt;0,AJ411,0)+IF(AL411&gt;0,AL411,0))</x:f>
      </x:c>
      <x:c r="AO411" s="56">
        <x:f>(((AI411*7)+(AK411*1)+(AM411*1))/8)</x:f>
      </x:c>
      <x:c r="AP411" s="4" t="s">
        <x:v>35</x:v>
      </x:c>
    </x:row>
    <x:row r="412">
      <x:c r="A412" s="4" t="s">
        <x:v>1274</x:v>
      </x:c>
      <x:c r="B412" s="4" t="s">
        <x:v>1273</x:v>
      </x:c>
      <x:c r="C412" s="38" t="s">
        <x:v>1272</x:v>
      </x:c>
      <x:c r="D412" s="41"/>
      <x:c r="E412" s="44"/>
      <x:c r="F412" s="6"/>
      <x:c r="G412" s="40"/>
      <x:c r="H412" s="43"/>
      <x:c r="I412" s="45">
        <x:v>46313</x:v>
      </x:c>
      <x:c r="J412" s="46">
        <x:v>81</x:v>
      </x:c>
      <x:c r="K412" s="47">
        <x:f>(F412-(0)+0-(J412*Ventas!AE421*1.0556))</x:f>
      </x:c>
      <x:c r="L412" s="6"/>
      <x:c r="M412" s="51">
        <x:f>(G412+0)</x:f>
      </x:c>
      <x:c r="N412" s="40"/>
      <x:c r="O412" s="54">
        <x:f>(H412+0)</x:f>
      </x:c>
      <x:c r="P412" s="43"/>
      <x:c r="Q412" s="55">
        <x:f>(K412+M412+O412)</x:f>
      </x:c>
      <x:c r="R412" s="56">
        <x:f>(((L412*7)+(N412*1)+(P412*0))/8)</x:f>
      </x:c>
      <x:c r="S412" s="47">
        <x:f>(180*(Ventas!AE421*0.9644) - IF(K412&gt;0,K412,0))</x:f>
      </x:c>
      <x:c r="T412" s="47">
        <x:f>IF(S412&gt;0,S412,0)</x:f>
      </x:c>
      <x:c r="U412" s="40"/>
      <x:c r="V412" s="40"/>
      <x:c r="W412" s="43"/>
      <x:c r="X412" s="43"/>
      <x:c r="Y412" s="47">
        <x:f>IF(K412&gt;0,K412+IF(T412&gt;0,T412,0),T412)</x:f>
      </x:c>
      <x:c r="Z412" s="40"/>
      <x:c r="AA412" s="43"/>
      <x:c r="AB412" s="6"/>
      <x:c r="AC412" s="6"/>
      <x:c r="AD412" s="40"/>
      <x:c r="AE412" s="40"/>
      <x:c r="AF412" s="43"/>
      <x:c r="AG412" s="43"/>
      <x:c r="AH412" s="6"/>
      <x:c r="AI412" s="6"/>
      <x:c r="AJ412" s="40"/>
      <x:c r="AK412" s="40"/>
      <x:c r="AL412" s="43"/>
      <x:c r="AM412" s="43"/>
      <x:c r="AN412" s="55">
        <x:f>(IF(AH412&gt;0,AH412,0)+IF(AJ412&gt;0,AJ412,0)+IF(AL412&gt;0,AL412,0))</x:f>
      </x:c>
      <x:c r="AO412" s="56">
        <x:f>(((AI412*7)+(AK412*1)+(AM412*1))/8)</x:f>
      </x:c>
      <x:c r="AP412" s="4" t="s">
        <x:v>35</x:v>
      </x:c>
    </x:row>
    <x:row r="413">
      <x:c r="A413" s="4" t="s">
        <x:v>1277</x:v>
      </x:c>
      <x:c r="B413" s="4" t="s">
        <x:v>1276</x:v>
      </x:c>
      <x:c r="C413" s="38" t="s">
        <x:v>1275</x:v>
      </x:c>
      <x:c r="D413" s="41"/>
      <x:c r="E413" s="44"/>
      <x:c r="F413" s="6"/>
      <x:c r="G413" s="40"/>
      <x:c r="H413" s="43"/>
      <x:c r="I413" s="45">
        <x:v>46313</x:v>
      </x:c>
      <x:c r="J413" s="46">
        <x:v>81</x:v>
      </x:c>
      <x:c r="K413" s="47">
        <x:f>(F413-(0)+0-(J413*Ventas!AE422*1.0556))</x:f>
      </x:c>
      <x:c r="L413" s="6"/>
      <x:c r="M413" s="51">
        <x:f>(G413+0)</x:f>
      </x:c>
      <x:c r="N413" s="40"/>
      <x:c r="O413" s="54">
        <x:f>(H413+0)</x:f>
      </x:c>
      <x:c r="P413" s="43"/>
      <x:c r="Q413" s="55">
        <x:f>(K413+M413+O413)</x:f>
      </x:c>
      <x:c r="R413" s="56">
        <x:f>(((L413*7)+(N413*1)+(P413*0))/8)</x:f>
      </x:c>
      <x:c r="S413" s="47">
        <x:f>(180*(Ventas!AE422*0.9644) - IF(K413&gt;0,K413,0))</x:f>
      </x:c>
      <x:c r="T413" s="47">
        <x:f>IF(S413&gt;0,S413,0)</x:f>
      </x:c>
      <x:c r="U413" s="40"/>
      <x:c r="V413" s="40"/>
      <x:c r="W413" s="43"/>
      <x:c r="X413" s="43"/>
      <x:c r="Y413" s="47">
        <x:f>IF(K413&gt;0,K413+IF(T413&gt;0,T413,0),T413)</x:f>
      </x:c>
      <x:c r="Z413" s="40"/>
      <x:c r="AA413" s="43"/>
      <x:c r="AB413" s="6"/>
      <x:c r="AC413" s="6"/>
      <x:c r="AD413" s="40"/>
      <x:c r="AE413" s="40"/>
      <x:c r="AF413" s="43"/>
      <x:c r="AG413" s="43"/>
      <x:c r="AH413" s="6"/>
      <x:c r="AI413" s="6"/>
      <x:c r="AJ413" s="40"/>
      <x:c r="AK413" s="40"/>
      <x:c r="AL413" s="43"/>
      <x:c r="AM413" s="43"/>
      <x:c r="AN413" s="55">
        <x:f>(IF(AH413&gt;0,AH413,0)+IF(AJ413&gt;0,AJ413,0)+IF(AL413&gt;0,AL413,0))</x:f>
      </x:c>
      <x:c r="AO413" s="56">
        <x:f>(((AI413*7)+(AK413*1)+(AM413*1))/8)</x:f>
      </x:c>
      <x:c r="AP413" s="4" t="s">
        <x:v>35</x:v>
      </x:c>
    </x:row>
    <x:row r="414">
      <x:c r="A414" s="4" t="s">
        <x:v>1280</x:v>
      </x:c>
      <x:c r="B414" s="4" t="s">
        <x:v>1279</x:v>
      </x:c>
      <x:c r="C414" s="38" t="s">
        <x:v>1278</x:v>
      </x:c>
      <x:c r="D414" s="41"/>
      <x:c r="E414" s="44"/>
      <x:c r="F414" s="6"/>
      <x:c r="G414" s="40"/>
      <x:c r="H414" s="43"/>
      <x:c r="I414" s="45">
        <x:v>46313</x:v>
      </x:c>
      <x:c r="J414" s="46">
        <x:v>81</x:v>
      </x:c>
      <x:c r="K414" s="47">
        <x:f>(F414-(0)+0-(J414*Ventas!AE423*1.0556))</x:f>
      </x:c>
      <x:c r="L414" s="6"/>
      <x:c r="M414" s="51">
        <x:f>(G414+0)</x:f>
      </x:c>
      <x:c r="N414" s="40"/>
      <x:c r="O414" s="54">
        <x:f>(H414+0)</x:f>
      </x:c>
      <x:c r="P414" s="43"/>
      <x:c r="Q414" s="55">
        <x:f>(K414+M414+O414)</x:f>
      </x:c>
      <x:c r="R414" s="56">
        <x:f>(((L414*7)+(N414*1)+(P414*0))/8)</x:f>
      </x:c>
      <x:c r="S414" s="47">
        <x:f>(180*(Ventas!AE423*0.9644) - IF(K414&gt;0,K414,0))</x:f>
      </x:c>
      <x:c r="T414" s="47">
        <x:f>IF(S414&gt;0,S414,0)</x:f>
      </x:c>
      <x:c r="U414" s="40"/>
      <x:c r="V414" s="40"/>
      <x:c r="W414" s="43"/>
      <x:c r="X414" s="43"/>
      <x:c r="Y414" s="47">
        <x:f>IF(K414&gt;0,K414+IF(T414&gt;0,T414,0),T414)</x:f>
      </x:c>
      <x:c r="Z414" s="40"/>
      <x:c r="AA414" s="43"/>
      <x:c r="AB414" s="6"/>
      <x:c r="AC414" s="6"/>
      <x:c r="AD414" s="40"/>
      <x:c r="AE414" s="40"/>
      <x:c r="AF414" s="43"/>
      <x:c r="AG414" s="43"/>
      <x:c r="AH414" s="6"/>
      <x:c r="AI414" s="6"/>
      <x:c r="AJ414" s="40"/>
      <x:c r="AK414" s="40"/>
      <x:c r="AL414" s="43"/>
      <x:c r="AM414" s="43"/>
      <x:c r="AN414" s="55">
        <x:f>(IF(AH414&gt;0,AH414,0)+IF(AJ414&gt;0,AJ414,0)+IF(AL414&gt;0,AL414,0))</x:f>
      </x:c>
      <x:c r="AO414" s="56">
        <x:f>(((AI414*7)+(AK414*1)+(AM414*1))/8)</x:f>
      </x:c>
      <x:c r="AP414" s="4" t="s">
        <x:v>35</x:v>
      </x:c>
    </x:row>
    <x:row r="415">
      <x:c r="A415" s="4" t="s">
        <x:v>1283</x:v>
      </x:c>
      <x:c r="B415" s="4" t="s">
        <x:v>1282</x:v>
      </x:c>
      <x:c r="C415" s="38" t="s">
        <x:v>1281</x:v>
      </x:c>
      <x:c r="D415" s="41"/>
      <x:c r="E415" s="44"/>
      <x:c r="F415" s="8">
        <x:v>1</x:v>
      </x:c>
      <x:c r="G415" s="40"/>
      <x:c r="H415" s="43"/>
      <x:c r="I415" s="45">
        <x:v>46313</x:v>
      </x:c>
      <x:c r="J415" s="46">
        <x:v>81</x:v>
      </x:c>
      <x:c r="K415" s="47">
        <x:f>(F415-(0)+0-(J415*Ventas!AE424*1.0556))</x:f>
      </x:c>
      <x:c r="L415" s="6"/>
      <x:c r="M415" s="51">
        <x:f>(G415+0)</x:f>
      </x:c>
      <x:c r="N415" s="40"/>
      <x:c r="O415" s="54">
        <x:f>(H415+0)</x:f>
      </x:c>
      <x:c r="P415" s="43"/>
      <x:c r="Q415" s="55">
        <x:f>(K415+M415+O415)</x:f>
      </x:c>
      <x:c r="R415" s="56">
        <x:f>(((L415*7)+(N415*1)+(P415*0))/8)</x:f>
      </x:c>
      <x:c r="S415" s="47">
        <x:f>(180*(Ventas!AE424*0.9644) - IF(K415&gt;0,K415,0))</x:f>
      </x:c>
      <x:c r="T415" s="47">
        <x:f>IF(S415&gt;0,S415,0)</x:f>
      </x:c>
      <x:c r="U415" s="40"/>
      <x:c r="V415" s="40"/>
      <x:c r="W415" s="43"/>
      <x:c r="X415" s="43"/>
      <x:c r="Y415" s="47">
        <x:f>IF(K415&gt;0,K415+IF(T415&gt;0,T415,0),T415)</x:f>
      </x:c>
      <x:c r="Z415" s="40"/>
      <x:c r="AA415" s="43"/>
      <x:c r="AB415" s="6"/>
      <x:c r="AC415" s="6"/>
      <x:c r="AD415" s="40"/>
      <x:c r="AE415" s="40"/>
      <x:c r="AF415" s="43"/>
      <x:c r="AG415" s="43"/>
      <x:c r="AH415" s="6"/>
      <x:c r="AI415" s="6"/>
      <x:c r="AJ415" s="40"/>
      <x:c r="AK415" s="40"/>
      <x:c r="AL415" s="43"/>
      <x:c r="AM415" s="43"/>
      <x:c r="AN415" s="55">
        <x:f>(IF(AH415&gt;0,AH415,0)+IF(AJ415&gt;0,AJ415,0)+IF(AL415&gt;0,AL415,0))</x:f>
      </x:c>
      <x:c r="AO415" s="56">
        <x:f>(((AI415*7)+(AK415*1)+(AM415*1))/8)</x:f>
      </x:c>
      <x:c r="AP415" s="4" t="s">
        <x:v>35</x:v>
      </x:c>
    </x:row>
    <x:row r="416">
      <x:c r="A416" s="4" t="s">
        <x:v>1286</x:v>
      </x:c>
      <x:c r="B416" s="4" t="s">
        <x:v>1285</x:v>
      </x:c>
      <x:c r="C416" s="38" t="s">
        <x:v>1284</x:v>
      </x:c>
      <x:c r="D416" s="41"/>
      <x:c r="E416" s="44"/>
      <x:c r="F416" s="6"/>
      <x:c r="G416" s="40"/>
      <x:c r="H416" s="43"/>
      <x:c r="I416" s="45">
        <x:v>46313</x:v>
      </x:c>
      <x:c r="J416" s="46">
        <x:v>81</x:v>
      </x:c>
      <x:c r="K416" s="47">
        <x:f>(F416-(0)+0-(J416*Ventas!AE425*1.0556))</x:f>
      </x:c>
      <x:c r="L416" s="6"/>
      <x:c r="M416" s="51">
        <x:f>(G416+0)</x:f>
      </x:c>
      <x:c r="N416" s="40"/>
      <x:c r="O416" s="54">
        <x:f>(H416+0)</x:f>
      </x:c>
      <x:c r="P416" s="43"/>
      <x:c r="Q416" s="55">
        <x:f>(K416+M416+O416)</x:f>
      </x:c>
      <x:c r="R416" s="56">
        <x:f>(((L416*7)+(N416*1)+(P416*0))/8)</x:f>
      </x:c>
      <x:c r="S416" s="47">
        <x:f>(180*(Ventas!AE425*0.9644) - IF(K416&gt;0,K416,0))</x:f>
      </x:c>
      <x:c r="T416" s="47">
        <x:f>IF(S416&gt;0,S416,0)</x:f>
      </x:c>
      <x:c r="U416" s="40"/>
      <x:c r="V416" s="40"/>
      <x:c r="W416" s="43"/>
      <x:c r="X416" s="43"/>
      <x:c r="Y416" s="47">
        <x:f>IF(K416&gt;0,K416+IF(T416&gt;0,T416,0),T416)</x:f>
      </x:c>
      <x:c r="Z416" s="40"/>
      <x:c r="AA416" s="43"/>
      <x:c r="AB416" s="6"/>
      <x:c r="AC416" s="6"/>
      <x:c r="AD416" s="40"/>
      <x:c r="AE416" s="40"/>
      <x:c r="AF416" s="43"/>
      <x:c r="AG416" s="43"/>
      <x:c r="AH416" s="6"/>
      <x:c r="AI416" s="6"/>
      <x:c r="AJ416" s="40"/>
      <x:c r="AK416" s="40"/>
      <x:c r="AL416" s="43"/>
      <x:c r="AM416" s="43"/>
      <x:c r="AN416" s="55">
        <x:f>(IF(AH416&gt;0,AH416,0)+IF(AJ416&gt;0,AJ416,0)+IF(AL416&gt;0,AL416,0))</x:f>
      </x:c>
      <x:c r="AO416" s="56">
        <x:f>(((AI416*7)+(AK416*1)+(AM416*1))/8)</x:f>
      </x:c>
      <x:c r="AP416" s="4" t="s">
        <x:v>35</x:v>
      </x:c>
    </x:row>
    <x:row r="417">
      <x:c r="A417" s="4" t="s">
        <x:v>1289</x:v>
      </x:c>
      <x:c r="B417" s="4" t="s">
        <x:v>1288</x:v>
      </x:c>
      <x:c r="C417" s="38" t="s">
        <x:v>1287</x:v>
      </x:c>
      <x:c r="D417" s="41"/>
      <x:c r="E417" s="44"/>
      <x:c r="F417" s="6"/>
      <x:c r="G417" s="40"/>
      <x:c r="H417" s="43"/>
      <x:c r="I417" s="45">
        <x:v>46313</x:v>
      </x:c>
      <x:c r="J417" s="46">
        <x:v>81</x:v>
      </x:c>
      <x:c r="K417" s="47">
        <x:f>(F417-(0)+0-(J417*Ventas!AE426*1.0556))</x:f>
      </x:c>
      <x:c r="L417" s="6"/>
      <x:c r="M417" s="51">
        <x:f>(G417+0)</x:f>
      </x:c>
      <x:c r="N417" s="40"/>
      <x:c r="O417" s="54">
        <x:f>(H417+0)</x:f>
      </x:c>
      <x:c r="P417" s="43"/>
      <x:c r="Q417" s="55">
        <x:f>(K417+M417+O417)</x:f>
      </x:c>
      <x:c r="R417" s="56">
        <x:f>(((L417*7)+(N417*1)+(P417*0))/8)</x:f>
      </x:c>
      <x:c r="S417" s="47">
        <x:f>(180*(Ventas!AE426*0.9644) - IF(K417&gt;0,K417,0))</x:f>
      </x:c>
      <x:c r="T417" s="47">
        <x:f>IF(S417&gt;0,S417,0)</x:f>
      </x:c>
      <x:c r="U417" s="40"/>
      <x:c r="V417" s="40"/>
      <x:c r="W417" s="43"/>
      <x:c r="X417" s="43"/>
      <x:c r="Y417" s="47">
        <x:f>IF(K417&gt;0,K417+IF(T417&gt;0,T417,0),T417)</x:f>
      </x:c>
      <x:c r="Z417" s="40"/>
      <x:c r="AA417" s="43"/>
      <x:c r="AB417" s="6"/>
      <x:c r="AC417" s="6"/>
      <x:c r="AD417" s="40"/>
      <x:c r="AE417" s="40"/>
      <x:c r="AF417" s="43"/>
      <x:c r="AG417" s="43"/>
      <x:c r="AH417" s="6"/>
      <x:c r="AI417" s="6"/>
      <x:c r="AJ417" s="40"/>
      <x:c r="AK417" s="40"/>
      <x:c r="AL417" s="43"/>
      <x:c r="AM417" s="43"/>
      <x:c r="AN417" s="55">
        <x:f>(IF(AH417&gt;0,AH417,0)+IF(AJ417&gt;0,AJ417,0)+IF(AL417&gt;0,AL417,0))</x:f>
      </x:c>
      <x:c r="AO417" s="56">
        <x:f>(((AI417*7)+(AK417*1)+(AM417*1))/8)</x:f>
      </x:c>
      <x:c r="AP417" s="4" t="s">
        <x:v>35</x:v>
      </x:c>
    </x:row>
    <x:row r="418">
      <x:c r="A418" s="4" t="s">
        <x:v>1292</x:v>
      </x:c>
      <x:c r="B418" s="4" t="s">
        <x:v>1291</x:v>
      </x:c>
      <x:c r="C418" s="38" t="s">
        <x:v>1290</x:v>
      </x:c>
      <x:c r="D418" s="41"/>
      <x:c r="E418" s="44"/>
      <x:c r="F418" s="6"/>
      <x:c r="G418" s="40"/>
      <x:c r="H418" s="43"/>
      <x:c r="I418" s="45">
        <x:v>46313</x:v>
      </x:c>
      <x:c r="J418" s="46">
        <x:v>81</x:v>
      </x:c>
      <x:c r="K418" s="47">
        <x:f>(F418-(0)+0-(J418*Ventas!AE427*1.0556))</x:f>
      </x:c>
      <x:c r="L418" s="6"/>
      <x:c r="M418" s="51">
        <x:f>(G418+0)</x:f>
      </x:c>
      <x:c r="N418" s="40"/>
      <x:c r="O418" s="54">
        <x:f>(H418+0)</x:f>
      </x:c>
      <x:c r="P418" s="43"/>
      <x:c r="Q418" s="55">
        <x:f>(K418+M418+O418)</x:f>
      </x:c>
      <x:c r="R418" s="56">
        <x:f>(((L418*7)+(N418*1)+(P418*0))/8)</x:f>
      </x:c>
      <x:c r="S418" s="47">
        <x:f>(180*(Ventas!AE427*0.9644) - IF(K418&gt;0,K418,0))</x:f>
      </x:c>
      <x:c r="T418" s="47">
        <x:f>IF(S418&gt;0,S418,0)</x:f>
      </x:c>
      <x:c r="U418" s="40"/>
      <x:c r="V418" s="40"/>
      <x:c r="W418" s="43"/>
      <x:c r="X418" s="43"/>
      <x:c r="Y418" s="47">
        <x:f>IF(K418&gt;0,K418+IF(T418&gt;0,T418,0),T418)</x:f>
      </x:c>
      <x:c r="Z418" s="40"/>
      <x:c r="AA418" s="43"/>
      <x:c r="AB418" s="6"/>
      <x:c r="AC418" s="6"/>
      <x:c r="AD418" s="40"/>
      <x:c r="AE418" s="40"/>
      <x:c r="AF418" s="43"/>
      <x:c r="AG418" s="43"/>
      <x:c r="AH418" s="6"/>
      <x:c r="AI418" s="6"/>
      <x:c r="AJ418" s="40"/>
      <x:c r="AK418" s="40"/>
      <x:c r="AL418" s="43"/>
      <x:c r="AM418" s="43"/>
      <x:c r="AN418" s="55">
        <x:f>(IF(AH418&gt;0,AH418,0)+IF(AJ418&gt;0,AJ418,0)+IF(AL418&gt;0,AL418,0))</x:f>
      </x:c>
      <x:c r="AO418" s="56">
        <x:f>(((AI418*7)+(AK418*1)+(AM418*1))/8)</x:f>
      </x:c>
      <x:c r="AP418" s="4" t="s">
        <x:v>35</x:v>
      </x:c>
    </x:row>
    <x:row r="419">
      <x:c r="A419" s="4" t="s">
        <x:v>1295</x:v>
      </x:c>
      <x:c r="B419" s="4" t="s">
        <x:v>1294</x:v>
      </x:c>
      <x:c r="C419" s="38" t="s">
        <x:v>1293</x:v>
      </x:c>
      <x:c r="D419" s="41"/>
      <x:c r="E419" s="44"/>
      <x:c r="F419" s="6"/>
      <x:c r="G419" s="40"/>
      <x:c r="H419" s="43"/>
      <x:c r="I419" s="45">
        <x:v>46313</x:v>
      </x:c>
      <x:c r="J419" s="46">
        <x:v>81</x:v>
      </x:c>
      <x:c r="K419" s="47">
        <x:f>(F419-(0)+0-(J419*Ventas!AE428*1.0556))</x:f>
      </x:c>
      <x:c r="L419" s="6"/>
      <x:c r="M419" s="51">
        <x:f>(G419+0)</x:f>
      </x:c>
      <x:c r="N419" s="40"/>
      <x:c r="O419" s="54">
        <x:f>(H419+0)</x:f>
      </x:c>
      <x:c r="P419" s="43"/>
      <x:c r="Q419" s="55">
        <x:f>(K419+M419+O419)</x:f>
      </x:c>
      <x:c r="R419" s="56">
        <x:f>(((L419*7)+(N419*1)+(P419*0))/8)</x:f>
      </x:c>
      <x:c r="S419" s="47">
        <x:f>(180*(Ventas!AE428*0.9644) - IF(K419&gt;0,K419,0))</x:f>
      </x:c>
      <x:c r="T419" s="47">
        <x:f>IF(S419&gt;0,S419,0)</x:f>
      </x:c>
      <x:c r="U419" s="40"/>
      <x:c r="V419" s="40"/>
      <x:c r="W419" s="43"/>
      <x:c r="X419" s="43"/>
      <x:c r="Y419" s="47">
        <x:f>IF(K419&gt;0,K419+IF(T419&gt;0,T419,0),T419)</x:f>
      </x:c>
      <x:c r="Z419" s="40"/>
      <x:c r="AA419" s="43"/>
      <x:c r="AB419" s="6"/>
      <x:c r="AC419" s="6"/>
      <x:c r="AD419" s="40"/>
      <x:c r="AE419" s="40"/>
      <x:c r="AF419" s="43"/>
      <x:c r="AG419" s="43"/>
      <x:c r="AH419" s="6"/>
      <x:c r="AI419" s="6"/>
      <x:c r="AJ419" s="40"/>
      <x:c r="AK419" s="40"/>
      <x:c r="AL419" s="43"/>
      <x:c r="AM419" s="43"/>
      <x:c r="AN419" s="55">
        <x:f>(IF(AH419&gt;0,AH419,0)+IF(AJ419&gt;0,AJ419,0)+IF(AL419&gt;0,AL419,0))</x:f>
      </x:c>
      <x:c r="AO419" s="56">
        <x:f>(((AI419*7)+(AK419*1)+(AM419*1))/8)</x:f>
      </x:c>
      <x:c r="AP419" s="4" t="s">
        <x:v>35</x:v>
      </x:c>
    </x:row>
    <x:row r="420">
      <x:c r="A420" s="4" t="s">
        <x:v>1298</x:v>
      </x:c>
      <x:c r="B420" s="4" t="s">
        <x:v>1297</x:v>
      </x:c>
      <x:c r="C420" s="38" t="s">
        <x:v>1296</x:v>
      </x:c>
      <x:c r="D420" s="41"/>
      <x:c r="E420" s="44"/>
      <x:c r="F420" s="6"/>
      <x:c r="G420" s="40"/>
      <x:c r="H420" s="43"/>
      <x:c r="I420" s="45">
        <x:v>46313</x:v>
      </x:c>
      <x:c r="J420" s="46">
        <x:v>81</x:v>
      </x:c>
      <x:c r="K420" s="47">
        <x:f>(F420-(0)+0-(J420*Ventas!AE429*1.0556))</x:f>
      </x:c>
      <x:c r="L420" s="6"/>
      <x:c r="M420" s="51">
        <x:f>(G420+0)</x:f>
      </x:c>
      <x:c r="N420" s="40"/>
      <x:c r="O420" s="54">
        <x:f>(H420+0)</x:f>
      </x:c>
      <x:c r="P420" s="43"/>
      <x:c r="Q420" s="55">
        <x:f>(K420+M420+O420)</x:f>
      </x:c>
      <x:c r="R420" s="56">
        <x:f>(((L420*7)+(N420*1)+(P420*0))/8)</x:f>
      </x:c>
      <x:c r="S420" s="47">
        <x:f>(180*(Ventas!AE429*0.9644) - IF(K420&gt;0,K420,0))</x:f>
      </x:c>
      <x:c r="T420" s="47">
        <x:f>IF(S420&gt;0,S420,0)</x:f>
      </x:c>
      <x:c r="U420" s="40"/>
      <x:c r="V420" s="40"/>
      <x:c r="W420" s="43"/>
      <x:c r="X420" s="43"/>
      <x:c r="Y420" s="47">
        <x:f>IF(K420&gt;0,K420+IF(T420&gt;0,T420,0),T420)</x:f>
      </x:c>
      <x:c r="Z420" s="40"/>
      <x:c r="AA420" s="43"/>
      <x:c r="AB420" s="6"/>
      <x:c r="AC420" s="6"/>
      <x:c r="AD420" s="40"/>
      <x:c r="AE420" s="40"/>
      <x:c r="AF420" s="43"/>
      <x:c r="AG420" s="43"/>
      <x:c r="AH420" s="6"/>
      <x:c r="AI420" s="6"/>
      <x:c r="AJ420" s="40"/>
      <x:c r="AK420" s="40"/>
      <x:c r="AL420" s="43"/>
      <x:c r="AM420" s="43"/>
      <x:c r="AN420" s="55">
        <x:f>(IF(AH420&gt;0,AH420,0)+IF(AJ420&gt;0,AJ420,0)+IF(AL420&gt;0,AL420,0))</x:f>
      </x:c>
      <x:c r="AO420" s="56">
        <x:f>(((AI420*7)+(AK420*1)+(AM420*1))/8)</x:f>
      </x:c>
      <x:c r="AP420" s="4" t="s">
        <x:v>35</x:v>
      </x:c>
    </x:row>
    <x:row r="421">
      <x:c r="A421" s="4" t="s">
        <x:v>1301</x:v>
      </x:c>
      <x:c r="B421" s="4" t="s">
        <x:v>1300</x:v>
      </x:c>
      <x:c r="C421" s="38" t="s">
        <x:v>1299</x:v>
      </x:c>
      <x:c r="D421" s="41"/>
      <x:c r="E421" s="44"/>
      <x:c r="F421" s="6"/>
      <x:c r="G421" s="40"/>
      <x:c r="H421" s="43"/>
      <x:c r="I421" s="45">
        <x:v>46313</x:v>
      </x:c>
      <x:c r="J421" s="46">
        <x:v>81</x:v>
      </x:c>
      <x:c r="K421" s="47">
        <x:f>(F421-(0)+0-(J421*Ventas!AE430*1.0556))</x:f>
      </x:c>
      <x:c r="L421" s="6"/>
      <x:c r="M421" s="51">
        <x:f>(G421+0)</x:f>
      </x:c>
      <x:c r="N421" s="40"/>
      <x:c r="O421" s="54">
        <x:f>(H421+0)</x:f>
      </x:c>
      <x:c r="P421" s="43"/>
      <x:c r="Q421" s="55">
        <x:f>(K421+M421+O421)</x:f>
      </x:c>
      <x:c r="R421" s="56">
        <x:f>(((L421*7)+(N421*1)+(P421*0))/8)</x:f>
      </x:c>
      <x:c r="S421" s="47">
        <x:f>(180*(Ventas!AE430*0.9644) - IF(K421&gt;0,K421,0))</x:f>
      </x:c>
      <x:c r="T421" s="47">
        <x:f>IF(S421&gt;0,S421,0)</x:f>
      </x:c>
      <x:c r="U421" s="40"/>
      <x:c r="V421" s="40"/>
      <x:c r="W421" s="43"/>
      <x:c r="X421" s="43"/>
      <x:c r="Y421" s="47">
        <x:f>IF(K421&gt;0,K421+IF(T421&gt;0,T421,0),T421)</x:f>
      </x:c>
      <x:c r="Z421" s="40"/>
      <x:c r="AA421" s="43"/>
      <x:c r="AB421" s="6"/>
      <x:c r="AC421" s="6"/>
      <x:c r="AD421" s="40"/>
      <x:c r="AE421" s="40"/>
      <x:c r="AF421" s="43"/>
      <x:c r="AG421" s="43"/>
      <x:c r="AH421" s="6"/>
      <x:c r="AI421" s="6"/>
      <x:c r="AJ421" s="40"/>
      <x:c r="AK421" s="40"/>
      <x:c r="AL421" s="43"/>
      <x:c r="AM421" s="43"/>
      <x:c r="AN421" s="55">
        <x:f>(IF(AH421&gt;0,AH421,0)+IF(AJ421&gt;0,AJ421,0)+IF(AL421&gt;0,AL421,0))</x:f>
      </x:c>
      <x:c r="AO421" s="56">
        <x:f>(((AI421*7)+(AK421*1)+(AM421*1))/8)</x:f>
      </x:c>
      <x:c r="AP421" s="4" t="s">
        <x:v>35</x:v>
      </x:c>
    </x:row>
    <x:row r="422">
      <x:c r="A422" s="4" t="s">
        <x:v>1304</x:v>
      </x:c>
      <x:c r="B422" s="4" t="s">
        <x:v>1303</x:v>
      </x:c>
      <x:c r="C422" s="38" t="s">
        <x:v>1302</x:v>
      </x:c>
      <x:c r="D422" s="41"/>
      <x:c r="E422" s="44"/>
      <x:c r="F422" s="6"/>
      <x:c r="G422" s="40"/>
      <x:c r="H422" s="43"/>
      <x:c r="I422" s="45">
        <x:v>46313</x:v>
      </x:c>
      <x:c r="J422" s="46">
        <x:v>81</x:v>
      </x:c>
      <x:c r="K422" s="47">
        <x:f>(F422-(0)+0-(J422*Ventas!AE431*1.0556))</x:f>
      </x:c>
      <x:c r="L422" s="6"/>
      <x:c r="M422" s="51">
        <x:f>(G422+0)</x:f>
      </x:c>
      <x:c r="N422" s="40"/>
      <x:c r="O422" s="54">
        <x:f>(H422+0)</x:f>
      </x:c>
      <x:c r="P422" s="43"/>
      <x:c r="Q422" s="55">
        <x:f>(K422+M422+O422)</x:f>
      </x:c>
      <x:c r="R422" s="56">
        <x:f>(((L422*7)+(N422*1)+(P422*0))/8)</x:f>
      </x:c>
      <x:c r="S422" s="47">
        <x:f>(180*(Ventas!AE431*0.9644) - IF(K422&gt;0,K422,0))</x:f>
      </x:c>
      <x:c r="T422" s="47">
        <x:f>IF(S422&gt;0,S422,0)</x:f>
      </x:c>
      <x:c r="U422" s="40"/>
      <x:c r="V422" s="40"/>
      <x:c r="W422" s="43"/>
      <x:c r="X422" s="43"/>
      <x:c r="Y422" s="47">
        <x:f>IF(K422&gt;0,K422+IF(T422&gt;0,T422,0),T422)</x:f>
      </x:c>
      <x:c r="Z422" s="40"/>
      <x:c r="AA422" s="43"/>
      <x:c r="AB422" s="6"/>
      <x:c r="AC422" s="6"/>
      <x:c r="AD422" s="40"/>
      <x:c r="AE422" s="40"/>
      <x:c r="AF422" s="43"/>
      <x:c r="AG422" s="43"/>
      <x:c r="AH422" s="6"/>
      <x:c r="AI422" s="6"/>
      <x:c r="AJ422" s="40"/>
      <x:c r="AK422" s="40"/>
      <x:c r="AL422" s="43"/>
      <x:c r="AM422" s="43"/>
      <x:c r="AN422" s="55">
        <x:f>(IF(AH422&gt;0,AH422,0)+IF(AJ422&gt;0,AJ422,0)+IF(AL422&gt;0,AL422,0))</x:f>
      </x:c>
      <x:c r="AO422" s="56">
        <x:f>(((AI422*7)+(AK422*1)+(AM422*1))/8)</x:f>
      </x:c>
      <x:c r="AP422" s="4" t="s">
        <x:v>35</x:v>
      </x:c>
    </x:row>
    <x:row r="423">
      <x:c r="A423" s="4" t="s">
        <x:v>1307</x:v>
      </x:c>
      <x:c r="B423" s="4" t="s">
        <x:v>1306</x:v>
      </x:c>
      <x:c r="C423" s="38" t="s">
        <x:v>1305</x:v>
      </x:c>
      <x:c r="D423" s="41"/>
      <x:c r="E423" s="44"/>
      <x:c r="F423" s="6"/>
      <x:c r="G423" s="40"/>
      <x:c r="H423" s="43"/>
      <x:c r="I423" s="45">
        <x:v>46313</x:v>
      </x:c>
      <x:c r="J423" s="46">
        <x:v>81</x:v>
      </x:c>
      <x:c r="K423" s="47">
        <x:f>(F423-(0)+0-(J423*Ventas!AE432*1.0556))</x:f>
      </x:c>
      <x:c r="L423" s="6"/>
      <x:c r="M423" s="51">
        <x:f>(G423+0)</x:f>
      </x:c>
      <x:c r="N423" s="40"/>
      <x:c r="O423" s="54">
        <x:f>(H423+0)</x:f>
      </x:c>
      <x:c r="P423" s="43"/>
      <x:c r="Q423" s="55">
        <x:f>(K423+M423+O423)</x:f>
      </x:c>
      <x:c r="R423" s="56">
        <x:f>(((L423*7)+(N423*1)+(P423*0))/8)</x:f>
      </x:c>
      <x:c r="S423" s="47">
        <x:f>(180*(Ventas!AE432*0.9644) - IF(K423&gt;0,K423,0))</x:f>
      </x:c>
      <x:c r="T423" s="47">
        <x:f>IF(S423&gt;0,S423,0)</x:f>
      </x:c>
      <x:c r="U423" s="40"/>
      <x:c r="V423" s="40"/>
      <x:c r="W423" s="43"/>
      <x:c r="X423" s="43"/>
      <x:c r="Y423" s="47">
        <x:f>IF(K423&gt;0,K423+IF(T423&gt;0,T423,0),T423)</x:f>
      </x:c>
      <x:c r="Z423" s="40"/>
      <x:c r="AA423" s="43"/>
      <x:c r="AB423" s="6"/>
      <x:c r="AC423" s="6"/>
      <x:c r="AD423" s="40"/>
      <x:c r="AE423" s="40"/>
      <x:c r="AF423" s="43"/>
      <x:c r="AG423" s="43"/>
      <x:c r="AH423" s="6"/>
      <x:c r="AI423" s="6"/>
      <x:c r="AJ423" s="40"/>
      <x:c r="AK423" s="40"/>
      <x:c r="AL423" s="43"/>
      <x:c r="AM423" s="43"/>
      <x:c r="AN423" s="55">
        <x:f>(IF(AH423&gt;0,AH423,0)+IF(AJ423&gt;0,AJ423,0)+IF(AL423&gt;0,AL423,0))</x:f>
      </x:c>
      <x:c r="AO423" s="56">
        <x:f>(((AI423*7)+(AK423*1)+(AM423*1))/8)</x:f>
      </x:c>
      <x:c r="AP423" s="4" t="s">
        <x:v>35</x:v>
      </x:c>
    </x:row>
    <x:row r="424">
      <x:c r="A424" s="4" t="s">
        <x:v>1310</x:v>
      </x:c>
      <x:c r="B424" s="4" t="s">
        <x:v>1309</x:v>
      </x:c>
      <x:c r="C424" s="38" t="s">
        <x:v>1308</x:v>
      </x:c>
      <x:c r="D424" s="41"/>
      <x:c r="E424" s="44"/>
      <x:c r="F424" s="6"/>
      <x:c r="G424" s="40"/>
      <x:c r="H424" s="43"/>
      <x:c r="I424" s="45">
        <x:v>46313</x:v>
      </x:c>
      <x:c r="J424" s="46">
        <x:v>81</x:v>
      </x:c>
      <x:c r="K424" s="47">
        <x:f>(F424-(0)+0-(J424*Ventas!AE433*1.0556))</x:f>
      </x:c>
      <x:c r="L424" s="6"/>
      <x:c r="M424" s="51">
        <x:f>(G424+0)</x:f>
      </x:c>
      <x:c r="N424" s="40"/>
      <x:c r="O424" s="54">
        <x:f>(H424+0)</x:f>
      </x:c>
      <x:c r="P424" s="43"/>
      <x:c r="Q424" s="55">
        <x:f>(K424+M424+O424)</x:f>
      </x:c>
      <x:c r="R424" s="56">
        <x:f>(((L424*7)+(N424*1)+(P424*0))/8)</x:f>
      </x:c>
      <x:c r="S424" s="47">
        <x:f>(180*(Ventas!AE433*0.9644) - IF(K424&gt;0,K424,0))</x:f>
      </x:c>
      <x:c r="T424" s="47">
        <x:f>IF(S424&gt;0,S424,0)</x:f>
      </x:c>
      <x:c r="U424" s="40"/>
      <x:c r="V424" s="40"/>
      <x:c r="W424" s="43"/>
      <x:c r="X424" s="43"/>
      <x:c r="Y424" s="47">
        <x:f>IF(K424&gt;0,K424+IF(T424&gt;0,T424,0),T424)</x:f>
      </x:c>
      <x:c r="Z424" s="40"/>
      <x:c r="AA424" s="43"/>
      <x:c r="AB424" s="6"/>
      <x:c r="AC424" s="6"/>
      <x:c r="AD424" s="40"/>
      <x:c r="AE424" s="40"/>
      <x:c r="AF424" s="43"/>
      <x:c r="AG424" s="43"/>
      <x:c r="AH424" s="6"/>
      <x:c r="AI424" s="6"/>
      <x:c r="AJ424" s="40"/>
      <x:c r="AK424" s="40"/>
      <x:c r="AL424" s="43"/>
      <x:c r="AM424" s="43"/>
      <x:c r="AN424" s="55">
        <x:f>(IF(AH424&gt;0,AH424,0)+IF(AJ424&gt;0,AJ424,0)+IF(AL424&gt;0,AL424,0))</x:f>
      </x:c>
      <x:c r="AO424" s="56">
        <x:f>(((AI424*7)+(AK424*1)+(AM424*1))/8)</x:f>
      </x:c>
      <x:c r="AP424" s="4" t="s">
        <x:v>35</x:v>
      </x:c>
    </x:row>
    <x:row r="425">
      <x:c r="A425" s="4" t="s">
        <x:v>1313</x:v>
      </x:c>
      <x:c r="B425" s="4" t="s">
        <x:v>1312</x:v>
      </x:c>
      <x:c r="C425" s="38" t="s">
        <x:v>1311</x:v>
      </x:c>
      <x:c r="D425" s="41"/>
      <x:c r="E425" s="44"/>
      <x:c r="F425" s="6"/>
      <x:c r="G425" s="40"/>
      <x:c r="H425" s="43"/>
      <x:c r="I425" s="45">
        <x:v>46313</x:v>
      </x:c>
      <x:c r="J425" s="46">
        <x:v>81</x:v>
      </x:c>
      <x:c r="K425" s="47">
        <x:f>(F425-(0)+0-(J425*Ventas!AE434*1.0556))</x:f>
      </x:c>
      <x:c r="L425" s="6"/>
      <x:c r="M425" s="51">
        <x:f>(G425+0)</x:f>
      </x:c>
      <x:c r="N425" s="40"/>
      <x:c r="O425" s="54">
        <x:f>(H425+0)</x:f>
      </x:c>
      <x:c r="P425" s="43"/>
      <x:c r="Q425" s="55">
        <x:f>(K425+M425+O425)</x:f>
      </x:c>
      <x:c r="R425" s="56">
        <x:f>(((L425*7)+(N425*1)+(P425*0))/8)</x:f>
      </x:c>
      <x:c r="S425" s="47">
        <x:f>(180*(Ventas!AE434*0.9644) - IF(K425&gt;0,K425,0))</x:f>
      </x:c>
      <x:c r="T425" s="47">
        <x:f>IF(S425&gt;0,S425,0)</x:f>
      </x:c>
      <x:c r="U425" s="40"/>
      <x:c r="V425" s="40"/>
      <x:c r="W425" s="43"/>
      <x:c r="X425" s="43"/>
      <x:c r="Y425" s="47">
        <x:f>IF(K425&gt;0,K425+IF(T425&gt;0,T425,0),T425)</x:f>
      </x:c>
      <x:c r="Z425" s="40"/>
      <x:c r="AA425" s="43"/>
      <x:c r="AB425" s="6"/>
      <x:c r="AC425" s="6"/>
      <x:c r="AD425" s="40"/>
      <x:c r="AE425" s="40"/>
      <x:c r="AF425" s="43"/>
      <x:c r="AG425" s="43"/>
      <x:c r="AH425" s="6"/>
      <x:c r="AI425" s="6"/>
      <x:c r="AJ425" s="40"/>
      <x:c r="AK425" s="40"/>
      <x:c r="AL425" s="43"/>
      <x:c r="AM425" s="43"/>
      <x:c r="AN425" s="55">
        <x:f>(IF(AH425&gt;0,AH425,0)+IF(AJ425&gt;0,AJ425,0)+IF(AL425&gt;0,AL425,0))</x:f>
      </x:c>
      <x:c r="AO425" s="56">
        <x:f>(((AI425*7)+(AK425*1)+(AM425*1))/8)</x:f>
      </x:c>
      <x:c r="AP425" s="4" t="s">
        <x:v>35</x:v>
      </x:c>
    </x:row>
    <x:row r="426">
      <x:c r="A426" s="4" t="s">
        <x:v>1316</x:v>
      </x:c>
      <x:c r="B426" s="4" t="s">
        <x:v>1315</x:v>
      </x:c>
      <x:c r="C426" s="38" t="s">
        <x:v>1314</x:v>
      </x:c>
      <x:c r="D426" s="41"/>
      <x:c r="E426" s="44"/>
      <x:c r="F426" s="6"/>
      <x:c r="G426" s="40"/>
      <x:c r="H426" s="43"/>
      <x:c r="I426" s="45">
        <x:v>46313</x:v>
      </x:c>
      <x:c r="J426" s="46">
        <x:v>81</x:v>
      </x:c>
      <x:c r="K426" s="47">
        <x:f>(F426-(0)+0-(J426*Ventas!AE435*1.0556))</x:f>
      </x:c>
      <x:c r="L426" s="6"/>
      <x:c r="M426" s="51">
        <x:f>(G426+0)</x:f>
      </x:c>
      <x:c r="N426" s="40"/>
      <x:c r="O426" s="54">
        <x:f>(H426+0)</x:f>
      </x:c>
      <x:c r="P426" s="43"/>
      <x:c r="Q426" s="55">
        <x:f>(K426+M426+O426)</x:f>
      </x:c>
      <x:c r="R426" s="56">
        <x:f>(((L426*7)+(N426*1)+(P426*0))/8)</x:f>
      </x:c>
      <x:c r="S426" s="47">
        <x:f>(180*(Ventas!AE435*0.9644) - IF(K426&gt;0,K426,0))</x:f>
      </x:c>
      <x:c r="T426" s="47">
        <x:f>IF(S426&gt;0,S426,0)</x:f>
      </x:c>
      <x:c r="U426" s="40"/>
      <x:c r="V426" s="40"/>
      <x:c r="W426" s="43"/>
      <x:c r="X426" s="43"/>
      <x:c r="Y426" s="47">
        <x:f>IF(K426&gt;0,K426+IF(T426&gt;0,T426,0),T426)</x:f>
      </x:c>
      <x:c r="Z426" s="40"/>
      <x:c r="AA426" s="43"/>
      <x:c r="AB426" s="6"/>
      <x:c r="AC426" s="6"/>
      <x:c r="AD426" s="40"/>
      <x:c r="AE426" s="40"/>
      <x:c r="AF426" s="43"/>
      <x:c r="AG426" s="43"/>
      <x:c r="AH426" s="6"/>
      <x:c r="AI426" s="6"/>
      <x:c r="AJ426" s="40"/>
      <x:c r="AK426" s="40"/>
      <x:c r="AL426" s="43"/>
      <x:c r="AM426" s="43"/>
      <x:c r="AN426" s="55">
        <x:f>(IF(AH426&gt;0,AH426,0)+IF(AJ426&gt;0,AJ426,0)+IF(AL426&gt;0,AL426,0))</x:f>
      </x:c>
      <x:c r="AO426" s="56">
        <x:f>(((AI426*7)+(AK426*1)+(AM426*1))/8)</x:f>
      </x:c>
      <x:c r="AP426" s="4" t="s">
        <x:v>35</x:v>
      </x:c>
    </x:row>
    <x:row r="427">
      <x:c r="A427" s="4" t="s">
        <x:v>1319</x:v>
      </x:c>
      <x:c r="B427" s="4" t="s">
        <x:v>1318</x:v>
      </x:c>
      <x:c r="C427" s="38" t="s">
        <x:v>1317</x:v>
      </x:c>
      <x:c r="D427" s="41"/>
      <x:c r="E427" s="44"/>
      <x:c r="F427" s="6"/>
      <x:c r="G427" s="40"/>
      <x:c r="H427" s="43"/>
      <x:c r="I427" s="45">
        <x:v>46313</x:v>
      </x:c>
      <x:c r="J427" s="46">
        <x:v>81</x:v>
      </x:c>
      <x:c r="K427" s="47">
        <x:f>(F427-(0)+0-(J427*Ventas!AE436*1.0556))</x:f>
      </x:c>
      <x:c r="L427" s="6"/>
      <x:c r="M427" s="51">
        <x:f>(G427+0)</x:f>
      </x:c>
      <x:c r="N427" s="40"/>
      <x:c r="O427" s="54">
        <x:f>(H427+0)</x:f>
      </x:c>
      <x:c r="P427" s="43"/>
      <x:c r="Q427" s="55">
        <x:f>(K427+M427+O427)</x:f>
      </x:c>
      <x:c r="R427" s="56">
        <x:f>(((L427*7)+(N427*1)+(P427*0))/8)</x:f>
      </x:c>
      <x:c r="S427" s="47">
        <x:f>(180*(Ventas!AE436*0.9644) - IF(K427&gt;0,K427,0))</x:f>
      </x:c>
      <x:c r="T427" s="47">
        <x:f>IF(S427&gt;0,S427,0)</x:f>
      </x:c>
      <x:c r="U427" s="40"/>
      <x:c r="V427" s="40"/>
      <x:c r="W427" s="43"/>
      <x:c r="X427" s="43"/>
      <x:c r="Y427" s="47">
        <x:f>IF(K427&gt;0,K427+IF(T427&gt;0,T427,0),T427)</x:f>
      </x:c>
      <x:c r="Z427" s="40"/>
      <x:c r="AA427" s="43"/>
      <x:c r="AB427" s="6"/>
      <x:c r="AC427" s="6"/>
      <x:c r="AD427" s="40"/>
      <x:c r="AE427" s="40"/>
      <x:c r="AF427" s="43"/>
      <x:c r="AG427" s="43"/>
      <x:c r="AH427" s="6"/>
      <x:c r="AI427" s="6"/>
      <x:c r="AJ427" s="40"/>
      <x:c r="AK427" s="40"/>
      <x:c r="AL427" s="43"/>
      <x:c r="AM427" s="43"/>
      <x:c r="AN427" s="55">
        <x:f>(IF(AH427&gt;0,AH427,0)+IF(AJ427&gt;0,AJ427,0)+IF(AL427&gt;0,AL427,0))</x:f>
      </x:c>
      <x:c r="AO427" s="56">
        <x:f>(((AI427*7)+(AK427*1)+(AM427*1))/8)</x:f>
      </x:c>
      <x:c r="AP427" s="4" t="s">
        <x:v>35</x:v>
      </x:c>
    </x:row>
    <x:row r="428">
      <x:c r="A428" s="4" t="s">
        <x:v>1322</x:v>
      </x:c>
      <x:c r="B428" s="4" t="s">
        <x:v>1321</x:v>
      </x:c>
      <x:c r="C428" s="38" t="s">
        <x:v>1320</x:v>
      </x:c>
      <x:c r="D428" s="41"/>
      <x:c r="E428" s="44"/>
      <x:c r="F428" s="6"/>
      <x:c r="G428" s="40"/>
      <x:c r="H428" s="43"/>
      <x:c r="I428" s="45">
        <x:v>46313</x:v>
      </x:c>
      <x:c r="J428" s="46">
        <x:v>81</x:v>
      </x:c>
      <x:c r="K428" s="47">
        <x:f>(F428-(0)+0-(J428*Ventas!AE437*1.0556))</x:f>
      </x:c>
      <x:c r="L428" s="6"/>
      <x:c r="M428" s="51">
        <x:f>(G428+0)</x:f>
      </x:c>
      <x:c r="N428" s="40"/>
      <x:c r="O428" s="54">
        <x:f>(H428+0)</x:f>
      </x:c>
      <x:c r="P428" s="43"/>
      <x:c r="Q428" s="55">
        <x:f>(K428+M428+O428)</x:f>
      </x:c>
      <x:c r="R428" s="56">
        <x:f>(((L428*7)+(N428*1)+(P428*0))/8)</x:f>
      </x:c>
      <x:c r="S428" s="47">
        <x:f>(180*(Ventas!AE437*0.9644) - IF(K428&gt;0,K428,0))</x:f>
      </x:c>
      <x:c r="T428" s="47">
        <x:f>IF(S428&gt;0,S428,0)</x:f>
      </x:c>
      <x:c r="U428" s="40"/>
      <x:c r="V428" s="40"/>
      <x:c r="W428" s="43"/>
      <x:c r="X428" s="43"/>
      <x:c r="Y428" s="47">
        <x:f>IF(K428&gt;0,K428+IF(T428&gt;0,T428,0),T428)</x:f>
      </x:c>
      <x:c r="Z428" s="40"/>
      <x:c r="AA428" s="43"/>
      <x:c r="AB428" s="6"/>
      <x:c r="AC428" s="6"/>
      <x:c r="AD428" s="40"/>
      <x:c r="AE428" s="40"/>
      <x:c r="AF428" s="43"/>
      <x:c r="AG428" s="43"/>
      <x:c r="AH428" s="6"/>
      <x:c r="AI428" s="6"/>
      <x:c r="AJ428" s="40"/>
      <x:c r="AK428" s="40"/>
      <x:c r="AL428" s="43"/>
      <x:c r="AM428" s="43"/>
      <x:c r="AN428" s="55">
        <x:f>(IF(AH428&gt;0,AH428,0)+IF(AJ428&gt;0,AJ428,0)+IF(AL428&gt;0,AL428,0))</x:f>
      </x:c>
      <x:c r="AO428" s="56">
        <x:f>(((AI428*7)+(AK428*1)+(AM428*1))/8)</x:f>
      </x:c>
      <x:c r="AP428" s="4" t="s">
        <x:v>35</x:v>
      </x:c>
    </x:row>
    <x:row r="429">
      <x:c r="A429" s="4" t="s">
        <x:v>1325</x:v>
      </x:c>
      <x:c r="B429" s="4" t="s">
        <x:v>1324</x:v>
      </x:c>
      <x:c r="C429" s="38" t="s">
        <x:v>1323</x:v>
      </x:c>
      <x:c r="D429" s="41"/>
      <x:c r="E429" s="44"/>
      <x:c r="F429" s="6"/>
      <x:c r="G429" s="40"/>
      <x:c r="H429" s="43"/>
      <x:c r="I429" s="45">
        <x:v>46313</x:v>
      </x:c>
      <x:c r="J429" s="46">
        <x:v>81</x:v>
      </x:c>
      <x:c r="K429" s="47">
        <x:f>(F429-(0)+0-(J429*Ventas!AE438*1.0556))</x:f>
      </x:c>
      <x:c r="L429" s="6"/>
      <x:c r="M429" s="51">
        <x:f>(G429+0)</x:f>
      </x:c>
      <x:c r="N429" s="40"/>
      <x:c r="O429" s="54">
        <x:f>(H429+0)</x:f>
      </x:c>
      <x:c r="P429" s="43"/>
      <x:c r="Q429" s="55">
        <x:f>(K429+M429+O429)</x:f>
      </x:c>
      <x:c r="R429" s="56">
        <x:f>(((L429*7)+(N429*1)+(P429*0))/8)</x:f>
      </x:c>
      <x:c r="S429" s="47">
        <x:f>(180*(Ventas!AE438*0.9644) - IF(K429&gt;0,K429,0))</x:f>
      </x:c>
      <x:c r="T429" s="47">
        <x:f>IF(S429&gt;0,S429,0)</x:f>
      </x:c>
      <x:c r="U429" s="40"/>
      <x:c r="V429" s="40"/>
      <x:c r="W429" s="43"/>
      <x:c r="X429" s="43"/>
      <x:c r="Y429" s="47">
        <x:f>IF(K429&gt;0,K429+IF(T429&gt;0,T429,0),T429)</x:f>
      </x:c>
      <x:c r="Z429" s="40"/>
      <x:c r="AA429" s="43"/>
      <x:c r="AB429" s="6"/>
      <x:c r="AC429" s="6"/>
      <x:c r="AD429" s="40"/>
      <x:c r="AE429" s="40"/>
      <x:c r="AF429" s="43"/>
      <x:c r="AG429" s="43"/>
      <x:c r="AH429" s="6"/>
      <x:c r="AI429" s="6"/>
      <x:c r="AJ429" s="40"/>
      <x:c r="AK429" s="40"/>
      <x:c r="AL429" s="43"/>
      <x:c r="AM429" s="43"/>
      <x:c r="AN429" s="55">
        <x:f>(IF(AH429&gt;0,AH429,0)+IF(AJ429&gt;0,AJ429,0)+IF(AL429&gt;0,AL429,0))</x:f>
      </x:c>
      <x:c r="AO429" s="56">
        <x:f>(((AI429*7)+(AK429*1)+(AM429*1))/8)</x:f>
      </x:c>
      <x:c r="AP429" s="4" t="s">
        <x:v>35</x:v>
      </x:c>
    </x:row>
    <x:row r="430">
      <x:c r="A430" s="4" t="s">
        <x:v>1328</x:v>
      </x:c>
      <x:c r="B430" s="4" t="s">
        <x:v>1327</x:v>
      </x:c>
      <x:c r="C430" s="38" t="s">
        <x:v>1326</x:v>
      </x:c>
      <x:c r="D430" s="41"/>
      <x:c r="E430" s="44"/>
      <x:c r="F430" s="6"/>
      <x:c r="G430" s="40"/>
      <x:c r="H430" s="43"/>
      <x:c r="I430" s="45">
        <x:v>46313</x:v>
      </x:c>
      <x:c r="J430" s="46">
        <x:v>81</x:v>
      </x:c>
      <x:c r="K430" s="47">
        <x:f>(F430-(0)+0-(J430*Ventas!AE439*1.0556))</x:f>
      </x:c>
      <x:c r="L430" s="6"/>
      <x:c r="M430" s="51">
        <x:f>(G430+0)</x:f>
      </x:c>
      <x:c r="N430" s="40"/>
      <x:c r="O430" s="54">
        <x:f>(H430+0)</x:f>
      </x:c>
      <x:c r="P430" s="43"/>
      <x:c r="Q430" s="55">
        <x:f>(K430+M430+O430)</x:f>
      </x:c>
      <x:c r="R430" s="56">
        <x:f>(((L430*7)+(N430*1)+(P430*0))/8)</x:f>
      </x:c>
      <x:c r="S430" s="47">
        <x:f>(180*(Ventas!AE439*0.9644) - IF(K430&gt;0,K430,0))</x:f>
      </x:c>
      <x:c r="T430" s="47">
        <x:f>IF(S430&gt;0,S430,0)</x:f>
      </x:c>
      <x:c r="U430" s="40"/>
      <x:c r="V430" s="40"/>
      <x:c r="W430" s="43"/>
      <x:c r="X430" s="43"/>
      <x:c r="Y430" s="47">
        <x:f>IF(K430&gt;0,K430+IF(T430&gt;0,T430,0),T430)</x:f>
      </x:c>
      <x:c r="Z430" s="40"/>
      <x:c r="AA430" s="43"/>
      <x:c r="AB430" s="6"/>
      <x:c r="AC430" s="6"/>
      <x:c r="AD430" s="40"/>
      <x:c r="AE430" s="40"/>
      <x:c r="AF430" s="43"/>
      <x:c r="AG430" s="43"/>
      <x:c r="AH430" s="6"/>
      <x:c r="AI430" s="6"/>
      <x:c r="AJ430" s="40"/>
      <x:c r="AK430" s="40"/>
      <x:c r="AL430" s="43"/>
      <x:c r="AM430" s="43"/>
      <x:c r="AN430" s="55">
        <x:f>(IF(AH430&gt;0,AH430,0)+IF(AJ430&gt;0,AJ430,0)+IF(AL430&gt;0,AL430,0))</x:f>
      </x:c>
      <x:c r="AO430" s="56">
        <x:f>(((AI430*7)+(AK430*1)+(AM430*1))/8)</x:f>
      </x:c>
      <x:c r="AP430" s="4" t="s">
        <x:v>35</x:v>
      </x:c>
    </x:row>
    <x:row r="431">
      <x:c r="A431" s="4" t="s">
        <x:v>1331</x:v>
      </x:c>
      <x:c r="B431" s="4" t="s">
        <x:v>1330</x:v>
      </x:c>
      <x:c r="C431" s="38" t="s">
        <x:v>1329</x:v>
      </x:c>
      <x:c r="D431" s="41"/>
      <x:c r="E431" s="44"/>
      <x:c r="F431" s="6"/>
      <x:c r="G431" s="40"/>
      <x:c r="H431" s="43"/>
      <x:c r="I431" s="45">
        <x:v>46313</x:v>
      </x:c>
      <x:c r="J431" s="46">
        <x:v>81</x:v>
      </x:c>
      <x:c r="K431" s="47">
        <x:f>(F431-(0)+0-(J431*Ventas!AE440*1.0556))</x:f>
      </x:c>
      <x:c r="L431" s="6"/>
      <x:c r="M431" s="51">
        <x:f>(G431+0)</x:f>
      </x:c>
      <x:c r="N431" s="40"/>
      <x:c r="O431" s="54">
        <x:f>(H431+0)</x:f>
      </x:c>
      <x:c r="P431" s="43"/>
      <x:c r="Q431" s="55">
        <x:f>(K431+M431+O431)</x:f>
      </x:c>
      <x:c r="R431" s="56">
        <x:f>(((L431*7)+(N431*1)+(P431*0))/8)</x:f>
      </x:c>
      <x:c r="S431" s="47">
        <x:f>(180*(Ventas!AE440*0.9644) - IF(K431&gt;0,K431,0))</x:f>
      </x:c>
      <x:c r="T431" s="47">
        <x:f>IF(S431&gt;0,S431,0)</x:f>
      </x:c>
      <x:c r="U431" s="40"/>
      <x:c r="V431" s="40"/>
      <x:c r="W431" s="43"/>
      <x:c r="X431" s="43"/>
      <x:c r="Y431" s="47">
        <x:f>IF(K431&gt;0,K431+IF(T431&gt;0,T431,0),T431)</x:f>
      </x:c>
      <x:c r="Z431" s="40"/>
      <x:c r="AA431" s="43"/>
      <x:c r="AB431" s="6"/>
      <x:c r="AC431" s="6"/>
      <x:c r="AD431" s="40"/>
      <x:c r="AE431" s="40"/>
      <x:c r="AF431" s="43"/>
      <x:c r="AG431" s="43"/>
      <x:c r="AH431" s="6"/>
      <x:c r="AI431" s="6"/>
      <x:c r="AJ431" s="40"/>
      <x:c r="AK431" s="40"/>
      <x:c r="AL431" s="43"/>
      <x:c r="AM431" s="43"/>
      <x:c r="AN431" s="55">
        <x:f>(IF(AH431&gt;0,AH431,0)+IF(AJ431&gt;0,AJ431,0)+IF(AL431&gt;0,AL431,0))</x:f>
      </x:c>
      <x:c r="AO431" s="56">
        <x:f>(((AI431*7)+(AK431*1)+(AM431*1))/8)</x:f>
      </x:c>
      <x:c r="AP431" s="4" t="s">
        <x:v>35</x:v>
      </x:c>
    </x:row>
    <x:row r="432">
      <x:c r="A432" s="4" t="s">
        <x:v>1334</x:v>
      </x:c>
      <x:c r="B432" s="4" t="s">
        <x:v>1333</x:v>
      </x:c>
      <x:c r="C432" s="38" t="s">
        <x:v>1332</x:v>
      </x:c>
      <x:c r="D432" s="41"/>
      <x:c r="E432" s="44"/>
      <x:c r="F432" s="6"/>
      <x:c r="G432" s="40"/>
      <x:c r="H432" s="43"/>
      <x:c r="I432" s="45">
        <x:v>46313</x:v>
      </x:c>
      <x:c r="J432" s="46">
        <x:v>81</x:v>
      </x:c>
      <x:c r="K432" s="47">
        <x:f>(F432-(0)+0-(J432*Ventas!AE441*1.0556))</x:f>
      </x:c>
      <x:c r="L432" s="6"/>
      <x:c r="M432" s="51">
        <x:f>(G432+0)</x:f>
      </x:c>
      <x:c r="N432" s="40"/>
      <x:c r="O432" s="54">
        <x:f>(H432+0)</x:f>
      </x:c>
      <x:c r="P432" s="43"/>
      <x:c r="Q432" s="55">
        <x:f>(K432+M432+O432)</x:f>
      </x:c>
      <x:c r="R432" s="56">
        <x:f>(((L432*7)+(N432*1)+(P432*0))/8)</x:f>
      </x:c>
      <x:c r="S432" s="47">
        <x:f>(180*(Ventas!AE441*0.9644) - IF(K432&gt;0,K432,0))</x:f>
      </x:c>
      <x:c r="T432" s="47">
        <x:f>IF(S432&gt;0,S432,0)</x:f>
      </x:c>
      <x:c r="U432" s="40"/>
      <x:c r="V432" s="40"/>
      <x:c r="W432" s="43"/>
      <x:c r="X432" s="43"/>
      <x:c r="Y432" s="47">
        <x:f>IF(K432&gt;0,K432+IF(T432&gt;0,T432,0),T432)</x:f>
      </x:c>
      <x:c r="Z432" s="40"/>
      <x:c r="AA432" s="43"/>
      <x:c r="AB432" s="6"/>
      <x:c r="AC432" s="6"/>
      <x:c r="AD432" s="40"/>
      <x:c r="AE432" s="40"/>
      <x:c r="AF432" s="43"/>
      <x:c r="AG432" s="43"/>
      <x:c r="AH432" s="6"/>
      <x:c r="AI432" s="6"/>
      <x:c r="AJ432" s="40"/>
      <x:c r="AK432" s="40"/>
      <x:c r="AL432" s="43"/>
      <x:c r="AM432" s="43"/>
      <x:c r="AN432" s="55">
        <x:f>(IF(AH432&gt;0,AH432,0)+IF(AJ432&gt;0,AJ432,0)+IF(AL432&gt;0,AL432,0))</x:f>
      </x:c>
      <x:c r="AO432" s="56">
        <x:f>(((AI432*7)+(AK432*1)+(AM432*1))/8)</x:f>
      </x:c>
      <x:c r="AP432" s="4" t="s">
        <x:v>35</x:v>
      </x:c>
    </x:row>
    <x:row r="433">
      <x:c r="A433" s="4" t="s">
        <x:v>1337</x:v>
      </x:c>
      <x:c r="B433" s="4" t="s">
        <x:v>1336</x:v>
      </x:c>
      <x:c r="C433" s="38" t="s">
        <x:v>1335</x:v>
      </x:c>
      <x:c r="D433" s="41"/>
      <x:c r="E433" s="44"/>
      <x:c r="F433" s="6"/>
      <x:c r="G433" s="40"/>
      <x:c r="H433" s="43"/>
      <x:c r="I433" s="45">
        <x:v>46313</x:v>
      </x:c>
      <x:c r="J433" s="46">
        <x:v>81</x:v>
      </x:c>
      <x:c r="K433" s="47">
        <x:f>(F433-(0)+0-(J433*Ventas!AE442*1.0556))</x:f>
      </x:c>
      <x:c r="L433" s="6"/>
      <x:c r="M433" s="51">
        <x:f>(G433+0)</x:f>
      </x:c>
      <x:c r="N433" s="40"/>
      <x:c r="O433" s="54">
        <x:f>(H433+0)</x:f>
      </x:c>
      <x:c r="P433" s="43"/>
      <x:c r="Q433" s="55">
        <x:f>(K433+M433+O433)</x:f>
      </x:c>
      <x:c r="R433" s="56">
        <x:f>(((L433*7)+(N433*1)+(P433*0))/8)</x:f>
      </x:c>
      <x:c r="S433" s="47">
        <x:f>(180*(Ventas!AE442*0.9644) - IF(K433&gt;0,K433,0))</x:f>
      </x:c>
      <x:c r="T433" s="47">
        <x:f>IF(S433&gt;0,S433,0)</x:f>
      </x:c>
      <x:c r="U433" s="40"/>
      <x:c r="V433" s="40"/>
      <x:c r="W433" s="43"/>
      <x:c r="X433" s="43"/>
      <x:c r="Y433" s="47">
        <x:f>IF(K433&gt;0,K433+IF(T433&gt;0,T433,0),T433)</x:f>
      </x:c>
      <x:c r="Z433" s="40"/>
      <x:c r="AA433" s="43"/>
      <x:c r="AB433" s="6"/>
      <x:c r="AC433" s="6"/>
      <x:c r="AD433" s="40"/>
      <x:c r="AE433" s="40"/>
      <x:c r="AF433" s="43"/>
      <x:c r="AG433" s="43"/>
      <x:c r="AH433" s="6"/>
      <x:c r="AI433" s="6"/>
      <x:c r="AJ433" s="40"/>
      <x:c r="AK433" s="40"/>
      <x:c r="AL433" s="43"/>
      <x:c r="AM433" s="43"/>
      <x:c r="AN433" s="55">
        <x:f>(IF(AH433&gt;0,AH433,0)+IF(AJ433&gt;0,AJ433,0)+IF(AL433&gt;0,AL433,0))</x:f>
      </x:c>
      <x:c r="AO433" s="56">
        <x:f>(((AI433*7)+(AK433*1)+(AM433*1))/8)</x:f>
      </x:c>
      <x:c r="AP433" s="4" t="s">
        <x:v>35</x:v>
      </x:c>
    </x:row>
    <x:row r="434">
      <x:c r="A434" s="4" t="s">
        <x:v>1340</x:v>
      </x:c>
      <x:c r="B434" s="4" t="s">
        <x:v>1339</x:v>
      </x:c>
      <x:c r="C434" s="38" t="s">
        <x:v>1338</x:v>
      </x:c>
      <x:c r="D434" s="41"/>
      <x:c r="E434" s="44"/>
      <x:c r="F434" s="6"/>
      <x:c r="G434" s="40"/>
      <x:c r="H434" s="43"/>
      <x:c r="I434" s="45">
        <x:v>46313</x:v>
      </x:c>
      <x:c r="J434" s="46">
        <x:v>81</x:v>
      </x:c>
      <x:c r="K434" s="47">
        <x:f>(F434-(0)+0-(J434*Ventas!AE443*1.0556))</x:f>
      </x:c>
      <x:c r="L434" s="6"/>
      <x:c r="M434" s="51">
        <x:f>(G434+0)</x:f>
      </x:c>
      <x:c r="N434" s="40"/>
      <x:c r="O434" s="54">
        <x:f>(H434+0)</x:f>
      </x:c>
      <x:c r="P434" s="43"/>
      <x:c r="Q434" s="55">
        <x:f>(K434+M434+O434)</x:f>
      </x:c>
      <x:c r="R434" s="56">
        <x:f>(((L434*7)+(N434*1)+(P434*0))/8)</x:f>
      </x:c>
      <x:c r="S434" s="47">
        <x:f>(180*(Ventas!AE443*0.9644) - IF(K434&gt;0,K434,0))</x:f>
      </x:c>
      <x:c r="T434" s="47">
        <x:f>IF(S434&gt;0,S434,0)</x:f>
      </x:c>
      <x:c r="U434" s="40"/>
      <x:c r="V434" s="40"/>
      <x:c r="W434" s="43"/>
      <x:c r="X434" s="43"/>
      <x:c r="Y434" s="47">
        <x:f>IF(K434&gt;0,K434+IF(T434&gt;0,T434,0),T434)</x:f>
      </x:c>
      <x:c r="Z434" s="40"/>
      <x:c r="AA434" s="43"/>
      <x:c r="AB434" s="6"/>
      <x:c r="AC434" s="6"/>
      <x:c r="AD434" s="40"/>
      <x:c r="AE434" s="40"/>
      <x:c r="AF434" s="43"/>
      <x:c r="AG434" s="43"/>
      <x:c r="AH434" s="6"/>
      <x:c r="AI434" s="6"/>
      <x:c r="AJ434" s="40"/>
      <x:c r="AK434" s="40"/>
      <x:c r="AL434" s="43"/>
      <x:c r="AM434" s="43"/>
      <x:c r="AN434" s="55">
        <x:f>(IF(AH434&gt;0,AH434,0)+IF(AJ434&gt;0,AJ434,0)+IF(AL434&gt;0,AL434,0))</x:f>
      </x:c>
      <x:c r="AO434" s="56">
        <x:f>(((AI434*7)+(AK434*1)+(AM434*1))/8)</x:f>
      </x:c>
      <x:c r="AP434" s="4" t="s">
        <x:v>35</x:v>
      </x:c>
    </x:row>
    <x:row r="435">
      <x:c r="A435" s="4" t="s">
        <x:v>1343</x:v>
      </x:c>
      <x:c r="B435" s="4" t="s">
        <x:v>1342</x:v>
      </x:c>
      <x:c r="C435" s="38" t="s">
        <x:v>1341</x:v>
      </x:c>
      <x:c r="D435" s="41"/>
      <x:c r="E435" s="44"/>
      <x:c r="F435" s="6"/>
      <x:c r="G435" s="40"/>
      <x:c r="H435" s="43"/>
      <x:c r="I435" s="45">
        <x:v>46313</x:v>
      </x:c>
      <x:c r="J435" s="46">
        <x:v>81</x:v>
      </x:c>
      <x:c r="K435" s="47">
        <x:f>(F435-(0)+0-(J435*Ventas!AE444*1.0556))</x:f>
      </x:c>
      <x:c r="L435" s="6"/>
      <x:c r="M435" s="51">
        <x:f>(G435+0)</x:f>
      </x:c>
      <x:c r="N435" s="40"/>
      <x:c r="O435" s="54">
        <x:f>(H435+0)</x:f>
      </x:c>
      <x:c r="P435" s="43"/>
      <x:c r="Q435" s="55">
        <x:f>(K435+M435+O435)</x:f>
      </x:c>
      <x:c r="R435" s="56">
        <x:f>(((L435*7)+(N435*1)+(P435*0))/8)</x:f>
      </x:c>
      <x:c r="S435" s="47">
        <x:f>(180*(Ventas!AE444*0.9644) - IF(K435&gt;0,K435,0))</x:f>
      </x:c>
      <x:c r="T435" s="47">
        <x:f>IF(S435&gt;0,S435,0)</x:f>
      </x:c>
      <x:c r="U435" s="40"/>
      <x:c r="V435" s="40"/>
      <x:c r="W435" s="43"/>
      <x:c r="X435" s="43"/>
      <x:c r="Y435" s="47">
        <x:f>IF(K435&gt;0,K435+IF(T435&gt;0,T435,0),T435)</x:f>
      </x:c>
      <x:c r="Z435" s="40"/>
      <x:c r="AA435" s="43"/>
      <x:c r="AB435" s="6"/>
      <x:c r="AC435" s="6"/>
      <x:c r="AD435" s="40"/>
      <x:c r="AE435" s="40"/>
      <x:c r="AF435" s="43"/>
      <x:c r="AG435" s="43"/>
      <x:c r="AH435" s="6"/>
      <x:c r="AI435" s="6"/>
      <x:c r="AJ435" s="40"/>
      <x:c r="AK435" s="40"/>
      <x:c r="AL435" s="43"/>
      <x:c r="AM435" s="43"/>
      <x:c r="AN435" s="55">
        <x:f>(IF(AH435&gt;0,AH435,0)+IF(AJ435&gt;0,AJ435,0)+IF(AL435&gt;0,AL435,0))</x:f>
      </x:c>
      <x:c r="AO435" s="56">
        <x:f>(((AI435*7)+(AK435*1)+(AM435*1))/8)</x:f>
      </x:c>
      <x:c r="AP435" s="4" t="s">
        <x:v>35</x:v>
      </x:c>
    </x:row>
    <x:row r="436">
      <x:c r="A436" s="4" t="s">
        <x:v>1346</x:v>
      </x:c>
      <x:c r="B436" s="4" t="s">
        <x:v>1345</x:v>
      </x:c>
      <x:c r="C436" s="38" t="s">
        <x:v>1344</x:v>
      </x:c>
      <x:c r="D436" s="41"/>
      <x:c r="E436" s="44"/>
      <x:c r="F436" s="6"/>
      <x:c r="G436" s="40"/>
      <x:c r="H436" s="43"/>
      <x:c r="I436" s="45">
        <x:v>46313</x:v>
      </x:c>
      <x:c r="J436" s="46">
        <x:v>81</x:v>
      </x:c>
      <x:c r="K436" s="47">
        <x:f>(F436-(0)+0-(J436*Ventas!AE445*1.0556))</x:f>
      </x:c>
      <x:c r="L436" s="6"/>
      <x:c r="M436" s="51">
        <x:f>(G436+0)</x:f>
      </x:c>
      <x:c r="N436" s="40"/>
      <x:c r="O436" s="54">
        <x:f>(H436+0)</x:f>
      </x:c>
      <x:c r="P436" s="43"/>
      <x:c r="Q436" s="55">
        <x:f>(K436+M436+O436)</x:f>
      </x:c>
      <x:c r="R436" s="56">
        <x:f>(((L436*7)+(N436*1)+(P436*0))/8)</x:f>
      </x:c>
      <x:c r="S436" s="47">
        <x:f>(180*(Ventas!AE445*0.9644) - IF(K436&gt;0,K436,0))</x:f>
      </x:c>
      <x:c r="T436" s="47">
        <x:f>IF(S436&gt;0,S436,0)</x:f>
      </x:c>
      <x:c r="U436" s="40"/>
      <x:c r="V436" s="40"/>
      <x:c r="W436" s="43"/>
      <x:c r="X436" s="43"/>
      <x:c r="Y436" s="47">
        <x:f>IF(K436&gt;0,K436+IF(T436&gt;0,T436,0),T436)</x:f>
      </x:c>
      <x:c r="Z436" s="40"/>
      <x:c r="AA436" s="43"/>
      <x:c r="AB436" s="6"/>
      <x:c r="AC436" s="6"/>
      <x:c r="AD436" s="40"/>
      <x:c r="AE436" s="40"/>
      <x:c r="AF436" s="43"/>
      <x:c r="AG436" s="43"/>
      <x:c r="AH436" s="6"/>
      <x:c r="AI436" s="6"/>
      <x:c r="AJ436" s="40"/>
      <x:c r="AK436" s="40"/>
      <x:c r="AL436" s="43"/>
      <x:c r="AM436" s="43"/>
      <x:c r="AN436" s="55">
        <x:f>(IF(AH436&gt;0,AH436,0)+IF(AJ436&gt;0,AJ436,0)+IF(AL436&gt;0,AL436,0))</x:f>
      </x:c>
      <x:c r="AO436" s="56">
        <x:f>(((AI436*7)+(AK436*1)+(AM436*1))/8)</x:f>
      </x:c>
      <x:c r="AP436" s="4" t="s">
        <x:v>35</x:v>
      </x:c>
    </x:row>
    <x:row r="437">
      <x:c r="A437" s="4" t="s">
        <x:v>1349</x:v>
      </x:c>
      <x:c r="B437" s="4" t="s">
        <x:v>1348</x:v>
      </x:c>
      <x:c r="C437" s="38" t="s">
        <x:v>1347</x:v>
      </x:c>
      <x:c r="D437" s="41"/>
      <x:c r="E437" s="44"/>
      <x:c r="F437" s="6"/>
      <x:c r="G437" s="40"/>
      <x:c r="H437" s="43"/>
      <x:c r="I437" s="45">
        <x:v>46313</x:v>
      </x:c>
      <x:c r="J437" s="46">
        <x:v>81</x:v>
      </x:c>
      <x:c r="K437" s="47">
        <x:f>(F437-(0)+0-(J437*Ventas!AE446*1.0556))</x:f>
      </x:c>
      <x:c r="L437" s="6"/>
      <x:c r="M437" s="51">
        <x:f>(G437+0)</x:f>
      </x:c>
      <x:c r="N437" s="40"/>
      <x:c r="O437" s="54">
        <x:f>(H437+0)</x:f>
      </x:c>
      <x:c r="P437" s="43"/>
      <x:c r="Q437" s="55">
        <x:f>(K437+M437+O437)</x:f>
      </x:c>
      <x:c r="R437" s="56">
        <x:f>(((L437*7)+(N437*1)+(P437*0))/8)</x:f>
      </x:c>
      <x:c r="S437" s="47">
        <x:f>(180*(Ventas!AE446*0.9644) - IF(K437&gt;0,K437,0))</x:f>
      </x:c>
      <x:c r="T437" s="47">
        <x:f>IF(S437&gt;0,S437,0)</x:f>
      </x:c>
      <x:c r="U437" s="40"/>
      <x:c r="V437" s="40"/>
      <x:c r="W437" s="43"/>
      <x:c r="X437" s="43"/>
      <x:c r="Y437" s="47">
        <x:f>IF(K437&gt;0,K437+IF(T437&gt;0,T437,0),T437)</x:f>
      </x:c>
      <x:c r="Z437" s="40"/>
      <x:c r="AA437" s="43"/>
      <x:c r="AB437" s="6"/>
      <x:c r="AC437" s="6"/>
      <x:c r="AD437" s="40"/>
      <x:c r="AE437" s="40"/>
      <x:c r="AF437" s="43"/>
      <x:c r="AG437" s="43"/>
      <x:c r="AH437" s="6"/>
      <x:c r="AI437" s="6"/>
      <x:c r="AJ437" s="40"/>
      <x:c r="AK437" s="40"/>
      <x:c r="AL437" s="43"/>
      <x:c r="AM437" s="43"/>
      <x:c r="AN437" s="55">
        <x:f>(IF(AH437&gt;0,AH437,0)+IF(AJ437&gt;0,AJ437,0)+IF(AL437&gt;0,AL437,0))</x:f>
      </x:c>
      <x:c r="AO437" s="56">
        <x:f>(((AI437*7)+(AK437*1)+(AM437*1))/8)</x:f>
      </x:c>
      <x:c r="AP437" s="4" t="s">
        <x:v>35</x:v>
      </x:c>
    </x:row>
    <x:row r="438">
      <x:c r="A438" s="4" t="s">
        <x:v>1352</x:v>
      </x:c>
      <x:c r="B438" s="4" t="s">
        <x:v>1351</x:v>
      </x:c>
      <x:c r="C438" s="38" t="s">
        <x:v>1350</x:v>
      </x:c>
      <x:c r="D438" s="41"/>
      <x:c r="E438" s="44"/>
      <x:c r="F438" s="6"/>
      <x:c r="G438" s="40"/>
      <x:c r="H438" s="43"/>
      <x:c r="I438" s="45">
        <x:v>46313</x:v>
      </x:c>
      <x:c r="J438" s="46">
        <x:v>81</x:v>
      </x:c>
      <x:c r="K438" s="47">
        <x:f>(F438-(0)+0-(J438*Ventas!AE447*1.0556))</x:f>
      </x:c>
      <x:c r="L438" s="6"/>
      <x:c r="M438" s="51">
        <x:f>(G438+0)</x:f>
      </x:c>
      <x:c r="N438" s="40"/>
      <x:c r="O438" s="54">
        <x:f>(H438+0)</x:f>
      </x:c>
      <x:c r="P438" s="43"/>
      <x:c r="Q438" s="55">
        <x:f>(K438+M438+O438)</x:f>
      </x:c>
      <x:c r="R438" s="56">
        <x:f>(((L438*7)+(N438*1)+(P438*0))/8)</x:f>
      </x:c>
      <x:c r="S438" s="47">
        <x:f>(180*(Ventas!AE447*0.9644) - IF(K438&gt;0,K438,0))</x:f>
      </x:c>
      <x:c r="T438" s="47">
        <x:f>IF(S438&gt;0,S438,0)</x:f>
      </x:c>
      <x:c r="U438" s="40"/>
      <x:c r="V438" s="40"/>
      <x:c r="W438" s="43"/>
      <x:c r="X438" s="43"/>
      <x:c r="Y438" s="47">
        <x:f>IF(K438&gt;0,K438+IF(T438&gt;0,T438,0),T438)</x:f>
      </x:c>
      <x:c r="Z438" s="40"/>
      <x:c r="AA438" s="43"/>
      <x:c r="AB438" s="6"/>
      <x:c r="AC438" s="6"/>
      <x:c r="AD438" s="40"/>
      <x:c r="AE438" s="40"/>
      <x:c r="AF438" s="43"/>
      <x:c r="AG438" s="43"/>
      <x:c r="AH438" s="6"/>
      <x:c r="AI438" s="6"/>
      <x:c r="AJ438" s="40"/>
      <x:c r="AK438" s="40"/>
      <x:c r="AL438" s="43"/>
      <x:c r="AM438" s="43"/>
      <x:c r="AN438" s="55">
        <x:f>(IF(AH438&gt;0,AH438,0)+IF(AJ438&gt;0,AJ438,0)+IF(AL438&gt;0,AL438,0))</x:f>
      </x:c>
      <x:c r="AO438" s="56">
        <x:f>(((AI438*7)+(AK438*1)+(AM438*1))/8)</x:f>
      </x:c>
      <x:c r="AP438" s="4" t="s">
        <x:v>35</x:v>
      </x:c>
    </x:row>
    <x:row r="439">
      <x:c r="A439" s="4" t="s">
        <x:v>1355</x:v>
      </x:c>
      <x:c r="B439" s="4" t="s">
        <x:v>1354</x:v>
      </x:c>
      <x:c r="C439" s="38" t="s">
        <x:v>1353</x:v>
      </x:c>
      <x:c r="D439" s="41"/>
      <x:c r="E439" s="44"/>
      <x:c r="F439" s="6"/>
      <x:c r="G439" s="40"/>
      <x:c r="H439" s="43"/>
      <x:c r="I439" s="45">
        <x:v>46313</x:v>
      </x:c>
      <x:c r="J439" s="46">
        <x:v>81</x:v>
      </x:c>
      <x:c r="K439" s="47">
        <x:f>(F439-(0)+0-(J439*Ventas!AE448*1.0556))</x:f>
      </x:c>
      <x:c r="L439" s="6"/>
      <x:c r="M439" s="51">
        <x:f>(G439+0)</x:f>
      </x:c>
      <x:c r="N439" s="40"/>
      <x:c r="O439" s="54">
        <x:f>(H439+0)</x:f>
      </x:c>
      <x:c r="P439" s="43"/>
      <x:c r="Q439" s="55">
        <x:f>(K439+M439+O439)</x:f>
      </x:c>
      <x:c r="R439" s="56">
        <x:f>(((L439*7)+(N439*1)+(P439*0))/8)</x:f>
      </x:c>
      <x:c r="S439" s="47">
        <x:f>(180*(Ventas!AE448*0.9644) - IF(K439&gt;0,K439,0))</x:f>
      </x:c>
      <x:c r="T439" s="47">
        <x:f>IF(S439&gt;0,S439,0)</x:f>
      </x:c>
      <x:c r="U439" s="40"/>
      <x:c r="V439" s="40"/>
      <x:c r="W439" s="43"/>
      <x:c r="X439" s="43"/>
      <x:c r="Y439" s="47">
        <x:f>IF(K439&gt;0,K439+IF(T439&gt;0,T439,0),T439)</x:f>
      </x:c>
      <x:c r="Z439" s="40"/>
      <x:c r="AA439" s="43"/>
      <x:c r="AB439" s="6"/>
      <x:c r="AC439" s="6"/>
      <x:c r="AD439" s="40"/>
      <x:c r="AE439" s="40"/>
      <x:c r="AF439" s="43"/>
      <x:c r="AG439" s="43"/>
      <x:c r="AH439" s="6"/>
      <x:c r="AI439" s="6"/>
      <x:c r="AJ439" s="40"/>
      <x:c r="AK439" s="40"/>
      <x:c r="AL439" s="43"/>
      <x:c r="AM439" s="43"/>
      <x:c r="AN439" s="55">
        <x:f>(IF(AH439&gt;0,AH439,0)+IF(AJ439&gt;0,AJ439,0)+IF(AL439&gt;0,AL439,0))</x:f>
      </x:c>
      <x:c r="AO439" s="56">
        <x:f>(((AI439*7)+(AK439*1)+(AM439*1))/8)</x:f>
      </x:c>
      <x:c r="AP439" s="4" t="s">
        <x:v>35</x:v>
      </x:c>
    </x:row>
    <x:row r="440">
      <x:c r="A440" s="4" t="s">
        <x:v>1358</x:v>
      </x:c>
      <x:c r="B440" s="4" t="s">
        <x:v>1357</x:v>
      </x:c>
      <x:c r="C440" s="38" t="s">
        <x:v>1356</x:v>
      </x:c>
      <x:c r="D440" s="41"/>
      <x:c r="E440" s="44"/>
      <x:c r="F440" s="6"/>
      <x:c r="G440" s="40"/>
      <x:c r="H440" s="43"/>
      <x:c r="I440" s="45">
        <x:v>46313</x:v>
      </x:c>
      <x:c r="J440" s="46">
        <x:v>81</x:v>
      </x:c>
      <x:c r="K440" s="47">
        <x:f>(F440-(0)+0-(J440*Ventas!AE449*1.0556))</x:f>
      </x:c>
      <x:c r="L440" s="6"/>
      <x:c r="M440" s="51">
        <x:f>(G440+0)</x:f>
      </x:c>
      <x:c r="N440" s="40"/>
      <x:c r="O440" s="54">
        <x:f>(H440+0)</x:f>
      </x:c>
      <x:c r="P440" s="43"/>
      <x:c r="Q440" s="55">
        <x:f>(K440+M440+O440)</x:f>
      </x:c>
      <x:c r="R440" s="56">
        <x:f>(((L440*7)+(N440*1)+(P440*0))/8)</x:f>
      </x:c>
      <x:c r="S440" s="47">
        <x:f>(180*(Ventas!AE449*0.9644) - IF(K440&gt;0,K440,0))</x:f>
      </x:c>
      <x:c r="T440" s="47">
        <x:f>IF(S440&gt;0,S440,0)</x:f>
      </x:c>
      <x:c r="U440" s="40"/>
      <x:c r="V440" s="40"/>
      <x:c r="W440" s="43"/>
      <x:c r="X440" s="43"/>
      <x:c r="Y440" s="47">
        <x:f>IF(K440&gt;0,K440+IF(T440&gt;0,T440,0),T440)</x:f>
      </x:c>
      <x:c r="Z440" s="40"/>
      <x:c r="AA440" s="43"/>
      <x:c r="AB440" s="6"/>
      <x:c r="AC440" s="6"/>
      <x:c r="AD440" s="40"/>
      <x:c r="AE440" s="40"/>
      <x:c r="AF440" s="43"/>
      <x:c r="AG440" s="43"/>
      <x:c r="AH440" s="6"/>
      <x:c r="AI440" s="6"/>
      <x:c r="AJ440" s="40"/>
      <x:c r="AK440" s="40"/>
      <x:c r="AL440" s="43"/>
      <x:c r="AM440" s="43"/>
      <x:c r="AN440" s="55">
        <x:f>(IF(AH440&gt;0,AH440,0)+IF(AJ440&gt;0,AJ440,0)+IF(AL440&gt;0,AL440,0))</x:f>
      </x:c>
      <x:c r="AO440" s="56">
        <x:f>(((AI440*7)+(AK440*1)+(AM440*1))/8)</x:f>
      </x:c>
      <x:c r="AP440" s="4" t="s">
        <x:v>35</x:v>
      </x:c>
    </x:row>
    <x:row r="441">
      <x:c r="A441" s="4" t="s">
        <x:v>1361</x:v>
      </x:c>
      <x:c r="B441" s="4" t="s">
        <x:v>1360</x:v>
      </x:c>
      <x:c r="C441" s="38" t="s">
        <x:v>1359</x:v>
      </x:c>
      <x:c r="D441" s="41"/>
      <x:c r="E441" s="44"/>
      <x:c r="F441" s="6"/>
      <x:c r="G441" s="40"/>
      <x:c r="H441" s="43"/>
      <x:c r="I441" s="45">
        <x:v>46313</x:v>
      </x:c>
      <x:c r="J441" s="46">
        <x:v>81</x:v>
      </x:c>
      <x:c r="K441" s="47">
        <x:f>(F441-(0)+0-(J441*Ventas!AE450*1.0556))</x:f>
      </x:c>
      <x:c r="L441" s="6"/>
      <x:c r="M441" s="51">
        <x:f>(G441+0)</x:f>
      </x:c>
      <x:c r="N441" s="40"/>
      <x:c r="O441" s="54">
        <x:f>(H441+0)</x:f>
      </x:c>
      <x:c r="P441" s="43"/>
      <x:c r="Q441" s="55">
        <x:f>(K441+M441+O441)</x:f>
      </x:c>
      <x:c r="R441" s="56">
        <x:f>(((L441*7)+(N441*1)+(P441*0))/8)</x:f>
      </x:c>
      <x:c r="S441" s="47">
        <x:f>(180*(Ventas!AE450*0.9644) - IF(K441&gt;0,K441,0))</x:f>
      </x:c>
      <x:c r="T441" s="47">
        <x:f>IF(S441&gt;0,S441,0)</x:f>
      </x:c>
      <x:c r="U441" s="40"/>
      <x:c r="V441" s="40"/>
      <x:c r="W441" s="43"/>
      <x:c r="X441" s="43"/>
      <x:c r="Y441" s="47">
        <x:f>IF(K441&gt;0,K441+IF(T441&gt;0,T441,0),T441)</x:f>
      </x:c>
      <x:c r="Z441" s="40"/>
      <x:c r="AA441" s="43"/>
      <x:c r="AB441" s="6"/>
      <x:c r="AC441" s="6"/>
      <x:c r="AD441" s="40"/>
      <x:c r="AE441" s="40"/>
      <x:c r="AF441" s="43"/>
      <x:c r="AG441" s="43"/>
      <x:c r="AH441" s="6"/>
      <x:c r="AI441" s="6"/>
      <x:c r="AJ441" s="40"/>
      <x:c r="AK441" s="40"/>
      <x:c r="AL441" s="43"/>
      <x:c r="AM441" s="43"/>
      <x:c r="AN441" s="55">
        <x:f>(IF(AH441&gt;0,AH441,0)+IF(AJ441&gt;0,AJ441,0)+IF(AL441&gt;0,AL441,0))</x:f>
      </x:c>
      <x:c r="AO441" s="56">
        <x:f>(((AI441*7)+(AK441*1)+(AM441*1))/8)</x:f>
      </x:c>
      <x:c r="AP441" s="4" t="s">
        <x:v>35</x:v>
      </x:c>
    </x:row>
    <x:row r="442">
      <x:c r="A442" s="4" t="s">
        <x:v>1364</x:v>
      </x:c>
      <x:c r="B442" s="4" t="s">
        <x:v>1363</x:v>
      </x:c>
      <x:c r="C442" s="38" t="s">
        <x:v>1362</x:v>
      </x:c>
      <x:c r="D442" s="41"/>
      <x:c r="E442" s="44"/>
      <x:c r="F442" s="6"/>
      <x:c r="G442" s="40"/>
      <x:c r="H442" s="43"/>
      <x:c r="I442" s="45">
        <x:v>46313</x:v>
      </x:c>
      <x:c r="J442" s="46">
        <x:v>81</x:v>
      </x:c>
      <x:c r="K442" s="47">
        <x:f>(F442-(0)+0-(J442*Ventas!AE451*1.0556))</x:f>
      </x:c>
      <x:c r="L442" s="6"/>
      <x:c r="M442" s="51">
        <x:f>(G442+0)</x:f>
      </x:c>
      <x:c r="N442" s="40"/>
      <x:c r="O442" s="54">
        <x:f>(H442+0)</x:f>
      </x:c>
      <x:c r="P442" s="43"/>
      <x:c r="Q442" s="55">
        <x:f>(K442+M442+O442)</x:f>
      </x:c>
      <x:c r="R442" s="56">
        <x:f>(((L442*7)+(N442*1)+(P442*0))/8)</x:f>
      </x:c>
      <x:c r="S442" s="47">
        <x:f>(180*(Ventas!AE451*0.9644) - IF(K442&gt;0,K442,0))</x:f>
      </x:c>
      <x:c r="T442" s="47">
        <x:f>IF(S442&gt;0,S442,0)</x:f>
      </x:c>
      <x:c r="U442" s="40"/>
      <x:c r="V442" s="40"/>
      <x:c r="W442" s="43"/>
      <x:c r="X442" s="43"/>
      <x:c r="Y442" s="47">
        <x:f>IF(K442&gt;0,K442+IF(T442&gt;0,T442,0),T442)</x:f>
      </x:c>
      <x:c r="Z442" s="40"/>
      <x:c r="AA442" s="43"/>
      <x:c r="AB442" s="6"/>
      <x:c r="AC442" s="6"/>
      <x:c r="AD442" s="40"/>
      <x:c r="AE442" s="40"/>
      <x:c r="AF442" s="43"/>
      <x:c r="AG442" s="43"/>
      <x:c r="AH442" s="6"/>
      <x:c r="AI442" s="6"/>
      <x:c r="AJ442" s="40"/>
      <x:c r="AK442" s="40"/>
      <x:c r="AL442" s="43"/>
      <x:c r="AM442" s="43"/>
      <x:c r="AN442" s="55">
        <x:f>(IF(AH442&gt;0,AH442,0)+IF(AJ442&gt;0,AJ442,0)+IF(AL442&gt;0,AL442,0))</x:f>
      </x:c>
      <x:c r="AO442" s="56">
        <x:f>(((AI442*7)+(AK442*1)+(AM442*1))/8)</x:f>
      </x:c>
      <x:c r="AP442" s="4" t="s">
        <x:v>35</x:v>
      </x:c>
    </x:row>
    <x:row r="443">
      <x:c r="A443" s="4" t="s">
        <x:v>1367</x:v>
      </x:c>
      <x:c r="B443" s="4" t="s">
        <x:v>1366</x:v>
      </x:c>
      <x:c r="C443" s="38" t="s">
        <x:v>1365</x:v>
      </x:c>
      <x:c r="D443" s="41"/>
      <x:c r="E443" s="44"/>
      <x:c r="F443" s="6"/>
      <x:c r="G443" s="40"/>
      <x:c r="H443" s="43"/>
      <x:c r="I443" s="45">
        <x:v>46313</x:v>
      </x:c>
      <x:c r="J443" s="46">
        <x:v>81</x:v>
      </x:c>
      <x:c r="K443" s="47">
        <x:f>(F443-(0)+0-(J443*Ventas!AE452*1.0556))</x:f>
      </x:c>
      <x:c r="L443" s="6"/>
      <x:c r="M443" s="51">
        <x:f>(G443+0)</x:f>
      </x:c>
      <x:c r="N443" s="40"/>
      <x:c r="O443" s="54">
        <x:f>(H443+0)</x:f>
      </x:c>
      <x:c r="P443" s="43"/>
      <x:c r="Q443" s="55">
        <x:f>(K443+M443+O443)</x:f>
      </x:c>
      <x:c r="R443" s="56">
        <x:f>(((L443*7)+(N443*1)+(P443*0))/8)</x:f>
      </x:c>
      <x:c r="S443" s="47">
        <x:f>(180*(Ventas!AE452*0.9644) - IF(K443&gt;0,K443,0))</x:f>
      </x:c>
      <x:c r="T443" s="47">
        <x:f>IF(S443&gt;0,S443,0)</x:f>
      </x:c>
      <x:c r="U443" s="40"/>
      <x:c r="V443" s="40"/>
      <x:c r="W443" s="43"/>
      <x:c r="X443" s="43"/>
      <x:c r="Y443" s="47">
        <x:f>IF(K443&gt;0,K443+IF(T443&gt;0,T443,0),T443)</x:f>
      </x:c>
      <x:c r="Z443" s="40"/>
      <x:c r="AA443" s="43"/>
      <x:c r="AB443" s="6"/>
      <x:c r="AC443" s="6"/>
      <x:c r="AD443" s="40"/>
      <x:c r="AE443" s="40"/>
      <x:c r="AF443" s="43"/>
      <x:c r="AG443" s="43"/>
      <x:c r="AH443" s="6"/>
      <x:c r="AI443" s="6"/>
      <x:c r="AJ443" s="40"/>
      <x:c r="AK443" s="40"/>
      <x:c r="AL443" s="43"/>
      <x:c r="AM443" s="43"/>
      <x:c r="AN443" s="55">
        <x:f>(IF(AH443&gt;0,AH443,0)+IF(AJ443&gt;0,AJ443,0)+IF(AL443&gt;0,AL443,0))</x:f>
      </x:c>
      <x:c r="AO443" s="56">
        <x:f>(((AI443*7)+(AK443*1)+(AM443*1))/8)</x:f>
      </x:c>
      <x:c r="AP443" s="4" t="s">
        <x:v>35</x:v>
      </x:c>
    </x:row>
    <x:row r="444">
      <x:c r="A444" s="4" t="s">
        <x:v>1370</x:v>
      </x:c>
      <x:c r="B444" s="4" t="s">
        <x:v>1369</x:v>
      </x:c>
      <x:c r="C444" s="38" t="s">
        <x:v>1368</x:v>
      </x:c>
      <x:c r="D444" s="41"/>
      <x:c r="E444" s="44"/>
      <x:c r="F444" s="6"/>
      <x:c r="G444" s="40"/>
      <x:c r="H444" s="43"/>
      <x:c r="I444" s="45">
        <x:v>46313</x:v>
      </x:c>
      <x:c r="J444" s="46">
        <x:v>81</x:v>
      </x:c>
      <x:c r="K444" s="47">
        <x:f>(F444-(0)+0-(J444*Ventas!AE453*1.0556))</x:f>
      </x:c>
      <x:c r="L444" s="6"/>
      <x:c r="M444" s="51">
        <x:f>(G444+0)</x:f>
      </x:c>
      <x:c r="N444" s="40"/>
      <x:c r="O444" s="54">
        <x:f>(H444+0)</x:f>
      </x:c>
      <x:c r="P444" s="43"/>
      <x:c r="Q444" s="55">
        <x:f>(K444+M444+O444)</x:f>
      </x:c>
      <x:c r="R444" s="56">
        <x:f>(((L444*7)+(N444*1)+(P444*0))/8)</x:f>
      </x:c>
      <x:c r="S444" s="47">
        <x:f>(180*(Ventas!AE453*0.9644) - IF(K444&gt;0,K444,0))</x:f>
      </x:c>
      <x:c r="T444" s="47">
        <x:f>IF(S444&gt;0,S444,0)</x:f>
      </x:c>
      <x:c r="U444" s="40"/>
      <x:c r="V444" s="40"/>
      <x:c r="W444" s="43"/>
      <x:c r="X444" s="43"/>
      <x:c r="Y444" s="47">
        <x:f>IF(K444&gt;0,K444+IF(T444&gt;0,T444,0),T444)</x:f>
      </x:c>
      <x:c r="Z444" s="40"/>
      <x:c r="AA444" s="43"/>
      <x:c r="AB444" s="6"/>
      <x:c r="AC444" s="6"/>
      <x:c r="AD444" s="40"/>
      <x:c r="AE444" s="40"/>
      <x:c r="AF444" s="43"/>
      <x:c r="AG444" s="43"/>
      <x:c r="AH444" s="6"/>
      <x:c r="AI444" s="6"/>
      <x:c r="AJ444" s="40"/>
      <x:c r="AK444" s="40"/>
      <x:c r="AL444" s="43"/>
      <x:c r="AM444" s="43"/>
      <x:c r="AN444" s="55">
        <x:f>(IF(AH444&gt;0,AH444,0)+IF(AJ444&gt;0,AJ444,0)+IF(AL444&gt;0,AL444,0))</x:f>
      </x:c>
      <x:c r="AO444" s="56">
        <x:f>(((AI444*7)+(AK444*1)+(AM444*1))/8)</x:f>
      </x:c>
      <x:c r="AP444" s="4" t="s">
        <x:v>35</x:v>
      </x:c>
    </x:row>
    <x:row r="445">
      <x:c r="A445" s="4" t="s">
        <x:v>1373</x:v>
      </x:c>
      <x:c r="B445" s="4" t="s">
        <x:v>1372</x:v>
      </x:c>
      <x:c r="C445" s="38" t="s">
        <x:v>1371</x:v>
      </x:c>
      <x:c r="D445" s="41"/>
      <x:c r="E445" s="44"/>
      <x:c r="F445" s="6"/>
      <x:c r="G445" s="40"/>
      <x:c r="H445" s="43"/>
      <x:c r="I445" s="45">
        <x:v>46313</x:v>
      </x:c>
      <x:c r="J445" s="46">
        <x:v>81</x:v>
      </x:c>
      <x:c r="K445" s="47">
        <x:f>(F445-(0)+0-(J445*Ventas!AE454*1.0556))</x:f>
      </x:c>
      <x:c r="L445" s="6"/>
      <x:c r="M445" s="51">
        <x:f>(G445+0)</x:f>
      </x:c>
      <x:c r="N445" s="40"/>
      <x:c r="O445" s="54">
        <x:f>(H445+0)</x:f>
      </x:c>
      <x:c r="P445" s="43"/>
      <x:c r="Q445" s="55">
        <x:f>(K445+M445+O445)</x:f>
      </x:c>
      <x:c r="R445" s="56">
        <x:f>(((L445*7)+(N445*1)+(P445*0))/8)</x:f>
      </x:c>
      <x:c r="S445" s="47">
        <x:f>(180*(Ventas!AE454*0.9644) - IF(K445&gt;0,K445,0))</x:f>
      </x:c>
      <x:c r="T445" s="47">
        <x:f>IF(S445&gt;0,S445,0)</x:f>
      </x:c>
      <x:c r="U445" s="40"/>
      <x:c r="V445" s="40"/>
      <x:c r="W445" s="43"/>
      <x:c r="X445" s="43"/>
      <x:c r="Y445" s="47">
        <x:f>IF(K445&gt;0,K445+IF(T445&gt;0,T445,0),T445)</x:f>
      </x:c>
      <x:c r="Z445" s="40"/>
      <x:c r="AA445" s="43"/>
      <x:c r="AB445" s="6"/>
      <x:c r="AC445" s="6"/>
      <x:c r="AD445" s="40"/>
      <x:c r="AE445" s="40"/>
      <x:c r="AF445" s="43"/>
      <x:c r="AG445" s="43"/>
      <x:c r="AH445" s="6"/>
      <x:c r="AI445" s="6"/>
      <x:c r="AJ445" s="40"/>
      <x:c r="AK445" s="40"/>
      <x:c r="AL445" s="43"/>
      <x:c r="AM445" s="43"/>
      <x:c r="AN445" s="55">
        <x:f>(IF(AH445&gt;0,AH445,0)+IF(AJ445&gt;0,AJ445,0)+IF(AL445&gt;0,AL445,0))</x:f>
      </x:c>
      <x:c r="AO445" s="56">
        <x:f>(((AI445*7)+(AK445*1)+(AM445*1))/8)</x:f>
      </x:c>
      <x:c r="AP445" s="4" t="s">
        <x:v>35</x:v>
      </x:c>
    </x:row>
    <x:row r="446">
      <x:c r="A446" s="4" t="s">
        <x:v>1376</x:v>
      </x:c>
      <x:c r="B446" s="4" t="s">
        <x:v>1375</x:v>
      </x:c>
      <x:c r="C446" s="38" t="s">
        <x:v>1374</x:v>
      </x:c>
      <x:c r="D446" s="41"/>
      <x:c r="E446" s="44"/>
      <x:c r="F446" s="6"/>
      <x:c r="G446" s="40"/>
      <x:c r="H446" s="43"/>
      <x:c r="I446" s="45">
        <x:v>46313</x:v>
      </x:c>
      <x:c r="J446" s="46">
        <x:v>81</x:v>
      </x:c>
      <x:c r="K446" s="47">
        <x:f>(F446-(0)+0-(J446*Ventas!AE455*1.0556))</x:f>
      </x:c>
      <x:c r="L446" s="6"/>
      <x:c r="M446" s="51">
        <x:f>(G446+0)</x:f>
      </x:c>
      <x:c r="N446" s="40"/>
      <x:c r="O446" s="54">
        <x:f>(H446+0)</x:f>
      </x:c>
      <x:c r="P446" s="43"/>
      <x:c r="Q446" s="55">
        <x:f>(K446+M446+O446)</x:f>
      </x:c>
      <x:c r="R446" s="56">
        <x:f>(((L446*7)+(N446*1)+(P446*0))/8)</x:f>
      </x:c>
      <x:c r="S446" s="47">
        <x:f>(180*(Ventas!AE455*0.9644) - IF(K446&gt;0,K446,0))</x:f>
      </x:c>
      <x:c r="T446" s="47">
        <x:f>IF(S446&gt;0,S446,0)</x:f>
      </x:c>
      <x:c r="U446" s="40"/>
      <x:c r="V446" s="40"/>
      <x:c r="W446" s="43"/>
      <x:c r="X446" s="43"/>
      <x:c r="Y446" s="47">
        <x:f>IF(K446&gt;0,K446+IF(T446&gt;0,T446,0),T446)</x:f>
      </x:c>
      <x:c r="Z446" s="40"/>
      <x:c r="AA446" s="43"/>
      <x:c r="AB446" s="6"/>
      <x:c r="AC446" s="6"/>
      <x:c r="AD446" s="40"/>
      <x:c r="AE446" s="40"/>
      <x:c r="AF446" s="43"/>
      <x:c r="AG446" s="43"/>
      <x:c r="AH446" s="6"/>
      <x:c r="AI446" s="6"/>
      <x:c r="AJ446" s="40"/>
      <x:c r="AK446" s="40"/>
      <x:c r="AL446" s="43"/>
      <x:c r="AM446" s="43"/>
      <x:c r="AN446" s="55">
        <x:f>(IF(AH446&gt;0,AH446,0)+IF(AJ446&gt;0,AJ446,0)+IF(AL446&gt;0,AL446,0))</x:f>
      </x:c>
      <x:c r="AO446" s="56">
        <x:f>(((AI446*7)+(AK446*1)+(AM446*1))/8)</x:f>
      </x:c>
      <x:c r="AP446" s="4" t="s">
        <x:v>35</x:v>
      </x:c>
    </x:row>
    <x:row r="447">
      <x:c r="A447" s="4" t="s">
        <x:v>1379</x:v>
      </x:c>
      <x:c r="B447" s="4" t="s">
        <x:v>1378</x:v>
      </x:c>
      <x:c r="C447" s="38" t="s">
        <x:v>1377</x:v>
      </x:c>
      <x:c r="D447" s="41"/>
      <x:c r="E447" s="44"/>
      <x:c r="F447" s="6"/>
      <x:c r="G447" s="40"/>
      <x:c r="H447" s="43"/>
      <x:c r="I447" s="45">
        <x:v>46313</x:v>
      </x:c>
      <x:c r="J447" s="46">
        <x:v>81</x:v>
      </x:c>
      <x:c r="K447" s="47">
        <x:f>(F447-(0)+0-(J447*Ventas!AE456*1.0556))</x:f>
      </x:c>
      <x:c r="L447" s="6"/>
      <x:c r="M447" s="51">
        <x:f>(G447+0)</x:f>
      </x:c>
      <x:c r="N447" s="40"/>
      <x:c r="O447" s="54">
        <x:f>(H447+0)</x:f>
      </x:c>
      <x:c r="P447" s="43"/>
      <x:c r="Q447" s="55">
        <x:f>(K447+M447+O447)</x:f>
      </x:c>
      <x:c r="R447" s="56">
        <x:f>(((L447*7)+(N447*1)+(P447*0))/8)</x:f>
      </x:c>
      <x:c r="S447" s="47">
        <x:f>(180*(Ventas!AE456*0.9644) - IF(K447&gt;0,K447,0))</x:f>
      </x:c>
      <x:c r="T447" s="47">
        <x:f>IF(S447&gt;0,S447,0)</x:f>
      </x:c>
      <x:c r="U447" s="40"/>
      <x:c r="V447" s="40"/>
      <x:c r="W447" s="43"/>
      <x:c r="X447" s="43"/>
      <x:c r="Y447" s="47">
        <x:f>IF(K447&gt;0,K447+IF(T447&gt;0,T447,0),T447)</x:f>
      </x:c>
      <x:c r="Z447" s="40"/>
      <x:c r="AA447" s="43"/>
      <x:c r="AB447" s="6"/>
      <x:c r="AC447" s="6"/>
      <x:c r="AD447" s="40"/>
      <x:c r="AE447" s="40"/>
      <x:c r="AF447" s="43"/>
      <x:c r="AG447" s="43"/>
      <x:c r="AH447" s="6"/>
      <x:c r="AI447" s="6"/>
      <x:c r="AJ447" s="40"/>
      <x:c r="AK447" s="40"/>
      <x:c r="AL447" s="43"/>
      <x:c r="AM447" s="43"/>
      <x:c r="AN447" s="55">
        <x:f>(IF(AH447&gt;0,AH447,0)+IF(AJ447&gt;0,AJ447,0)+IF(AL447&gt;0,AL447,0))</x:f>
      </x:c>
      <x:c r="AO447" s="56">
        <x:f>(((AI447*7)+(AK447*1)+(AM447*1))/8)</x:f>
      </x:c>
      <x:c r="AP447" s="4" t="s">
        <x:v>35</x:v>
      </x:c>
    </x:row>
    <x:row r="448">
      <x:c r="A448" s="4" t="s">
        <x:v>1382</x:v>
      </x:c>
      <x:c r="B448" s="4" t="s">
        <x:v>1381</x:v>
      </x:c>
      <x:c r="C448" s="38" t="s">
        <x:v>1380</x:v>
      </x:c>
      <x:c r="D448" s="41"/>
      <x:c r="E448" s="44"/>
      <x:c r="F448" s="6"/>
      <x:c r="G448" s="40"/>
      <x:c r="H448" s="43"/>
      <x:c r="I448" s="45">
        <x:v>46313</x:v>
      </x:c>
      <x:c r="J448" s="46">
        <x:v>81</x:v>
      </x:c>
      <x:c r="K448" s="47">
        <x:f>(F448-(0)+0-(J448*Ventas!AE457*1.0556))</x:f>
      </x:c>
      <x:c r="L448" s="6"/>
      <x:c r="M448" s="51">
        <x:f>(G448+0)</x:f>
      </x:c>
      <x:c r="N448" s="40"/>
      <x:c r="O448" s="54">
        <x:f>(H448+0)</x:f>
      </x:c>
      <x:c r="P448" s="43"/>
      <x:c r="Q448" s="55">
        <x:f>(K448+M448+O448)</x:f>
      </x:c>
      <x:c r="R448" s="56">
        <x:f>(((L448*7)+(N448*1)+(P448*0))/8)</x:f>
      </x:c>
      <x:c r="S448" s="47">
        <x:f>(180*(Ventas!AE457*0.9644) - IF(K448&gt;0,K448,0))</x:f>
      </x:c>
      <x:c r="T448" s="47">
        <x:f>IF(S448&gt;0,S448,0)</x:f>
      </x:c>
      <x:c r="U448" s="40"/>
      <x:c r="V448" s="40"/>
      <x:c r="W448" s="43"/>
      <x:c r="X448" s="43"/>
      <x:c r="Y448" s="47">
        <x:f>IF(K448&gt;0,K448+IF(T448&gt;0,T448,0),T448)</x:f>
      </x:c>
      <x:c r="Z448" s="40"/>
      <x:c r="AA448" s="43"/>
      <x:c r="AB448" s="6"/>
      <x:c r="AC448" s="6"/>
      <x:c r="AD448" s="40"/>
      <x:c r="AE448" s="40"/>
      <x:c r="AF448" s="43"/>
      <x:c r="AG448" s="43"/>
      <x:c r="AH448" s="6"/>
      <x:c r="AI448" s="6"/>
      <x:c r="AJ448" s="40"/>
      <x:c r="AK448" s="40"/>
      <x:c r="AL448" s="43"/>
      <x:c r="AM448" s="43"/>
      <x:c r="AN448" s="55">
        <x:f>(IF(AH448&gt;0,AH448,0)+IF(AJ448&gt;0,AJ448,0)+IF(AL448&gt;0,AL448,0))</x:f>
      </x:c>
      <x:c r="AO448" s="56">
        <x:f>(((AI448*7)+(AK448*1)+(AM448*1))/8)</x:f>
      </x:c>
      <x:c r="AP448" s="4" t="s">
        <x:v>35</x:v>
      </x:c>
    </x:row>
    <x:row r="449">
      <x:c r="A449" s="4" t="s">
        <x:v>1385</x:v>
      </x:c>
      <x:c r="B449" s="4" t="s">
        <x:v>1384</x:v>
      </x:c>
      <x:c r="C449" s="38" t="s">
        <x:v>1383</x:v>
      </x:c>
      <x:c r="D449" s="41"/>
      <x:c r="E449" s="44"/>
      <x:c r="F449" s="6"/>
      <x:c r="G449" s="40"/>
      <x:c r="H449" s="43"/>
      <x:c r="I449" s="45">
        <x:v>46313</x:v>
      </x:c>
      <x:c r="J449" s="46">
        <x:v>81</x:v>
      </x:c>
      <x:c r="K449" s="47">
        <x:f>(F449-(0)+0-(J449*Ventas!AE458*1.0556))</x:f>
      </x:c>
      <x:c r="L449" s="6"/>
      <x:c r="M449" s="51">
        <x:f>(G449+0)</x:f>
      </x:c>
      <x:c r="N449" s="40"/>
      <x:c r="O449" s="54">
        <x:f>(H449+0)</x:f>
      </x:c>
      <x:c r="P449" s="43"/>
      <x:c r="Q449" s="55">
        <x:f>(K449+M449+O449)</x:f>
      </x:c>
      <x:c r="R449" s="56">
        <x:f>(((L449*7)+(N449*1)+(P449*0))/8)</x:f>
      </x:c>
      <x:c r="S449" s="47">
        <x:f>(180*(Ventas!AE458*0.9644) - IF(K449&gt;0,K449,0))</x:f>
      </x:c>
      <x:c r="T449" s="47">
        <x:f>IF(S449&gt;0,S449,0)</x:f>
      </x:c>
      <x:c r="U449" s="40"/>
      <x:c r="V449" s="40"/>
      <x:c r="W449" s="43"/>
      <x:c r="X449" s="43"/>
      <x:c r="Y449" s="47">
        <x:f>IF(K449&gt;0,K449+IF(T449&gt;0,T449,0),T449)</x:f>
      </x:c>
      <x:c r="Z449" s="40"/>
      <x:c r="AA449" s="43"/>
      <x:c r="AB449" s="6"/>
      <x:c r="AC449" s="6"/>
      <x:c r="AD449" s="40"/>
      <x:c r="AE449" s="40"/>
      <x:c r="AF449" s="43"/>
      <x:c r="AG449" s="43"/>
      <x:c r="AH449" s="6"/>
      <x:c r="AI449" s="6"/>
      <x:c r="AJ449" s="40"/>
      <x:c r="AK449" s="40"/>
      <x:c r="AL449" s="43"/>
      <x:c r="AM449" s="43"/>
      <x:c r="AN449" s="55">
        <x:f>(IF(AH449&gt;0,AH449,0)+IF(AJ449&gt;0,AJ449,0)+IF(AL449&gt;0,AL449,0))</x:f>
      </x:c>
      <x:c r="AO449" s="56">
        <x:f>(((AI449*7)+(AK449*1)+(AM449*1))/8)</x:f>
      </x:c>
      <x:c r="AP449" s="4" t="s">
        <x:v>35</x:v>
      </x:c>
    </x:row>
    <x:row r="450">
      <x:c r="A450" s="4" t="s">
        <x:v>1388</x:v>
      </x:c>
      <x:c r="B450" s="4" t="s">
        <x:v>1387</x:v>
      </x:c>
      <x:c r="C450" s="38" t="s">
        <x:v>1386</x:v>
      </x:c>
      <x:c r="D450" s="41"/>
      <x:c r="E450" s="44"/>
      <x:c r="F450" s="6"/>
      <x:c r="G450" s="40"/>
      <x:c r="H450" s="43"/>
      <x:c r="I450" s="45">
        <x:v>46313</x:v>
      </x:c>
      <x:c r="J450" s="46">
        <x:v>81</x:v>
      </x:c>
      <x:c r="K450" s="47">
        <x:f>(F450-(0)+0-(J450*Ventas!AE459*1.0556))</x:f>
      </x:c>
      <x:c r="L450" s="6"/>
      <x:c r="M450" s="51">
        <x:f>(G450+0)</x:f>
      </x:c>
      <x:c r="N450" s="40"/>
      <x:c r="O450" s="54">
        <x:f>(H450+0)</x:f>
      </x:c>
      <x:c r="P450" s="43"/>
      <x:c r="Q450" s="55">
        <x:f>(K450+M450+O450)</x:f>
      </x:c>
      <x:c r="R450" s="56">
        <x:f>(((L450*7)+(N450*1)+(P450*0))/8)</x:f>
      </x:c>
      <x:c r="S450" s="47">
        <x:f>(180*(Ventas!AE459*0.9644) - IF(K450&gt;0,K450,0))</x:f>
      </x:c>
      <x:c r="T450" s="47">
        <x:f>IF(S450&gt;0,S450,0)</x:f>
      </x:c>
      <x:c r="U450" s="40"/>
      <x:c r="V450" s="40"/>
      <x:c r="W450" s="43"/>
      <x:c r="X450" s="43"/>
      <x:c r="Y450" s="47">
        <x:f>IF(K450&gt;0,K450+IF(T450&gt;0,T450,0),T450)</x:f>
      </x:c>
      <x:c r="Z450" s="40"/>
      <x:c r="AA450" s="43"/>
      <x:c r="AB450" s="6"/>
      <x:c r="AC450" s="6"/>
      <x:c r="AD450" s="40"/>
      <x:c r="AE450" s="40"/>
      <x:c r="AF450" s="43"/>
      <x:c r="AG450" s="43"/>
      <x:c r="AH450" s="6"/>
      <x:c r="AI450" s="6"/>
      <x:c r="AJ450" s="40"/>
      <x:c r="AK450" s="40"/>
      <x:c r="AL450" s="43"/>
      <x:c r="AM450" s="43"/>
      <x:c r="AN450" s="55">
        <x:f>(IF(AH450&gt;0,AH450,0)+IF(AJ450&gt;0,AJ450,0)+IF(AL450&gt;0,AL450,0))</x:f>
      </x:c>
      <x:c r="AO450" s="56">
        <x:f>(((AI450*7)+(AK450*1)+(AM450*1))/8)</x:f>
      </x:c>
      <x:c r="AP450" s="4" t="s">
        <x:v>35</x:v>
      </x:c>
    </x:row>
    <x:row r="451">
      <x:c r="A451" s="4" t="s">
        <x:v>1391</x:v>
      </x:c>
      <x:c r="B451" s="4" t="s">
        <x:v>1390</x:v>
      </x:c>
      <x:c r="C451" s="38" t="s">
        <x:v>1389</x:v>
      </x:c>
      <x:c r="D451" s="41"/>
      <x:c r="E451" s="44"/>
      <x:c r="F451" s="6"/>
      <x:c r="G451" s="40"/>
      <x:c r="H451" s="43"/>
      <x:c r="I451" s="45">
        <x:v>46313</x:v>
      </x:c>
      <x:c r="J451" s="46">
        <x:v>81</x:v>
      </x:c>
      <x:c r="K451" s="47">
        <x:f>(F451-(0)+0-(J451*Ventas!AE460*1.0556))</x:f>
      </x:c>
      <x:c r="L451" s="6"/>
      <x:c r="M451" s="51">
        <x:f>(G451+0)</x:f>
      </x:c>
      <x:c r="N451" s="40"/>
      <x:c r="O451" s="54">
        <x:f>(H451+0)</x:f>
      </x:c>
      <x:c r="P451" s="43"/>
      <x:c r="Q451" s="55">
        <x:f>(K451+M451+O451)</x:f>
      </x:c>
      <x:c r="R451" s="56">
        <x:f>(((L451*7)+(N451*1)+(P451*0))/8)</x:f>
      </x:c>
      <x:c r="S451" s="47">
        <x:f>(180*(Ventas!AE460*0.9644) - IF(K451&gt;0,K451,0))</x:f>
      </x:c>
      <x:c r="T451" s="47">
        <x:f>IF(S451&gt;0,S451,0)</x:f>
      </x:c>
      <x:c r="U451" s="40"/>
      <x:c r="V451" s="40"/>
      <x:c r="W451" s="43"/>
      <x:c r="X451" s="43"/>
      <x:c r="Y451" s="47">
        <x:f>IF(K451&gt;0,K451+IF(T451&gt;0,T451,0),T451)</x:f>
      </x:c>
      <x:c r="Z451" s="40"/>
      <x:c r="AA451" s="43"/>
      <x:c r="AB451" s="6"/>
      <x:c r="AC451" s="6"/>
      <x:c r="AD451" s="40"/>
      <x:c r="AE451" s="40"/>
      <x:c r="AF451" s="43"/>
      <x:c r="AG451" s="43"/>
      <x:c r="AH451" s="6"/>
      <x:c r="AI451" s="6"/>
      <x:c r="AJ451" s="40"/>
      <x:c r="AK451" s="40"/>
      <x:c r="AL451" s="43"/>
      <x:c r="AM451" s="43"/>
      <x:c r="AN451" s="55">
        <x:f>(IF(AH451&gt;0,AH451,0)+IF(AJ451&gt;0,AJ451,0)+IF(AL451&gt;0,AL451,0))</x:f>
      </x:c>
      <x:c r="AO451" s="56">
        <x:f>(((AI451*7)+(AK451*1)+(AM451*1))/8)</x:f>
      </x:c>
      <x:c r="AP451" s="4" t="s">
        <x:v>35</x:v>
      </x:c>
    </x:row>
    <x:row r="452">
      <x:c r="A452" s="4" t="s">
        <x:v>1393</x:v>
      </x:c>
      <x:c r="B452" s="4" t="s">
        <x:v>1276</x:v>
      </x:c>
      <x:c r="C452" s="38" t="s">
        <x:v>1392</x:v>
      </x:c>
      <x:c r="D452" s="41"/>
      <x:c r="E452" s="44"/>
      <x:c r="F452" s="6"/>
      <x:c r="G452" s="40"/>
      <x:c r="H452" s="43"/>
      <x:c r="I452" s="45">
        <x:v>46313</x:v>
      </x:c>
      <x:c r="J452" s="46">
        <x:v>81</x:v>
      </x:c>
      <x:c r="K452" s="47">
        <x:f>(F452-(0)+0-(J452*Ventas!AE461*1.0556))</x:f>
      </x:c>
      <x:c r="L452" s="6"/>
      <x:c r="M452" s="51">
        <x:f>(G452+0)</x:f>
      </x:c>
      <x:c r="N452" s="40"/>
      <x:c r="O452" s="54">
        <x:f>(H452+0)</x:f>
      </x:c>
      <x:c r="P452" s="43"/>
      <x:c r="Q452" s="55">
        <x:f>(K452+M452+O452)</x:f>
      </x:c>
      <x:c r="R452" s="56">
        <x:f>(((L452*7)+(N452*1)+(P452*0))/8)</x:f>
      </x:c>
      <x:c r="S452" s="47">
        <x:f>(180*(Ventas!AE461*0.9644) - IF(K452&gt;0,K452,0))</x:f>
      </x:c>
      <x:c r="T452" s="47">
        <x:f>IF(S452&gt;0,S452,0)</x:f>
      </x:c>
      <x:c r="U452" s="40"/>
      <x:c r="V452" s="40"/>
      <x:c r="W452" s="43"/>
      <x:c r="X452" s="43"/>
      <x:c r="Y452" s="47">
        <x:f>IF(K452&gt;0,K452+IF(T452&gt;0,T452,0),T452)</x:f>
      </x:c>
      <x:c r="Z452" s="40"/>
      <x:c r="AA452" s="43"/>
      <x:c r="AB452" s="6"/>
      <x:c r="AC452" s="6"/>
      <x:c r="AD452" s="40"/>
      <x:c r="AE452" s="40"/>
      <x:c r="AF452" s="43"/>
      <x:c r="AG452" s="43"/>
      <x:c r="AH452" s="6"/>
      <x:c r="AI452" s="6"/>
      <x:c r="AJ452" s="40"/>
      <x:c r="AK452" s="40"/>
      <x:c r="AL452" s="43"/>
      <x:c r="AM452" s="43"/>
      <x:c r="AN452" s="55">
        <x:f>(IF(AH452&gt;0,AH452,0)+IF(AJ452&gt;0,AJ452,0)+IF(AL452&gt;0,AL452,0))</x:f>
      </x:c>
      <x:c r="AO452" s="56">
        <x:f>(((AI452*7)+(AK452*1)+(AM452*1))/8)</x:f>
      </x:c>
      <x:c r="AP452" s="4" t="s">
        <x:v>35</x:v>
      </x:c>
    </x:row>
    <x:row r="453">
      <x:c r="A453" s="4" t="s">
        <x:v>1396</x:v>
      </x:c>
      <x:c r="B453" s="4" t="s">
        <x:v>1395</x:v>
      </x:c>
      <x:c r="C453" s="38" t="s">
        <x:v>1394</x:v>
      </x:c>
      <x:c r="D453" s="41"/>
      <x:c r="E453" s="44"/>
      <x:c r="F453" s="8">
        <x:v>48</x:v>
      </x:c>
      <x:c r="G453" s="40"/>
      <x:c r="H453" s="43"/>
      <x:c r="I453" s="45">
        <x:v>46313</x:v>
      </x:c>
      <x:c r="J453" s="46">
        <x:v>81</x:v>
      </x:c>
      <x:c r="K453" s="47">
        <x:f>(F453-(0)+0-(J453*Ventas!AE462*1.0556))</x:f>
      </x:c>
      <x:c r="L453" s="49">
        <x:f>(K453/(Ventas!AE462*1.0556)/80)</x:f>
      </x:c>
      <x:c r="M453" s="51">
        <x:f>(G453+0)</x:f>
      </x:c>
      <x:c r="N453" s="40"/>
      <x:c r="O453" s="54">
        <x:f>(H453+0)</x:f>
      </x:c>
      <x:c r="P453" s="43"/>
      <x:c r="Q453" s="55">
        <x:f>(K453+M453+O453)</x:f>
      </x:c>
      <x:c r="R453" s="56">
        <x:f>(((L453*7)+(N453*1)+(P453*0))/8)</x:f>
      </x:c>
      <x:c r="S453" s="47">
        <x:f>(180*(Ventas!AE462*0.9644) - IF(K453&gt;0,K453,0))</x:f>
      </x:c>
      <x:c r="T453" s="47">
        <x:f>IF(S453&gt;0,S453,0)</x:f>
      </x:c>
      <x:c r="U453" s="40"/>
      <x:c r="V453" s="40"/>
      <x:c r="W453" s="43"/>
      <x:c r="X453" s="43"/>
      <x:c r="Y453" s="47">
        <x:f>IF(K453&gt;0,K453+IF(T453&gt;0,T453,0),T453)</x:f>
      </x:c>
      <x:c r="Z453" s="40"/>
      <x:c r="AA453" s="43"/>
      <x:c r="AB453" s="50">
        <x:v>1.95</x:v>
      </x:c>
      <x:c r="AC453" s="8">
        <x:v>3016</x:v>
      </x:c>
      <x:c r="AD453" s="40"/>
      <x:c r="AE453" s="40"/>
      <x:c r="AF453" s="43"/>
      <x:c r="AG453" s="43"/>
      <x:c r="AH453" s="47">
        <x:f>(Y453-(90*Ventas!AE462*0.9644))</x:f>
      </x:c>
      <x:c r="AI453" s="49">
        <x:f>(AH453/(Ventas!AE462*0.9644)/80)</x:f>
      </x:c>
      <x:c r="AJ453" s="40"/>
      <x:c r="AK453" s="40"/>
      <x:c r="AL453" s="43"/>
      <x:c r="AM453" s="43"/>
      <x:c r="AN453" s="55">
        <x:f>(IF(AH453&gt;0,AH453,0)+IF(AJ453&gt;0,AJ453,0)+IF(AL453&gt;0,AL453,0))</x:f>
      </x:c>
      <x:c r="AO453" s="56">
        <x:f>(((AI453*7)+(AK453*1)+(AM453*1))/8)</x:f>
      </x:c>
      <x:c r="AP453" s="4" t="s">
        <x:v>35</x:v>
      </x:c>
    </x:row>
    <x:row r="454">
      <x:c r="A454" s="4" t="s">
        <x:v>1399</x:v>
      </x:c>
      <x:c r="B454" s="4" t="s">
        <x:v>1398</x:v>
      </x:c>
      <x:c r="C454" s="38" t="s">
        <x:v>1397</x:v>
      </x:c>
      <x:c r="D454" s="41"/>
      <x:c r="E454" s="44"/>
      <x:c r="F454" s="6"/>
      <x:c r="G454" s="40"/>
      <x:c r="H454" s="43"/>
      <x:c r="I454" s="45">
        <x:v>46313</x:v>
      </x:c>
      <x:c r="J454" s="46">
        <x:v>81</x:v>
      </x:c>
      <x:c r="K454" s="47">
        <x:f>(F454-(0)+0-(J454*Ventas!AE463*1.0556))</x:f>
      </x:c>
      <x:c r="L454" s="6"/>
      <x:c r="M454" s="51">
        <x:f>(G454+0)</x:f>
      </x:c>
      <x:c r="N454" s="40"/>
      <x:c r="O454" s="54">
        <x:f>(H454+0)</x:f>
      </x:c>
      <x:c r="P454" s="43"/>
      <x:c r="Q454" s="55">
        <x:f>(K454+M454+O454)</x:f>
      </x:c>
      <x:c r="R454" s="56">
        <x:f>(((L454*7)+(N454*1)+(P454*0))/8)</x:f>
      </x:c>
      <x:c r="S454" s="47">
        <x:f>(180*(Ventas!AE463*0.9644) - IF(K454&gt;0,K454,0))</x:f>
      </x:c>
      <x:c r="T454" s="47">
        <x:f>IF(S454&gt;0,S454,0)</x:f>
      </x:c>
      <x:c r="U454" s="40"/>
      <x:c r="V454" s="40"/>
      <x:c r="W454" s="43"/>
      <x:c r="X454" s="43"/>
      <x:c r="Y454" s="47">
        <x:f>IF(K454&gt;0,K454+IF(T454&gt;0,T454,0),T454)</x:f>
      </x:c>
      <x:c r="Z454" s="40"/>
      <x:c r="AA454" s="43"/>
      <x:c r="AB454" s="6"/>
      <x:c r="AC454" s="6"/>
      <x:c r="AD454" s="40"/>
      <x:c r="AE454" s="40"/>
      <x:c r="AF454" s="43"/>
      <x:c r="AG454" s="43"/>
      <x:c r="AH454" s="6"/>
      <x:c r="AI454" s="6"/>
      <x:c r="AJ454" s="40"/>
      <x:c r="AK454" s="40"/>
      <x:c r="AL454" s="43"/>
      <x:c r="AM454" s="43"/>
      <x:c r="AN454" s="55">
        <x:f>(IF(AH454&gt;0,AH454,0)+IF(AJ454&gt;0,AJ454,0)+IF(AL454&gt;0,AL454,0))</x:f>
      </x:c>
      <x:c r="AO454" s="56">
        <x:f>(((AI454*7)+(AK454*1)+(AM454*1))/8)</x:f>
      </x:c>
      <x:c r="AP454" s="4" t="s">
        <x:v>35</x:v>
      </x:c>
    </x:row>
    <x:row r="455">
      <x:c r="A455" s="4" t="s">
        <x:v>1402</x:v>
      </x:c>
      <x:c r="B455" s="4" t="s">
        <x:v>1401</x:v>
      </x:c>
      <x:c r="C455" s="38" t="s">
        <x:v>1400</x:v>
      </x:c>
      <x:c r="D455" s="41"/>
      <x:c r="E455" s="44"/>
      <x:c r="F455" s="6"/>
      <x:c r="G455" s="40"/>
      <x:c r="H455" s="43"/>
      <x:c r="I455" s="45">
        <x:v>46313</x:v>
      </x:c>
      <x:c r="J455" s="46">
        <x:v>81</x:v>
      </x:c>
      <x:c r="K455" s="47">
        <x:f>(F455-(0)+0-(J455*Ventas!AE464*1.0556))</x:f>
      </x:c>
      <x:c r="L455" s="6"/>
      <x:c r="M455" s="51">
        <x:f>(G455+0)</x:f>
      </x:c>
      <x:c r="N455" s="40"/>
      <x:c r="O455" s="54">
        <x:f>(H455+0)</x:f>
      </x:c>
      <x:c r="P455" s="43"/>
      <x:c r="Q455" s="55">
        <x:f>(K455+M455+O455)</x:f>
      </x:c>
      <x:c r="R455" s="56">
        <x:f>(((L455*7)+(N455*1)+(P455*0))/8)</x:f>
      </x:c>
      <x:c r="S455" s="47">
        <x:f>(180*(Ventas!AE464*0.9644) - IF(K455&gt;0,K455,0))</x:f>
      </x:c>
      <x:c r="T455" s="47">
        <x:f>IF(S455&gt;0,S455,0)</x:f>
      </x:c>
      <x:c r="U455" s="40"/>
      <x:c r="V455" s="40"/>
      <x:c r="W455" s="43"/>
      <x:c r="X455" s="43"/>
      <x:c r="Y455" s="47">
        <x:f>IF(K455&gt;0,K455+IF(T455&gt;0,T455,0),T455)</x:f>
      </x:c>
      <x:c r="Z455" s="40"/>
      <x:c r="AA455" s="43"/>
      <x:c r="AB455" s="6"/>
      <x:c r="AC455" s="6"/>
      <x:c r="AD455" s="40"/>
      <x:c r="AE455" s="40"/>
      <x:c r="AF455" s="43"/>
      <x:c r="AG455" s="43"/>
      <x:c r="AH455" s="6"/>
      <x:c r="AI455" s="6"/>
      <x:c r="AJ455" s="40"/>
      <x:c r="AK455" s="40"/>
      <x:c r="AL455" s="43"/>
      <x:c r="AM455" s="43"/>
      <x:c r="AN455" s="55">
        <x:f>(IF(AH455&gt;0,AH455,0)+IF(AJ455&gt;0,AJ455,0)+IF(AL455&gt;0,AL455,0))</x:f>
      </x:c>
      <x:c r="AO455" s="56">
        <x:f>(((AI455*7)+(AK455*1)+(AM455*1))/8)</x:f>
      </x:c>
      <x:c r="AP455" s="4" t="s">
        <x:v>35</x:v>
      </x:c>
    </x:row>
    <x:row r="456">
      <x:c r="A456" s="4" t="s">
        <x:v>1405</x:v>
      </x:c>
      <x:c r="B456" s="4" t="s">
        <x:v>1404</x:v>
      </x:c>
      <x:c r="C456" s="38" t="s">
        <x:v>1403</x:v>
      </x:c>
      <x:c r="D456" s="41"/>
      <x:c r="E456" s="44"/>
      <x:c r="F456" s="6"/>
      <x:c r="G456" s="40"/>
      <x:c r="H456" s="43"/>
      <x:c r="I456" s="45">
        <x:v>46313</x:v>
      </x:c>
      <x:c r="J456" s="46">
        <x:v>81</x:v>
      </x:c>
      <x:c r="K456" s="47">
        <x:f>(F456-(0)+0-(J456*Ventas!AE465*1.0556))</x:f>
      </x:c>
      <x:c r="L456" s="6"/>
      <x:c r="M456" s="51">
        <x:f>(G456+0)</x:f>
      </x:c>
      <x:c r="N456" s="40"/>
      <x:c r="O456" s="54">
        <x:f>(H456+0)</x:f>
      </x:c>
      <x:c r="P456" s="43"/>
      <x:c r="Q456" s="55">
        <x:f>(K456+M456+O456)</x:f>
      </x:c>
      <x:c r="R456" s="56">
        <x:f>(((L456*7)+(N456*1)+(P456*0))/8)</x:f>
      </x:c>
      <x:c r="S456" s="47">
        <x:f>(180*(Ventas!AE465*0.9644) - IF(K456&gt;0,K456,0))</x:f>
      </x:c>
      <x:c r="T456" s="47">
        <x:f>IF(S456&gt;0,S456,0)</x:f>
      </x:c>
      <x:c r="U456" s="40"/>
      <x:c r="V456" s="40"/>
      <x:c r="W456" s="43"/>
      <x:c r="X456" s="43"/>
      <x:c r="Y456" s="47">
        <x:f>IF(K456&gt;0,K456+IF(T456&gt;0,T456,0),T456)</x:f>
      </x:c>
      <x:c r="Z456" s="40"/>
      <x:c r="AA456" s="43"/>
      <x:c r="AB456" s="6"/>
      <x:c r="AC456" s="6"/>
      <x:c r="AD456" s="40"/>
      <x:c r="AE456" s="40"/>
      <x:c r="AF456" s="43"/>
      <x:c r="AG456" s="43"/>
      <x:c r="AH456" s="6"/>
      <x:c r="AI456" s="6"/>
      <x:c r="AJ456" s="40"/>
      <x:c r="AK456" s="40"/>
      <x:c r="AL456" s="43"/>
      <x:c r="AM456" s="43"/>
      <x:c r="AN456" s="55">
        <x:f>(IF(AH456&gt;0,AH456,0)+IF(AJ456&gt;0,AJ456,0)+IF(AL456&gt;0,AL456,0))</x:f>
      </x:c>
      <x:c r="AO456" s="56">
        <x:f>(((AI456*7)+(AK456*1)+(AM456*1))/8)</x:f>
      </x:c>
      <x:c r="AP456" s="4" t="s">
        <x:v>35</x:v>
      </x:c>
    </x:row>
    <x:row r="457">
      <x:c r="A457" s="4" t="s">
        <x:v>1408</x:v>
      </x:c>
      <x:c r="B457" s="4" t="s">
        <x:v>1407</x:v>
      </x:c>
      <x:c r="C457" s="38" t="s">
        <x:v>1406</x:v>
      </x:c>
      <x:c r="D457" s="41"/>
      <x:c r="E457" s="44"/>
      <x:c r="F457" s="6"/>
      <x:c r="G457" s="40"/>
      <x:c r="H457" s="43"/>
      <x:c r="I457" s="45">
        <x:v>46313</x:v>
      </x:c>
      <x:c r="J457" s="46">
        <x:v>81</x:v>
      </x:c>
      <x:c r="K457" s="47">
        <x:f>(F457-(0)+0-(J457*Ventas!AE466*1.0556))</x:f>
      </x:c>
      <x:c r="L457" s="6"/>
      <x:c r="M457" s="51">
        <x:f>(G457+0)</x:f>
      </x:c>
      <x:c r="N457" s="40"/>
      <x:c r="O457" s="54">
        <x:f>(H457+0)</x:f>
      </x:c>
      <x:c r="P457" s="43"/>
      <x:c r="Q457" s="55">
        <x:f>(K457+M457+O457)</x:f>
      </x:c>
      <x:c r="R457" s="56">
        <x:f>(((L457*7)+(N457*1)+(P457*0))/8)</x:f>
      </x:c>
      <x:c r="S457" s="47">
        <x:f>(180*(Ventas!AE466*0.9644) - IF(K457&gt;0,K457,0))</x:f>
      </x:c>
      <x:c r="T457" s="47">
        <x:f>IF(S457&gt;0,S457,0)</x:f>
      </x:c>
      <x:c r="U457" s="40"/>
      <x:c r="V457" s="40"/>
      <x:c r="W457" s="43"/>
      <x:c r="X457" s="43"/>
      <x:c r="Y457" s="47">
        <x:f>IF(K457&gt;0,K457+IF(T457&gt;0,T457,0),T457)</x:f>
      </x:c>
      <x:c r="Z457" s="40"/>
      <x:c r="AA457" s="43"/>
      <x:c r="AB457" s="6"/>
      <x:c r="AC457" s="6"/>
      <x:c r="AD457" s="40"/>
      <x:c r="AE457" s="40"/>
      <x:c r="AF457" s="43"/>
      <x:c r="AG457" s="43"/>
      <x:c r="AH457" s="6"/>
      <x:c r="AI457" s="6"/>
      <x:c r="AJ457" s="40"/>
      <x:c r="AK457" s="40"/>
      <x:c r="AL457" s="43"/>
      <x:c r="AM457" s="43"/>
      <x:c r="AN457" s="55">
        <x:f>(IF(AH457&gt;0,AH457,0)+IF(AJ457&gt;0,AJ457,0)+IF(AL457&gt;0,AL457,0))</x:f>
      </x:c>
      <x:c r="AO457" s="56">
        <x:f>(((AI457*7)+(AK457*1)+(AM457*1))/8)</x:f>
      </x:c>
      <x:c r="AP457" s="4" t="s">
        <x:v>35</x:v>
      </x:c>
    </x:row>
    <x:row r="458">
      <x:c r="A458" s="4" t="s">
        <x:v>1411</x:v>
      </x:c>
      <x:c r="B458" s="4" t="s">
        <x:v>1410</x:v>
      </x:c>
      <x:c r="C458" s="38" t="s">
        <x:v>1409</x:v>
      </x:c>
      <x:c r="D458" s="41"/>
      <x:c r="E458" s="44"/>
      <x:c r="F458" s="6"/>
      <x:c r="G458" s="40"/>
      <x:c r="H458" s="43"/>
      <x:c r="I458" s="45">
        <x:v>46313</x:v>
      </x:c>
      <x:c r="J458" s="46">
        <x:v>81</x:v>
      </x:c>
      <x:c r="K458" s="47">
        <x:f>(F458-(0)+0-(J458*Ventas!AE467*1.0556))</x:f>
      </x:c>
      <x:c r="L458" s="6"/>
      <x:c r="M458" s="51">
        <x:f>(G458+0)</x:f>
      </x:c>
      <x:c r="N458" s="40"/>
      <x:c r="O458" s="54">
        <x:f>(H458+0)</x:f>
      </x:c>
      <x:c r="P458" s="43"/>
      <x:c r="Q458" s="55">
        <x:f>(K458+M458+O458)</x:f>
      </x:c>
      <x:c r="R458" s="56">
        <x:f>(((L458*7)+(N458*1)+(P458*0))/8)</x:f>
      </x:c>
      <x:c r="S458" s="47">
        <x:f>(180*(Ventas!AE467*0.9644) - IF(K458&gt;0,K458,0))</x:f>
      </x:c>
      <x:c r="T458" s="47">
        <x:f>IF(S458&gt;0,S458,0)</x:f>
      </x:c>
      <x:c r="U458" s="40"/>
      <x:c r="V458" s="40"/>
      <x:c r="W458" s="43"/>
      <x:c r="X458" s="43"/>
      <x:c r="Y458" s="47">
        <x:f>IF(K458&gt;0,K458+IF(T458&gt;0,T458,0),T458)</x:f>
      </x:c>
      <x:c r="Z458" s="40"/>
      <x:c r="AA458" s="43"/>
      <x:c r="AB458" s="6"/>
      <x:c r="AC458" s="6"/>
      <x:c r="AD458" s="40"/>
      <x:c r="AE458" s="40"/>
      <x:c r="AF458" s="43"/>
      <x:c r="AG458" s="43"/>
      <x:c r="AH458" s="6"/>
      <x:c r="AI458" s="6"/>
      <x:c r="AJ458" s="40"/>
      <x:c r="AK458" s="40"/>
      <x:c r="AL458" s="43"/>
      <x:c r="AM458" s="43"/>
      <x:c r="AN458" s="55">
        <x:f>(IF(AH458&gt;0,AH458,0)+IF(AJ458&gt;0,AJ458,0)+IF(AL458&gt;0,AL458,0))</x:f>
      </x:c>
      <x:c r="AO458" s="56">
        <x:f>(((AI458*7)+(AK458*1)+(AM458*1))/8)</x:f>
      </x:c>
      <x:c r="AP458" s="4" t="s">
        <x:v>35</x:v>
      </x:c>
    </x:row>
    <x:row r="459">
      <x:c r="A459" s="4" t="s">
        <x:v>1414</x:v>
      </x:c>
      <x:c r="B459" s="4" t="s">
        <x:v>1413</x:v>
      </x:c>
      <x:c r="C459" s="38" t="s">
        <x:v>1412</x:v>
      </x:c>
      <x:c r="D459" s="41"/>
      <x:c r="E459" s="44"/>
      <x:c r="F459" s="6"/>
      <x:c r="G459" s="40"/>
      <x:c r="H459" s="43"/>
      <x:c r="I459" s="45">
        <x:v>46313</x:v>
      </x:c>
      <x:c r="J459" s="46">
        <x:v>81</x:v>
      </x:c>
      <x:c r="K459" s="47">
        <x:f>(F459-(0)+0-(J459*Ventas!AE468*1.0556))</x:f>
      </x:c>
      <x:c r="L459" s="6"/>
      <x:c r="M459" s="51">
        <x:f>(G459+0)</x:f>
      </x:c>
      <x:c r="N459" s="40"/>
      <x:c r="O459" s="54">
        <x:f>(H459+0)</x:f>
      </x:c>
      <x:c r="P459" s="43"/>
      <x:c r="Q459" s="55">
        <x:f>(K459+M459+O459)</x:f>
      </x:c>
      <x:c r="R459" s="56">
        <x:f>(((L459*7)+(N459*1)+(P459*0))/8)</x:f>
      </x:c>
      <x:c r="S459" s="47">
        <x:f>(180*(Ventas!AE468*0.9644) - IF(K459&gt;0,K459,0))</x:f>
      </x:c>
      <x:c r="T459" s="47">
        <x:f>IF(S459&gt;0,S459,0)</x:f>
      </x:c>
      <x:c r="U459" s="40"/>
      <x:c r="V459" s="40"/>
      <x:c r="W459" s="43"/>
      <x:c r="X459" s="43"/>
      <x:c r="Y459" s="47">
        <x:f>IF(K459&gt;0,K459+IF(T459&gt;0,T459,0),T459)</x:f>
      </x:c>
      <x:c r="Z459" s="40"/>
      <x:c r="AA459" s="43"/>
      <x:c r="AB459" s="6"/>
      <x:c r="AC459" s="6"/>
      <x:c r="AD459" s="40"/>
      <x:c r="AE459" s="40"/>
      <x:c r="AF459" s="43"/>
      <x:c r="AG459" s="43"/>
      <x:c r="AH459" s="6"/>
      <x:c r="AI459" s="6"/>
      <x:c r="AJ459" s="40"/>
      <x:c r="AK459" s="40"/>
      <x:c r="AL459" s="43"/>
      <x:c r="AM459" s="43"/>
      <x:c r="AN459" s="55">
        <x:f>(IF(AH459&gt;0,AH459,0)+IF(AJ459&gt;0,AJ459,0)+IF(AL459&gt;0,AL459,0))</x:f>
      </x:c>
      <x:c r="AO459" s="56">
        <x:f>(((AI459*7)+(AK459*1)+(AM459*1))/8)</x:f>
      </x:c>
      <x:c r="AP459" s="4" t="s">
        <x:v>35</x:v>
      </x:c>
    </x:row>
    <x:row r="460">
      <x:c r="A460" s="4" t="s">
        <x:v>1417</x:v>
      </x:c>
      <x:c r="B460" s="4" t="s">
        <x:v>1416</x:v>
      </x:c>
      <x:c r="C460" s="38" t="s">
        <x:v>1415</x:v>
      </x:c>
      <x:c r="D460" s="41"/>
      <x:c r="E460" s="44"/>
      <x:c r="F460" s="6"/>
      <x:c r="G460" s="40"/>
      <x:c r="H460" s="43"/>
      <x:c r="I460" s="45">
        <x:v>46313</x:v>
      </x:c>
      <x:c r="J460" s="46">
        <x:v>81</x:v>
      </x:c>
      <x:c r="K460" s="47">
        <x:f>(F460-(0)+0-(J460*Ventas!AE469*1.0556))</x:f>
      </x:c>
      <x:c r="L460" s="6"/>
      <x:c r="M460" s="51">
        <x:f>(G460+0)</x:f>
      </x:c>
      <x:c r="N460" s="40"/>
      <x:c r="O460" s="54">
        <x:f>(H460+0)</x:f>
      </x:c>
      <x:c r="P460" s="43"/>
      <x:c r="Q460" s="55">
        <x:f>(K460+M460+O460)</x:f>
      </x:c>
      <x:c r="R460" s="56">
        <x:f>(((L460*7)+(N460*1)+(P460*0))/8)</x:f>
      </x:c>
      <x:c r="S460" s="47">
        <x:f>(180*(Ventas!AE469*0.9644) - IF(K460&gt;0,K460,0))</x:f>
      </x:c>
      <x:c r="T460" s="47">
        <x:f>IF(S460&gt;0,S460,0)</x:f>
      </x:c>
      <x:c r="U460" s="40"/>
      <x:c r="V460" s="40"/>
      <x:c r="W460" s="43"/>
      <x:c r="X460" s="43"/>
      <x:c r="Y460" s="47">
        <x:f>IF(K460&gt;0,K460+IF(T460&gt;0,T460,0),T460)</x:f>
      </x:c>
      <x:c r="Z460" s="40"/>
      <x:c r="AA460" s="43"/>
      <x:c r="AB460" s="6"/>
      <x:c r="AC460" s="6"/>
      <x:c r="AD460" s="40"/>
      <x:c r="AE460" s="40"/>
      <x:c r="AF460" s="43"/>
      <x:c r="AG460" s="43"/>
      <x:c r="AH460" s="6"/>
      <x:c r="AI460" s="6"/>
      <x:c r="AJ460" s="40"/>
      <x:c r="AK460" s="40"/>
      <x:c r="AL460" s="43"/>
      <x:c r="AM460" s="43"/>
      <x:c r="AN460" s="55">
        <x:f>(IF(AH460&gt;0,AH460,0)+IF(AJ460&gt;0,AJ460,0)+IF(AL460&gt;0,AL460,0))</x:f>
      </x:c>
      <x:c r="AO460" s="56">
        <x:f>(((AI460*7)+(AK460*1)+(AM460*1))/8)</x:f>
      </x:c>
      <x:c r="AP460" s="4" t="s">
        <x:v>35</x:v>
      </x:c>
    </x:row>
    <x:row r="461">
      <x:c r="A461" s="4" t="s">
        <x:v>1420</x:v>
      </x:c>
      <x:c r="B461" s="4" t="s">
        <x:v>1419</x:v>
      </x:c>
      <x:c r="C461" s="38" t="s">
        <x:v>1418</x:v>
      </x:c>
      <x:c r="D461" s="41"/>
      <x:c r="E461" s="44"/>
      <x:c r="F461" s="6"/>
      <x:c r="G461" s="40"/>
      <x:c r="H461" s="43"/>
      <x:c r="I461" s="45">
        <x:v>46313</x:v>
      </x:c>
      <x:c r="J461" s="46">
        <x:v>81</x:v>
      </x:c>
      <x:c r="K461" s="47">
        <x:f>(F461-(0)+0-(J461*Ventas!AE470*1.0556))</x:f>
      </x:c>
      <x:c r="L461" s="6"/>
      <x:c r="M461" s="51">
        <x:f>(G461+0)</x:f>
      </x:c>
      <x:c r="N461" s="40"/>
      <x:c r="O461" s="54">
        <x:f>(H461+0)</x:f>
      </x:c>
      <x:c r="P461" s="43"/>
      <x:c r="Q461" s="55">
        <x:f>(K461+M461+O461)</x:f>
      </x:c>
      <x:c r="R461" s="56">
        <x:f>(((L461*7)+(N461*1)+(P461*0))/8)</x:f>
      </x:c>
      <x:c r="S461" s="47">
        <x:f>(180*(Ventas!AE470*0.9644) - IF(K461&gt;0,K461,0))</x:f>
      </x:c>
      <x:c r="T461" s="47">
        <x:f>IF(S461&gt;0,S461,0)</x:f>
      </x:c>
      <x:c r="U461" s="40"/>
      <x:c r="V461" s="40"/>
      <x:c r="W461" s="43"/>
      <x:c r="X461" s="43"/>
      <x:c r="Y461" s="47">
        <x:f>IF(K461&gt;0,K461+IF(T461&gt;0,T461,0),T461)</x:f>
      </x:c>
      <x:c r="Z461" s="40"/>
      <x:c r="AA461" s="43"/>
      <x:c r="AB461" s="6"/>
      <x:c r="AC461" s="6"/>
      <x:c r="AD461" s="40"/>
      <x:c r="AE461" s="40"/>
      <x:c r="AF461" s="43"/>
      <x:c r="AG461" s="43"/>
      <x:c r="AH461" s="6"/>
      <x:c r="AI461" s="6"/>
      <x:c r="AJ461" s="40"/>
      <x:c r="AK461" s="40"/>
      <x:c r="AL461" s="43"/>
      <x:c r="AM461" s="43"/>
      <x:c r="AN461" s="55">
        <x:f>(IF(AH461&gt;0,AH461,0)+IF(AJ461&gt;0,AJ461,0)+IF(AL461&gt;0,AL461,0))</x:f>
      </x:c>
      <x:c r="AO461" s="56">
        <x:f>(((AI461*7)+(AK461*1)+(AM461*1))/8)</x:f>
      </x:c>
      <x:c r="AP461" s="4" t="s">
        <x:v>35</x:v>
      </x:c>
    </x:row>
    <x:row r="462">
      <x:c r="A462" s="4" t="s">
        <x:v>1423</x:v>
      </x:c>
      <x:c r="B462" s="4" t="s">
        <x:v>1422</x:v>
      </x:c>
      <x:c r="C462" s="38" t="s">
        <x:v>1421</x:v>
      </x:c>
      <x:c r="D462" s="41"/>
      <x:c r="E462" s="44"/>
      <x:c r="F462" s="6"/>
      <x:c r="G462" s="40"/>
      <x:c r="H462" s="43"/>
      <x:c r="I462" s="45">
        <x:v>46313</x:v>
      </x:c>
      <x:c r="J462" s="46">
        <x:v>81</x:v>
      </x:c>
      <x:c r="K462" s="47">
        <x:f>(F462-(0)+0-(J462*Ventas!AE471*1.0556))</x:f>
      </x:c>
      <x:c r="L462" s="6"/>
      <x:c r="M462" s="51">
        <x:f>(G462+0)</x:f>
      </x:c>
      <x:c r="N462" s="40"/>
      <x:c r="O462" s="54">
        <x:f>(H462+0)</x:f>
      </x:c>
      <x:c r="P462" s="43"/>
      <x:c r="Q462" s="55">
        <x:f>(K462+M462+O462)</x:f>
      </x:c>
      <x:c r="R462" s="56">
        <x:f>(((L462*7)+(N462*1)+(P462*0))/8)</x:f>
      </x:c>
      <x:c r="S462" s="47">
        <x:f>(180*(Ventas!AE471*0.9644) - IF(K462&gt;0,K462,0))</x:f>
      </x:c>
      <x:c r="T462" s="47">
        <x:f>IF(S462&gt;0,S462,0)</x:f>
      </x:c>
      <x:c r="U462" s="40"/>
      <x:c r="V462" s="40"/>
      <x:c r="W462" s="43"/>
      <x:c r="X462" s="43"/>
      <x:c r="Y462" s="47">
        <x:f>IF(K462&gt;0,K462+IF(T462&gt;0,T462,0),T462)</x:f>
      </x:c>
      <x:c r="Z462" s="40"/>
      <x:c r="AA462" s="43"/>
      <x:c r="AB462" s="6"/>
      <x:c r="AC462" s="6"/>
      <x:c r="AD462" s="40"/>
      <x:c r="AE462" s="40"/>
      <x:c r="AF462" s="43"/>
      <x:c r="AG462" s="43"/>
      <x:c r="AH462" s="6"/>
      <x:c r="AI462" s="6"/>
      <x:c r="AJ462" s="40"/>
      <x:c r="AK462" s="40"/>
      <x:c r="AL462" s="43"/>
      <x:c r="AM462" s="43"/>
      <x:c r="AN462" s="55">
        <x:f>(IF(AH462&gt;0,AH462,0)+IF(AJ462&gt;0,AJ462,0)+IF(AL462&gt;0,AL462,0))</x:f>
      </x:c>
      <x:c r="AO462" s="56">
        <x:f>(((AI462*7)+(AK462*1)+(AM462*1))/8)</x:f>
      </x:c>
      <x:c r="AP462" s="4" t="s">
        <x:v>35</x:v>
      </x:c>
    </x:row>
    <x:row r="463">
      <x:c r="A463" s="4" t="s">
        <x:v>1426</x:v>
      </x:c>
      <x:c r="B463" s="4" t="s">
        <x:v>1425</x:v>
      </x:c>
      <x:c r="C463" s="38" t="s">
        <x:v>1424</x:v>
      </x:c>
      <x:c r="D463" s="41"/>
      <x:c r="E463" s="44"/>
      <x:c r="F463" s="6"/>
      <x:c r="G463" s="40"/>
      <x:c r="H463" s="43"/>
      <x:c r="I463" s="45">
        <x:v>46313</x:v>
      </x:c>
      <x:c r="J463" s="46">
        <x:v>81</x:v>
      </x:c>
      <x:c r="K463" s="47">
        <x:f>(F463-(0)+0-(J463*Ventas!AE472*1.0556))</x:f>
      </x:c>
      <x:c r="L463" s="6"/>
      <x:c r="M463" s="51">
        <x:f>(G463+0)</x:f>
      </x:c>
      <x:c r="N463" s="40"/>
      <x:c r="O463" s="54">
        <x:f>(H463+0)</x:f>
      </x:c>
      <x:c r="P463" s="43"/>
      <x:c r="Q463" s="55">
        <x:f>(K463+M463+O463)</x:f>
      </x:c>
      <x:c r="R463" s="56">
        <x:f>(((L463*7)+(N463*1)+(P463*0))/8)</x:f>
      </x:c>
      <x:c r="S463" s="47">
        <x:f>(180*(Ventas!AE472*0.9644) - IF(K463&gt;0,K463,0))</x:f>
      </x:c>
      <x:c r="T463" s="47">
        <x:f>IF(S463&gt;0,S463,0)</x:f>
      </x:c>
      <x:c r="U463" s="40"/>
      <x:c r="V463" s="40"/>
      <x:c r="W463" s="43"/>
      <x:c r="X463" s="43"/>
      <x:c r="Y463" s="47">
        <x:f>IF(K463&gt;0,K463+IF(T463&gt;0,T463,0),T463)</x:f>
      </x:c>
      <x:c r="Z463" s="40"/>
      <x:c r="AA463" s="43"/>
      <x:c r="AB463" s="6"/>
      <x:c r="AC463" s="6"/>
      <x:c r="AD463" s="40"/>
      <x:c r="AE463" s="40"/>
      <x:c r="AF463" s="43"/>
      <x:c r="AG463" s="43"/>
      <x:c r="AH463" s="6"/>
      <x:c r="AI463" s="6"/>
      <x:c r="AJ463" s="40"/>
      <x:c r="AK463" s="40"/>
      <x:c r="AL463" s="43"/>
      <x:c r="AM463" s="43"/>
      <x:c r="AN463" s="55">
        <x:f>(IF(AH463&gt;0,AH463,0)+IF(AJ463&gt;0,AJ463,0)+IF(AL463&gt;0,AL463,0))</x:f>
      </x:c>
      <x:c r="AO463" s="56">
        <x:f>(((AI463*7)+(AK463*1)+(AM463*1))/8)</x:f>
      </x:c>
      <x:c r="AP463" s="4" t="s">
        <x:v>35</x:v>
      </x:c>
    </x:row>
    <x:row r="464">
      <x:c r="A464" s="4" t="s">
        <x:v>1429</x:v>
      </x:c>
      <x:c r="B464" s="4" t="s">
        <x:v>1428</x:v>
      </x:c>
      <x:c r="C464" s="38" t="s">
        <x:v>1427</x:v>
      </x:c>
      <x:c r="D464" s="41"/>
      <x:c r="E464" s="44"/>
      <x:c r="F464" s="6"/>
      <x:c r="G464" s="40"/>
      <x:c r="H464" s="43"/>
      <x:c r="I464" s="45">
        <x:v>46313</x:v>
      </x:c>
      <x:c r="J464" s="46">
        <x:v>81</x:v>
      </x:c>
      <x:c r="K464" s="47">
        <x:f>(F464-(0)+0-(J464*Ventas!AE473*1.0556))</x:f>
      </x:c>
      <x:c r="L464" s="6"/>
      <x:c r="M464" s="51">
        <x:f>(G464+0)</x:f>
      </x:c>
      <x:c r="N464" s="40"/>
      <x:c r="O464" s="54">
        <x:f>(H464+0)</x:f>
      </x:c>
      <x:c r="P464" s="43"/>
      <x:c r="Q464" s="55">
        <x:f>(K464+M464+O464)</x:f>
      </x:c>
      <x:c r="R464" s="56">
        <x:f>(((L464*7)+(N464*1)+(P464*0))/8)</x:f>
      </x:c>
      <x:c r="S464" s="47">
        <x:f>(180*(Ventas!AE473*0.9644) - IF(K464&gt;0,K464,0))</x:f>
      </x:c>
      <x:c r="T464" s="47">
        <x:f>IF(S464&gt;0,S464,0)</x:f>
      </x:c>
      <x:c r="U464" s="40"/>
      <x:c r="V464" s="40"/>
      <x:c r="W464" s="43"/>
      <x:c r="X464" s="43"/>
      <x:c r="Y464" s="47">
        <x:f>IF(K464&gt;0,K464+IF(T464&gt;0,T464,0),T464)</x:f>
      </x:c>
      <x:c r="Z464" s="40"/>
      <x:c r="AA464" s="43"/>
      <x:c r="AB464" s="6"/>
      <x:c r="AC464" s="6"/>
      <x:c r="AD464" s="40"/>
      <x:c r="AE464" s="40"/>
      <x:c r="AF464" s="43"/>
      <x:c r="AG464" s="43"/>
      <x:c r="AH464" s="6"/>
      <x:c r="AI464" s="6"/>
      <x:c r="AJ464" s="40"/>
      <x:c r="AK464" s="40"/>
      <x:c r="AL464" s="43"/>
      <x:c r="AM464" s="43"/>
      <x:c r="AN464" s="55">
        <x:f>(IF(AH464&gt;0,AH464,0)+IF(AJ464&gt;0,AJ464,0)+IF(AL464&gt;0,AL464,0))</x:f>
      </x:c>
      <x:c r="AO464" s="56">
        <x:f>(((AI464*7)+(AK464*1)+(AM464*1))/8)</x:f>
      </x:c>
      <x:c r="AP464" s="4" t="s">
        <x:v>35</x:v>
      </x:c>
    </x:row>
    <x:row r="465">
      <x:c r="A465" s="4" t="s">
        <x:v>1432</x:v>
      </x:c>
      <x:c r="B465" s="4" t="s">
        <x:v>1431</x:v>
      </x:c>
      <x:c r="C465" s="38" t="s">
        <x:v>1430</x:v>
      </x:c>
      <x:c r="D465" s="41"/>
      <x:c r="E465" s="44"/>
      <x:c r="F465" s="8">
        <x:v>224</x:v>
      </x:c>
      <x:c r="G465" s="40"/>
      <x:c r="H465" s="43"/>
      <x:c r="I465" s="45">
        <x:v>46313</x:v>
      </x:c>
      <x:c r="J465" s="46">
        <x:v>81</x:v>
      </x:c>
      <x:c r="K465" s="47">
        <x:f>(F465-(0)+0-(J465*Ventas!AE474*1.0556))</x:f>
      </x:c>
      <x:c r="L465" s="49">
        <x:f>(K465/(Ventas!AE474*1.0556)/80)</x:f>
      </x:c>
      <x:c r="M465" s="51">
        <x:f>(G465+0)</x:f>
      </x:c>
      <x:c r="N465" s="40"/>
      <x:c r="O465" s="54">
        <x:f>(H465+0)</x:f>
      </x:c>
      <x:c r="P465" s="43"/>
      <x:c r="Q465" s="55">
        <x:f>(K465+M465+O465)</x:f>
      </x:c>
      <x:c r="R465" s="56">
        <x:f>(((L465*7)+(N465*1)+(P465*0))/8)</x:f>
      </x:c>
      <x:c r="S465" s="47">
        <x:f>(180*(Ventas!AE474*0.9644) - IF(K465&gt;0,K465,0))</x:f>
      </x:c>
      <x:c r="T465" s="47">
        <x:f>IF(S465&gt;0,S465,0)</x:f>
      </x:c>
      <x:c r="U465" s="40"/>
      <x:c r="V465" s="40"/>
      <x:c r="W465" s="43"/>
      <x:c r="X465" s="43"/>
      <x:c r="Y465" s="47">
        <x:f>IF(K465&gt;0,K465+IF(T465&gt;0,T465,0),T465)</x:f>
      </x:c>
      <x:c r="Z465" s="40"/>
      <x:c r="AA465" s="43"/>
      <x:c r="AB465" s="50">
        <x:v>3.55</x:v>
      </x:c>
      <x:c r="AC465" s="8">
        <x:v>3016</x:v>
      </x:c>
      <x:c r="AD465" s="40"/>
      <x:c r="AE465" s="40"/>
      <x:c r="AF465" s="43"/>
      <x:c r="AG465" s="43"/>
      <x:c r="AH465" s="47">
        <x:f>(Y465-(90*Ventas!AE474*0.9644))</x:f>
      </x:c>
      <x:c r="AI465" s="49">
        <x:f>(AH465/(Ventas!AE474*0.9644)/80)</x:f>
      </x:c>
      <x:c r="AJ465" s="40"/>
      <x:c r="AK465" s="40"/>
      <x:c r="AL465" s="43"/>
      <x:c r="AM465" s="43"/>
      <x:c r="AN465" s="55">
        <x:f>(IF(AH465&gt;0,AH465,0)+IF(AJ465&gt;0,AJ465,0)+IF(AL465&gt;0,AL465,0))</x:f>
      </x:c>
      <x:c r="AO465" s="56">
        <x:f>(((AI465*7)+(AK465*1)+(AM465*1))/8)</x:f>
      </x:c>
      <x:c r="AP465" s="4" t="s">
        <x:v>35</x:v>
      </x:c>
    </x:row>
    <x:row r="466">
      <x:c r="A466" s="4" t="s">
        <x:v>1435</x:v>
      </x:c>
      <x:c r="B466" s="4" t="s">
        <x:v>1434</x:v>
      </x:c>
      <x:c r="C466" s="38" t="s">
        <x:v>1433</x:v>
      </x:c>
      <x:c r="D466" s="41"/>
      <x:c r="E466" s="44"/>
      <x:c r="F466" s="6"/>
      <x:c r="G466" s="40"/>
      <x:c r="H466" s="43"/>
      <x:c r="I466" s="45">
        <x:v>46313</x:v>
      </x:c>
      <x:c r="J466" s="46">
        <x:v>81</x:v>
      </x:c>
      <x:c r="K466" s="47">
        <x:f>(F466-(0)+0-(J466*Ventas!AE475*1.0556))</x:f>
      </x:c>
      <x:c r="L466" s="6"/>
      <x:c r="M466" s="51">
        <x:f>(G466+0)</x:f>
      </x:c>
      <x:c r="N466" s="40"/>
      <x:c r="O466" s="54">
        <x:f>(H466+0)</x:f>
      </x:c>
      <x:c r="P466" s="43"/>
      <x:c r="Q466" s="55">
        <x:f>(K466+M466+O466)</x:f>
      </x:c>
      <x:c r="R466" s="56">
        <x:f>(((L466*7)+(N466*1)+(P466*0))/8)</x:f>
      </x:c>
      <x:c r="S466" s="47">
        <x:f>(180*(Ventas!AE475*0.9644) - IF(K466&gt;0,K466,0))</x:f>
      </x:c>
      <x:c r="T466" s="47">
        <x:f>IF(S466&gt;0,S466,0)</x:f>
      </x:c>
      <x:c r="U466" s="40"/>
      <x:c r="V466" s="40"/>
      <x:c r="W466" s="43"/>
      <x:c r="X466" s="43"/>
      <x:c r="Y466" s="47">
        <x:f>IF(K466&gt;0,K466+IF(T466&gt;0,T466,0),T466)</x:f>
      </x:c>
      <x:c r="Z466" s="40"/>
      <x:c r="AA466" s="43"/>
      <x:c r="AB466" s="6"/>
      <x:c r="AC466" s="6"/>
      <x:c r="AD466" s="40"/>
      <x:c r="AE466" s="40"/>
      <x:c r="AF466" s="43"/>
      <x:c r="AG466" s="43"/>
      <x:c r="AH466" s="6"/>
      <x:c r="AI466" s="6"/>
      <x:c r="AJ466" s="40"/>
      <x:c r="AK466" s="40"/>
      <x:c r="AL466" s="43"/>
      <x:c r="AM466" s="43"/>
      <x:c r="AN466" s="55">
        <x:f>(IF(AH466&gt;0,AH466,0)+IF(AJ466&gt;0,AJ466,0)+IF(AL466&gt;0,AL466,0))</x:f>
      </x:c>
      <x:c r="AO466" s="56">
        <x:f>(((AI466*7)+(AK466*1)+(AM466*1))/8)</x:f>
      </x:c>
      <x:c r="AP466" s="4" t="s">
        <x:v>35</x:v>
      </x:c>
    </x:row>
    <x:row r="467">
      <x:c r="A467" s="4" t="s">
        <x:v>1438</x:v>
      </x:c>
      <x:c r="B467" s="4" t="s">
        <x:v>1437</x:v>
      </x:c>
      <x:c r="C467" s="38" t="s">
        <x:v>1436</x:v>
      </x:c>
      <x:c r="D467" s="41"/>
      <x:c r="E467" s="44"/>
      <x:c r="F467" s="8">
        <x:v>16</x:v>
      </x:c>
      <x:c r="G467" s="40"/>
      <x:c r="H467" s="43"/>
      <x:c r="I467" s="45">
        <x:v>46313</x:v>
      </x:c>
      <x:c r="J467" s="46">
        <x:v>81</x:v>
      </x:c>
      <x:c r="K467" s="47">
        <x:f>(F467-(0)+0-(J467*Ventas!AE476*1.0556))</x:f>
      </x:c>
      <x:c r="L467" s="49">
        <x:f>(K467/(Ventas!AE476*1.0556)/80)</x:f>
      </x:c>
      <x:c r="M467" s="51">
        <x:f>(G467+0)</x:f>
      </x:c>
      <x:c r="N467" s="40"/>
      <x:c r="O467" s="54">
        <x:f>(H467+0)</x:f>
      </x:c>
      <x:c r="P467" s="43"/>
      <x:c r="Q467" s="55">
        <x:f>(K467+M467+O467)</x:f>
      </x:c>
      <x:c r="R467" s="56">
        <x:f>(((L467*7)+(N467*1)+(P467*0))/8)</x:f>
      </x:c>
      <x:c r="S467" s="47">
        <x:f>(180*(Ventas!AE476*0.9644) - IF(K467&gt;0,K467,0))</x:f>
      </x:c>
      <x:c r="T467" s="47">
        <x:f>IF(S467&gt;0,S467,0)</x:f>
      </x:c>
      <x:c r="U467" s="40"/>
      <x:c r="V467" s="40"/>
      <x:c r="W467" s="43"/>
      <x:c r="X467" s="43"/>
      <x:c r="Y467" s="47">
        <x:f>IF(K467&gt;0,K467+IF(T467&gt;0,T467,0),T467)</x:f>
      </x:c>
      <x:c r="Z467" s="40"/>
      <x:c r="AA467" s="43"/>
      <x:c r="AB467" s="50">
        <x:v>7.5</x:v>
      </x:c>
      <x:c r="AC467" s="8">
        <x:v>3016</x:v>
      </x:c>
      <x:c r="AD467" s="40"/>
      <x:c r="AE467" s="40"/>
      <x:c r="AF467" s="43"/>
      <x:c r="AG467" s="43"/>
      <x:c r="AH467" s="47">
        <x:f>(Y467-(90*Ventas!AE476*0.9644))</x:f>
      </x:c>
      <x:c r="AI467" s="49">
        <x:f>(AH467/(Ventas!AE476*0.9644)/80)</x:f>
      </x:c>
      <x:c r="AJ467" s="40"/>
      <x:c r="AK467" s="40"/>
      <x:c r="AL467" s="43"/>
      <x:c r="AM467" s="43"/>
      <x:c r="AN467" s="55">
        <x:f>(IF(AH467&gt;0,AH467,0)+IF(AJ467&gt;0,AJ467,0)+IF(AL467&gt;0,AL467,0))</x:f>
      </x:c>
      <x:c r="AO467" s="56">
        <x:f>(((AI467*7)+(AK467*1)+(AM467*1))/8)</x:f>
      </x:c>
      <x:c r="AP467" s="4" t="s">
        <x:v>35</x:v>
      </x:c>
    </x:row>
    <x:row r="468">
      <x:c r="A468" s="4" t="s">
        <x:v>1441</x:v>
      </x:c>
      <x:c r="B468" s="4" t="s">
        <x:v>1440</x:v>
      </x:c>
      <x:c r="C468" s="38" t="s">
        <x:v>1439</x:v>
      </x:c>
      <x:c r="D468" s="41"/>
      <x:c r="E468" s="44"/>
      <x:c r="F468" s="8">
        <x:v>12</x:v>
      </x:c>
      <x:c r="G468" s="40"/>
      <x:c r="H468" s="43"/>
      <x:c r="I468" s="45">
        <x:v>46313</x:v>
      </x:c>
      <x:c r="J468" s="46">
        <x:v>81</x:v>
      </x:c>
      <x:c r="K468" s="47">
        <x:f>(F468-(0)+0-(J468*Ventas!AE477*1.0556))</x:f>
      </x:c>
      <x:c r="L468" s="49">
        <x:f>(K468/(Ventas!AE477*1.0556)/80)</x:f>
      </x:c>
      <x:c r="M468" s="51">
        <x:f>(G468+0)</x:f>
      </x:c>
      <x:c r="N468" s="40"/>
      <x:c r="O468" s="54">
        <x:f>(H468+0)</x:f>
      </x:c>
      <x:c r="P468" s="43"/>
      <x:c r="Q468" s="55">
        <x:f>(K468+M468+O468)</x:f>
      </x:c>
      <x:c r="R468" s="56">
        <x:f>(((L468*7)+(N468*1)+(P468*0))/8)</x:f>
      </x:c>
      <x:c r="S468" s="47">
        <x:f>(180*(Ventas!AE477*0.9644) - IF(K468&gt;0,K468,0))</x:f>
      </x:c>
      <x:c r="T468" s="47">
        <x:f>IF(S468&gt;0,S468,0)</x:f>
      </x:c>
      <x:c r="U468" s="40"/>
      <x:c r="V468" s="40"/>
      <x:c r="W468" s="43"/>
      <x:c r="X468" s="43"/>
      <x:c r="Y468" s="47">
        <x:f>IF(K468&gt;0,K468+IF(T468&gt;0,T468,0),T468)</x:f>
      </x:c>
      <x:c r="Z468" s="40"/>
      <x:c r="AA468" s="43"/>
      <x:c r="AB468" s="50">
        <x:v>24</x:v>
      </x:c>
      <x:c r="AC468" s="8">
        <x:v>3016</x:v>
      </x:c>
      <x:c r="AD468" s="40"/>
      <x:c r="AE468" s="40"/>
      <x:c r="AF468" s="43"/>
      <x:c r="AG468" s="43"/>
      <x:c r="AH468" s="47">
        <x:f>(Y468-(90*Ventas!AE477*0.9644))</x:f>
      </x:c>
      <x:c r="AI468" s="49">
        <x:f>(AH468/(Ventas!AE477*0.9644)/80)</x:f>
      </x:c>
      <x:c r="AJ468" s="40"/>
      <x:c r="AK468" s="40"/>
      <x:c r="AL468" s="43"/>
      <x:c r="AM468" s="43"/>
      <x:c r="AN468" s="55">
        <x:f>(IF(AH468&gt;0,AH468,0)+IF(AJ468&gt;0,AJ468,0)+IF(AL468&gt;0,AL468,0))</x:f>
      </x:c>
      <x:c r="AO468" s="56">
        <x:f>(((AI468*7)+(AK468*1)+(AM468*1))/8)</x:f>
      </x:c>
      <x:c r="AP468" s="4" t="s">
        <x:v>35</x:v>
      </x:c>
    </x:row>
    <x:row r="469">
      <x:c r="A469" s="4" t="s">
        <x:v>1444</x:v>
      </x:c>
      <x:c r="B469" s="4" t="s">
        <x:v>1443</x:v>
      </x:c>
      <x:c r="C469" s="38" t="s">
        <x:v>1442</x:v>
      </x:c>
      <x:c r="D469" s="41"/>
      <x:c r="E469" s="44"/>
      <x:c r="F469" s="8">
        <x:v>91</x:v>
      </x:c>
      <x:c r="G469" s="40"/>
      <x:c r="H469" s="43"/>
      <x:c r="I469" s="45">
        <x:v>46313</x:v>
      </x:c>
      <x:c r="J469" s="46">
        <x:v>81</x:v>
      </x:c>
      <x:c r="K469" s="47">
        <x:f>(F469-(0)+0-(J469*Ventas!AE478*1.0556))</x:f>
      </x:c>
      <x:c r="L469" s="49">
        <x:f>(K469/(Ventas!AE478*1.0556)/80)</x:f>
      </x:c>
      <x:c r="M469" s="51">
        <x:f>(G469+0)</x:f>
      </x:c>
      <x:c r="N469" s="40"/>
      <x:c r="O469" s="54">
        <x:f>(H469+0)</x:f>
      </x:c>
      <x:c r="P469" s="43"/>
      <x:c r="Q469" s="55">
        <x:f>(K469+M469+O469)</x:f>
      </x:c>
      <x:c r="R469" s="56">
        <x:f>(((L469*7)+(N469*1)+(P469*0))/8)</x:f>
      </x:c>
      <x:c r="S469" s="47">
        <x:f>(180*(Ventas!AE478*0.9644) - IF(K469&gt;0,K469,0))</x:f>
      </x:c>
      <x:c r="T469" s="47">
        <x:f>IF(S469&gt;0,S469,0)</x:f>
      </x:c>
      <x:c r="U469" s="40"/>
      <x:c r="V469" s="40"/>
      <x:c r="W469" s="43"/>
      <x:c r="X469" s="43"/>
      <x:c r="Y469" s="47">
        <x:f>IF(K469&gt;0,K469+IF(T469&gt;0,T469,0),T469)</x:f>
      </x:c>
      <x:c r="Z469" s="40"/>
      <x:c r="AA469" s="43"/>
      <x:c r="AB469" s="50">
        <x:v>31.5</x:v>
      </x:c>
      <x:c r="AC469" s="8">
        <x:v>3016</x:v>
      </x:c>
      <x:c r="AD469" s="40"/>
      <x:c r="AE469" s="40"/>
      <x:c r="AF469" s="43"/>
      <x:c r="AG469" s="43"/>
      <x:c r="AH469" s="47">
        <x:f>(Y469-(90*Ventas!AE478*0.9644))</x:f>
      </x:c>
      <x:c r="AI469" s="49">
        <x:f>(AH469/(Ventas!AE478*0.9644)/80)</x:f>
      </x:c>
      <x:c r="AJ469" s="40"/>
      <x:c r="AK469" s="40"/>
      <x:c r="AL469" s="43"/>
      <x:c r="AM469" s="43"/>
      <x:c r="AN469" s="55">
        <x:f>(IF(AH469&gt;0,AH469,0)+IF(AJ469&gt;0,AJ469,0)+IF(AL469&gt;0,AL469,0))</x:f>
      </x:c>
      <x:c r="AO469" s="56">
        <x:f>(((AI469*7)+(AK469*1)+(AM469*1))/8)</x:f>
      </x:c>
      <x:c r="AP469" s="4" t="s">
        <x:v>35</x:v>
      </x:c>
    </x:row>
    <x:row r="470">
      <x:c r="A470" s="4" t="s">
        <x:v>1447</x:v>
      </x:c>
      <x:c r="B470" s="4" t="s">
        <x:v>1446</x:v>
      </x:c>
      <x:c r="C470" s="38" t="s">
        <x:v>1445</x:v>
      </x:c>
      <x:c r="D470" s="41"/>
      <x:c r="E470" s="44"/>
      <x:c r="F470" s="8">
        <x:v>33</x:v>
      </x:c>
      <x:c r="G470" s="40"/>
      <x:c r="H470" s="43"/>
      <x:c r="I470" s="45">
        <x:v>46313</x:v>
      </x:c>
      <x:c r="J470" s="46">
        <x:v>81</x:v>
      </x:c>
      <x:c r="K470" s="47">
        <x:f>(F470-(0)+0-(J470*Ventas!AE479*1.0556))</x:f>
      </x:c>
      <x:c r="L470" s="49">
        <x:f>(K470/(Ventas!AE479*1.0556)/80)</x:f>
      </x:c>
      <x:c r="M470" s="51">
        <x:f>(G470+0)</x:f>
      </x:c>
      <x:c r="N470" s="40"/>
      <x:c r="O470" s="54">
        <x:f>(H470+0)</x:f>
      </x:c>
      <x:c r="P470" s="43"/>
      <x:c r="Q470" s="55">
        <x:f>(K470+M470+O470)</x:f>
      </x:c>
      <x:c r="R470" s="56">
        <x:f>(((L470*7)+(N470*1)+(P470*0))/8)</x:f>
      </x:c>
      <x:c r="S470" s="47">
        <x:f>(180*(Ventas!AE479*0.9644) - IF(K470&gt;0,K470,0))</x:f>
      </x:c>
      <x:c r="T470" s="47">
        <x:f>IF(S470&gt;0,S470,0)</x:f>
      </x:c>
      <x:c r="U470" s="40"/>
      <x:c r="V470" s="40"/>
      <x:c r="W470" s="43"/>
      <x:c r="X470" s="43"/>
      <x:c r="Y470" s="47">
        <x:f>IF(K470&gt;0,K470+IF(T470&gt;0,T470,0),T470)</x:f>
      </x:c>
      <x:c r="Z470" s="40"/>
      <x:c r="AA470" s="43"/>
      <x:c r="AB470" s="50">
        <x:v>8</x:v>
      </x:c>
      <x:c r="AC470" s="8">
        <x:v>3016</x:v>
      </x:c>
      <x:c r="AD470" s="40"/>
      <x:c r="AE470" s="40"/>
      <x:c r="AF470" s="43"/>
      <x:c r="AG470" s="43"/>
      <x:c r="AH470" s="47">
        <x:f>(Y470-(90*Ventas!AE479*0.9644))</x:f>
      </x:c>
      <x:c r="AI470" s="49">
        <x:f>(AH470/(Ventas!AE479*0.9644)/80)</x:f>
      </x:c>
      <x:c r="AJ470" s="40"/>
      <x:c r="AK470" s="40"/>
      <x:c r="AL470" s="43"/>
      <x:c r="AM470" s="43"/>
      <x:c r="AN470" s="55">
        <x:f>(IF(AH470&gt;0,AH470,0)+IF(AJ470&gt;0,AJ470,0)+IF(AL470&gt;0,AL470,0))</x:f>
      </x:c>
      <x:c r="AO470" s="56">
        <x:f>(((AI470*7)+(AK470*1)+(AM470*1))/8)</x:f>
      </x:c>
      <x:c r="AP470" s="4" t="s">
        <x:v>35</x:v>
      </x:c>
    </x:row>
    <x:row r="471">
      <x:c r="A471" s="4" t="s">
        <x:v>1450</x:v>
      </x:c>
      <x:c r="B471" s="4" t="s">
        <x:v>1449</x:v>
      </x:c>
      <x:c r="C471" s="38" t="s">
        <x:v>1448</x:v>
      </x:c>
      <x:c r="D471" s="41"/>
      <x:c r="E471" s="44"/>
      <x:c r="F471" s="8">
        <x:v>30</x:v>
      </x:c>
      <x:c r="G471" s="40"/>
      <x:c r="H471" s="43"/>
      <x:c r="I471" s="45">
        <x:v>46313</x:v>
      </x:c>
      <x:c r="J471" s="46">
        <x:v>81</x:v>
      </x:c>
      <x:c r="K471" s="47">
        <x:f>(F471-(0)+0-(J471*Ventas!AE480*1.0556))</x:f>
      </x:c>
      <x:c r="L471" s="49">
        <x:f>(K471/(Ventas!AE480*1.0556)/80)</x:f>
      </x:c>
      <x:c r="M471" s="51">
        <x:f>(G471+0)</x:f>
      </x:c>
      <x:c r="N471" s="40"/>
      <x:c r="O471" s="54">
        <x:f>(H471+0)</x:f>
      </x:c>
      <x:c r="P471" s="43"/>
      <x:c r="Q471" s="55">
        <x:f>(K471+M471+O471)</x:f>
      </x:c>
      <x:c r="R471" s="56">
        <x:f>(((L471*7)+(N471*1)+(P471*0))/8)</x:f>
      </x:c>
      <x:c r="S471" s="47">
        <x:f>(180*(Ventas!AE480*0.9644) - IF(K471&gt;0,K471,0))</x:f>
      </x:c>
      <x:c r="T471" s="47">
        <x:f>IF(S471&gt;0,S471,0)</x:f>
      </x:c>
      <x:c r="U471" s="40"/>
      <x:c r="V471" s="40"/>
      <x:c r="W471" s="43"/>
      <x:c r="X471" s="43"/>
      <x:c r="Y471" s="47">
        <x:f>IF(K471&gt;0,K471+IF(T471&gt;0,T471,0),T471)</x:f>
      </x:c>
      <x:c r="Z471" s="40"/>
      <x:c r="AA471" s="43"/>
      <x:c r="AB471" s="50">
        <x:v>5.8</x:v>
      </x:c>
      <x:c r="AC471" s="8">
        <x:v>3016</x:v>
      </x:c>
      <x:c r="AD471" s="40"/>
      <x:c r="AE471" s="40"/>
      <x:c r="AF471" s="43"/>
      <x:c r="AG471" s="43"/>
      <x:c r="AH471" s="47">
        <x:f>(Y471-(90*Ventas!AE480*0.9644))</x:f>
      </x:c>
      <x:c r="AI471" s="49">
        <x:f>(AH471/(Ventas!AE480*0.9644)/80)</x:f>
      </x:c>
      <x:c r="AJ471" s="40"/>
      <x:c r="AK471" s="40"/>
      <x:c r="AL471" s="43"/>
      <x:c r="AM471" s="43"/>
      <x:c r="AN471" s="55">
        <x:f>(IF(AH471&gt;0,AH471,0)+IF(AJ471&gt;0,AJ471,0)+IF(AL471&gt;0,AL471,0))</x:f>
      </x:c>
      <x:c r="AO471" s="56">
        <x:f>(((AI471*7)+(AK471*1)+(AM471*1))/8)</x:f>
      </x:c>
      <x:c r="AP471" s="4" t="s">
        <x:v>35</x:v>
      </x:c>
    </x:row>
    <x:row r="472">
      <x:c r="A472" s="4" t="s">
        <x:v>1453</x:v>
      </x:c>
      <x:c r="B472" s="4" t="s">
        <x:v>1452</x:v>
      </x:c>
      <x:c r="C472" s="38" t="s">
        <x:v>1451</x:v>
      </x:c>
      <x:c r="D472" s="41"/>
      <x:c r="E472" s="44"/>
      <x:c r="F472" s="8">
        <x:v>4</x:v>
      </x:c>
      <x:c r="G472" s="40"/>
      <x:c r="H472" s="43"/>
      <x:c r="I472" s="45">
        <x:v>46313</x:v>
      </x:c>
      <x:c r="J472" s="46">
        <x:v>81</x:v>
      </x:c>
      <x:c r="K472" s="47">
        <x:f>(F472-(0)+0-(J472*Ventas!AE481*1.0556))</x:f>
      </x:c>
      <x:c r="L472" s="6"/>
      <x:c r="M472" s="51">
        <x:f>(G472+0)</x:f>
      </x:c>
      <x:c r="N472" s="40"/>
      <x:c r="O472" s="54">
        <x:f>(H472+0)</x:f>
      </x:c>
      <x:c r="P472" s="43"/>
      <x:c r="Q472" s="55">
        <x:f>(K472+M472+O472)</x:f>
      </x:c>
      <x:c r="R472" s="56">
        <x:f>(((L472*7)+(N472*1)+(P472*0))/8)</x:f>
      </x:c>
      <x:c r="S472" s="47">
        <x:f>(180*(Ventas!AE481*0.9644) - IF(K472&gt;0,K472,0))</x:f>
      </x:c>
      <x:c r="T472" s="47">
        <x:f>IF(S472&gt;0,S472,0)</x:f>
      </x:c>
      <x:c r="U472" s="40"/>
      <x:c r="V472" s="40"/>
      <x:c r="W472" s="43"/>
      <x:c r="X472" s="43"/>
      <x:c r="Y472" s="47">
        <x:f>IF(K472&gt;0,K472+IF(T472&gt;0,T472,0),T472)</x:f>
      </x:c>
      <x:c r="Z472" s="40"/>
      <x:c r="AA472" s="43"/>
      <x:c r="AB472" s="6"/>
      <x:c r="AC472" s="6"/>
      <x:c r="AD472" s="40"/>
      <x:c r="AE472" s="40"/>
      <x:c r="AF472" s="43"/>
      <x:c r="AG472" s="43"/>
      <x:c r="AH472" s="6"/>
      <x:c r="AI472" s="6"/>
      <x:c r="AJ472" s="40"/>
      <x:c r="AK472" s="40"/>
      <x:c r="AL472" s="43"/>
      <x:c r="AM472" s="43"/>
      <x:c r="AN472" s="55">
        <x:f>(IF(AH472&gt;0,AH472,0)+IF(AJ472&gt;0,AJ472,0)+IF(AL472&gt;0,AL472,0))</x:f>
      </x:c>
      <x:c r="AO472" s="56">
        <x:f>(((AI472*7)+(AK472*1)+(AM472*1))/8)</x:f>
      </x:c>
      <x:c r="AP472" s="4" t="s">
        <x:v>35</x:v>
      </x:c>
    </x:row>
    <x:row r="473">
      <x:c r="A473" s="4" t="s">
        <x:v>1456</x:v>
      </x:c>
      <x:c r="B473" s="4" t="s">
        <x:v>1455</x:v>
      </x:c>
      <x:c r="C473" s="38" t="s">
        <x:v>1454</x:v>
      </x:c>
      <x:c r="D473" s="41"/>
      <x:c r="E473" s="44"/>
      <x:c r="F473" s="8">
        <x:v>117</x:v>
      </x:c>
      <x:c r="G473" s="40"/>
      <x:c r="H473" s="43"/>
      <x:c r="I473" s="45">
        <x:v>46313</x:v>
      </x:c>
      <x:c r="J473" s="46">
        <x:v>81</x:v>
      </x:c>
      <x:c r="K473" s="47">
        <x:f>(F473-(0)+0-(J473*Ventas!AE482*1.0556))</x:f>
      </x:c>
      <x:c r="L473" s="49">
        <x:f>(K473/(Ventas!AE482*1.0556)/80)</x:f>
      </x:c>
      <x:c r="M473" s="51">
        <x:f>(G473+0)</x:f>
      </x:c>
      <x:c r="N473" s="40"/>
      <x:c r="O473" s="54">
        <x:f>(H473+0)</x:f>
      </x:c>
      <x:c r="P473" s="43"/>
      <x:c r="Q473" s="55">
        <x:f>(K473+M473+O473)</x:f>
      </x:c>
      <x:c r="R473" s="56">
        <x:f>(((L473*7)+(N473*1)+(P473*0))/8)</x:f>
      </x:c>
      <x:c r="S473" s="47">
        <x:f>(180*(Ventas!AE482*0.9644) - IF(K473&gt;0,K473,0))</x:f>
      </x:c>
      <x:c r="T473" s="47">
        <x:f>IF(S473&gt;0,S473,0)</x:f>
      </x:c>
      <x:c r="U473" s="40"/>
      <x:c r="V473" s="40"/>
      <x:c r="W473" s="43"/>
      <x:c r="X473" s="43"/>
      <x:c r="Y473" s="47">
        <x:f>IF(K473&gt;0,K473+IF(T473&gt;0,T473,0),T473)</x:f>
      </x:c>
      <x:c r="Z473" s="40"/>
      <x:c r="AA473" s="43"/>
      <x:c r="AB473" s="50">
        <x:v>3</x:v>
      </x:c>
      <x:c r="AC473" s="8">
        <x:v>3016</x:v>
      </x:c>
      <x:c r="AD473" s="40"/>
      <x:c r="AE473" s="40"/>
      <x:c r="AF473" s="43"/>
      <x:c r="AG473" s="43"/>
      <x:c r="AH473" s="47">
        <x:f>(Y473-(90*Ventas!AE482*0.9644))</x:f>
      </x:c>
      <x:c r="AI473" s="49">
        <x:f>(AH473/(Ventas!AE482*0.9644)/80)</x:f>
      </x:c>
      <x:c r="AJ473" s="40"/>
      <x:c r="AK473" s="40"/>
      <x:c r="AL473" s="43"/>
      <x:c r="AM473" s="43"/>
      <x:c r="AN473" s="55">
        <x:f>(IF(AH473&gt;0,AH473,0)+IF(AJ473&gt;0,AJ473,0)+IF(AL473&gt;0,AL473,0))</x:f>
      </x:c>
      <x:c r="AO473" s="56">
        <x:f>(((AI473*7)+(AK473*1)+(AM473*1))/8)</x:f>
      </x:c>
      <x:c r="AP473" s="4" t="s">
        <x:v>35</x:v>
      </x:c>
    </x:row>
    <x:row r="474">
      <x:c r="A474" s="4" t="s">
        <x:v>1459</x:v>
      </x:c>
      <x:c r="B474" s="4" t="s">
        <x:v>1458</x:v>
      </x:c>
      <x:c r="C474" s="38" t="s">
        <x:v>1457</x:v>
      </x:c>
      <x:c r="D474" s="41"/>
      <x:c r="E474" s="44"/>
      <x:c r="F474" s="8">
        <x:v>92</x:v>
      </x:c>
      <x:c r="G474" s="40"/>
      <x:c r="H474" s="43"/>
      <x:c r="I474" s="45">
        <x:v>46313</x:v>
      </x:c>
      <x:c r="J474" s="46">
        <x:v>81</x:v>
      </x:c>
      <x:c r="K474" s="47">
        <x:f>(F474-(0)+0-(J474*Ventas!AE483*1.0556))</x:f>
      </x:c>
      <x:c r="L474" s="49">
        <x:f>(K474/(Ventas!AE483*1.0556)/80)</x:f>
      </x:c>
      <x:c r="M474" s="51">
        <x:f>(G474+0)</x:f>
      </x:c>
      <x:c r="N474" s="40"/>
      <x:c r="O474" s="54">
        <x:f>(H474+0)</x:f>
      </x:c>
      <x:c r="P474" s="43"/>
      <x:c r="Q474" s="55">
        <x:f>(K474+M474+O474)</x:f>
      </x:c>
      <x:c r="R474" s="56">
        <x:f>(((L474*7)+(N474*1)+(P474*0))/8)</x:f>
      </x:c>
      <x:c r="S474" s="47">
        <x:f>(180*(Ventas!AE483*0.9644) - IF(K474&gt;0,K474,0))</x:f>
      </x:c>
      <x:c r="T474" s="47">
        <x:f>IF(S474&gt;0,S474,0)</x:f>
      </x:c>
      <x:c r="U474" s="40"/>
      <x:c r="V474" s="40"/>
      <x:c r="W474" s="43"/>
      <x:c r="X474" s="43"/>
      <x:c r="Y474" s="47">
        <x:f>IF(K474&gt;0,K474+IF(T474&gt;0,T474,0),T474)</x:f>
      </x:c>
      <x:c r="Z474" s="40"/>
      <x:c r="AA474" s="43"/>
      <x:c r="AB474" s="50">
        <x:v>3.25</x:v>
      </x:c>
      <x:c r="AC474" s="8">
        <x:v>3016</x:v>
      </x:c>
      <x:c r="AD474" s="40"/>
      <x:c r="AE474" s="40"/>
      <x:c r="AF474" s="43"/>
      <x:c r="AG474" s="43"/>
      <x:c r="AH474" s="47">
        <x:f>(Y474-(90*Ventas!AE483*0.9644))</x:f>
      </x:c>
      <x:c r="AI474" s="49">
        <x:f>(AH474/(Ventas!AE483*0.9644)/80)</x:f>
      </x:c>
      <x:c r="AJ474" s="40"/>
      <x:c r="AK474" s="40"/>
      <x:c r="AL474" s="43"/>
      <x:c r="AM474" s="43"/>
      <x:c r="AN474" s="55">
        <x:f>(IF(AH474&gt;0,AH474,0)+IF(AJ474&gt;0,AJ474,0)+IF(AL474&gt;0,AL474,0))</x:f>
      </x:c>
      <x:c r="AO474" s="56">
        <x:f>(((AI474*7)+(AK474*1)+(AM474*1))/8)</x:f>
      </x:c>
      <x:c r="AP474" s="4" t="s">
        <x:v>35</x:v>
      </x:c>
    </x:row>
    <x:row r="475">
      <x:c r="A475" s="4" t="s">
        <x:v>1462</x:v>
      </x:c>
      <x:c r="B475" s="4" t="s">
        <x:v>1461</x:v>
      </x:c>
      <x:c r="C475" s="38" t="s">
        <x:v>1460</x:v>
      </x:c>
      <x:c r="D475" s="41"/>
      <x:c r="E475" s="44"/>
      <x:c r="F475" s="8">
        <x:v>30</x:v>
      </x:c>
      <x:c r="G475" s="40"/>
      <x:c r="H475" s="43"/>
      <x:c r="I475" s="45">
        <x:v>46313</x:v>
      </x:c>
      <x:c r="J475" s="46">
        <x:v>81</x:v>
      </x:c>
      <x:c r="K475" s="47">
        <x:f>(F475-(0)+0-(J475*Ventas!AE484*1.0556))</x:f>
      </x:c>
      <x:c r="L475" s="6"/>
      <x:c r="M475" s="51">
        <x:f>(G475+0)</x:f>
      </x:c>
      <x:c r="N475" s="40"/>
      <x:c r="O475" s="54">
        <x:f>(H475+0)</x:f>
      </x:c>
      <x:c r="P475" s="43"/>
      <x:c r="Q475" s="55">
        <x:f>(K475+M475+O475)</x:f>
      </x:c>
      <x:c r="R475" s="56">
        <x:f>(((L475*7)+(N475*1)+(P475*0))/8)</x:f>
      </x:c>
      <x:c r="S475" s="47">
        <x:f>(180*(Ventas!AE484*0.9644) - IF(K475&gt;0,K475,0))</x:f>
      </x:c>
      <x:c r="T475" s="47">
        <x:f>IF(S475&gt;0,S475,0)</x:f>
      </x:c>
      <x:c r="U475" s="40"/>
      <x:c r="V475" s="40"/>
      <x:c r="W475" s="43"/>
      <x:c r="X475" s="43"/>
      <x:c r="Y475" s="47">
        <x:f>IF(K475&gt;0,K475+IF(T475&gt;0,T475,0),T475)</x:f>
      </x:c>
      <x:c r="Z475" s="40"/>
      <x:c r="AA475" s="43"/>
      <x:c r="AB475" s="50">
        <x:v>4.2</x:v>
      </x:c>
      <x:c r="AC475" s="8">
        <x:v>3016</x:v>
      </x:c>
      <x:c r="AD475" s="40"/>
      <x:c r="AE475" s="40"/>
      <x:c r="AF475" s="43"/>
      <x:c r="AG475" s="43"/>
      <x:c r="AH475" s="6"/>
      <x:c r="AI475" s="6"/>
      <x:c r="AJ475" s="40"/>
      <x:c r="AK475" s="40"/>
      <x:c r="AL475" s="43"/>
      <x:c r="AM475" s="43"/>
      <x:c r="AN475" s="55">
        <x:f>(IF(AH475&gt;0,AH475,0)+IF(AJ475&gt;0,AJ475,0)+IF(AL475&gt;0,AL475,0))</x:f>
      </x:c>
      <x:c r="AO475" s="56">
        <x:f>(((AI475*7)+(AK475*1)+(AM475*1))/8)</x:f>
      </x:c>
      <x:c r="AP475" s="4" t="s">
        <x:v>35</x:v>
      </x:c>
    </x:row>
    <x:row r="476">
      <x:c r="A476" s="4" t="s">
        <x:v>1465</x:v>
      </x:c>
      <x:c r="B476" s="4" t="s">
        <x:v>1464</x:v>
      </x:c>
      <x:c r="C476" s="38" t="s">
        <x:v>1463</x:v>
      </x:c>
      <x:c r="D476" s="41"/>
      <x:c r="E476" s="44"/>
      <x:c r="F476" s="8">
        <x:v>66</x:v>
      </x:c>
      <x:c r="G476" s="40"/>
      <x:c r="H476" s="43"/>
      <x:c r="I476" s="45">
        <x:v>46313</x:v>
      </x:c>
      <x:c r="J476" s="46">
        <x:v>81</x:v>
      </x:c>
      <x:c r="K476" s="47">
        <x:f>(F476-(0)+0-(J476*Ventas!AE485*1.0556))</x:f>
      </x:c>
      <x:c r="L476" s="49">
        <x:f>(K476/(Ventas!AE485*1.0556)/80)</x:f>
      </x:c>
      <x:c r="M476" s="51">
        <x:f>(G476+0)</x:f>
      </x:c>
      <x:c r="N476" s="40"/>
      <x:c r="O476" s="54">
        <x:f>(H476+0)</x:f>
      </x:c>
      <x:c r="P476" s="43"/>
      <x:c r="Q476" s="55">
        <x:f>(K476+M476+O476)</x:f>
      </x:c>
      <x:c r="R476" s="56">
        <x:f>(((L476*7)+(N476*1)+(P476*0))/8)</x:f>
      </x:c>
      <x:c r="S476" s="47">
        <x:f>(180*(Ventas!AE485*0.9644) - IF(K476&gt;0,K476,0))</x:f>
      </x:c>
      <x:c r="T476" s="47">
        <x:f>IF(S476&gt;0,S476,0)</x:f>
      </x:c>
      <x:c r="U476" s="40"/>
      <x:c r="V476" s="40"/>
      <x:c r="W476" s="43"/>
      <x:c r="X476" s="43"/>
      <x:c r="Y476" s="47">
        <x:f>IF(K476&gt;0,K476+IF(T476&gt;0,T476,0),T476)</x:f>
      </x:c>
      <x:c r="Z476" s="40"/>
      <x:c r="AA476" s="43"/>
      <x:c r="AB476" s="50">
        <x:v>4.5</x:v>
      </x:c>
      <x:c r="AC476" s="8">
        <x:v>3016</x:v>
      </x:c>
      <x:c r="AD476" s="40"/>
      <x:c r="AE476" s="40"/>
      <x:c r="AF476" s="43"/>
      <x:c r="AG476" s="43"/>
      <x:c r="AH476" s="47">
        <x:f>(Y476-(90*Ventas!AE485*0.9644))</x:f>
      </x:c>
      <x:c r="AI476" s="49">
        <x:f>(AH476/(Ventas!AE485*0.9644)/80)</x:f>
      </x:c>
      <x:c r="AJ476" s="40"/>
      <x:c r="AK476" s="40"/>
      <x:c r="AL476" s="43"/>
      <x:c r="AM476" s="43"/>
      <x:c r="AN476" s="55">
        <x:f>(IF(AH476&gt;0,AH476,0)+IF(AJ476&gt;0,AJ476,0)+IF(AL476&gt;0,AL476,0))</x:f>
      </x:c>
      <x:c r="AO476" s="56">
        <x:f>(((AI476*7)+(AK476*1)+(AM476*1))/8)</x:f>
      </x:c>
      <x:c r="AP476" s="4" t="s">
        <x:v>35</x:v>
      </x:c>
    </x:row>
    <x:row r="477">
      <x:c r="A477" s="4" t="s">
        <x:v>1468</x:v>
      </x:c>
      <x:c r="B477" s="4" t="s">
        <x:v>1467</x:v>
      </x:c>
      <x:c r="C477" s="38" t="s">
        <x:v>1466</x:v>
      </x:c>
      <x:c r="D477" s="41"/>
      <x:c r="E477" s="44"/>
      <x:c r="F477" s="8">
        <x:v>16</x:v>
      </x:c>
      <x:c r="G477" s="40"/>
      <x:c r="H477" s="43"/>
      <x:c r="I477" s="45">
        <x:v>46313</x:v>
      </x:c>
      <x:c r="J477" s="46">
        <x:v>81</x:v>
      </x:c>
      <x:c r="K477" s="47">
        <x:f>(F477-(0)+0-(J477*Ventas!AE486*1.0556))</x:f>
      </x:c>
      <x:c r="L477" s="49">
        <x:f>(K477/(Ventas!AE486*1.0556)/80)</x:f>
      </x:c>
      <x:c r="M477" s="51">
        <x:f>(G477+0)</x:f>
      </x:c>
      <x:c r="N477" s="40"/>
      <x:c r="O477" s="54">
        <x:f>(H477+0)</x:f>
      </x:c>
      <x:c r="P477" s="43"/>
      <x:c r="Q477" s="55">
        <x:f>(K477+M477+O477)</x:f>
      </x:c>
      <x:c r="R477" s="56">
        <x:f>(((L477*7)+(N477*1)+(P477*0))/8)</x:f>
      </x:c>
      <x:c r="S477" s="47">
        <x:f>(180*(Ventas!AE486*0.9644) - IF(K477&gt;0,K477,0))</x:f>
      </x:c>
      <x:c r="T477" s="47">
        <x:f>IF(S477&gt;0,S477,0)</x:f>
      </x:c>
      <x:c r="U477" s="40"/>
      <x:c r="V477" s="40"/>
      <x:c r="W477" s="43"/>
      <x:c r="X477" s="43"/>
      <x:c r="Y477" s="47">
        <x:f>IF(K477&gt;0,K477+IF(T477&gt;0,T477,0),T477)</x:f>
      </x:c>
      <x:c r="Z477" s="40"/>
      <x:c r="AA477" s="43"/>
      <x:c r="AB477" s="50">
        <x:v>4</x:v>
      </x:c>
      <x:c r="AC477" s="8">
        <x:v>3016</x:v>
      </x:c>
      <x:c r="AD477" s="40"/>
      <x:c r="AE477" s="40"/>
      <x:c r="AF477" s="43"/>
      <x:c r="AG477" s="43"/>
      <x:c r="AH477" s="47">
        <x:f>(Y477-(90*Ventas!AE486*0.9644))</x:f>
      </x:c>
      <x:c r="AI477" s="49">
        <x:f>(AH477/(Ventas!AE486*0.9644)/80)</x:f>
      </x:c>
      <x:c r="AJ477" s="40"/>
      <x:c r="AK477" s="40"/>
      <x:c r="AL477" s="43"/>
      <x:c r="AM477" s="43"/>
      <x:c r="AN477" s="55">
        <x:f>(IF(AH477&gt;0,AH477,0)+IF(AJ477&gt;0,AJ477,0)+IF(AL477&gt;0,AL477,0))</x:f>
      </x:c>
      <x:c r="AO477" s="56">
        <x:f>(((AI477*7)+(AK477*1)+(AM477*1))/8)</x:f>
      </x:c>
      <x:c r="AP477" s="4" t="s">
        <x:v>35</x:v>
      </x:c>
    </x:row>
    <x:row r="478">
      <x:c r="A478" s="4" t="s">
        <x:v>1471</x:v>
      </x:c>
      <x:c r="B478" s="4" t="s">
        <x:v>1470</x:v>
      </x:c>
      <x:c r="C478" s="38" t="s">
        <x:v>1469</x:v>
      </x:c>
      <x:c r="D478" s="41"/>
      <x:c r="E478" s="44"/>
      <x:c r="F478" s="6"/>
      <x:c r="G478" s="40"/>
      <x:c r="H478" s="43"/>
      <x:c r="I478" s="45">
        <x:v>46313</x:v>
      </x:c>
      <x:c r="J478" s="46">
        <x:v>81</x:v>
      </x:c>
      <x:c r="K478" s="47">
        <x:f>(F478-(0)+0-(J478*Ventas!AE487*1.0556))</x:f>
      </x:c>
      <x:c r="L478" s="6"/>
      <x:c r="M478" s="51">
        <x:f>(G478+0)</x:f>
      </x:c>
      <x:c r="N478" s="40"/>
      <x:c r="O478" s="54">
        <x:f>(H478+0)</x:f>
      </x:c>
      <x:c r="P478" s="43"/>
      <x:c r="Q478" s="55">
        <x:f>(K478+M478+O478)</x:f>
      </x:c>
      <x:c r="R478" s="56">
        <x:f>(((L478*7)+(N478*1)+(P478*0))/8)</x:f>
      </x:c>
      <x:c r="S478" s="47">
        <x:f>(180*(Ventas!AE487*0.9644) - IF(K478&gt;0,K478,0))</x:f>
      </x:c>
      <x:c r="T478" s="47">
        <x:f>IF(S478&gt;0,S478,0)</x:f>
      </x:c>
      <x:c r="U478" s="40"/>
      <x:c r="V478" s="40"/>
      <x:c r="W478" s="43"/>
      <x:c r="X478" s="43"/>
      <x:c r="Y478" s="47">
        <x:f>IF(K478&gt;0,K478+IF(T478&gt;0,T478,0),T478)</x:f>
      </x:c>
      <x:c r="Z478" s="40"/>
      <x:c r="AA478" s="43"/>
      <x:c r="AB478" s="6"/>
      <x:c r="AC478" s="6"/>
      <x:c r="AD478" s="40"/>
      <x:c r="AE478" s="40"/>
      <x:c r="AF478" s="43"/>
      <x:c r="AG478" s="43"/>
      <x:c r="AH478" s="6"/>
      <x:c r="AI478" s="6"/>
      <x:c r="AJ478" s="40"/>
      <x:c r="AK478" s="40"/>
      <x:c r="AL478" s="43"/>
      <x:c r="AM478" s="43"/>
      <x:c r="AN478" s="55">
        <x:f>(IF(AH478&gt;0,AH478,0)+IF(AJ478&gt;0,AJ478,0)+IF(AL478&gt;0,AL478,0))</x:f>
      </x:c>
      <x:c r="AO478" s="56">
        <x:f>(((AI478*7)+(AK478*1)+(AM478*1))/8)</x:f>
      </x:c>
      <x:c r="AP478" s="4" t="s">
        <x:v>35</x:v>
      </x:c>
    </x:row>
    <x:row r="479">
      <x:c r="A479" s="4" t="s">
        <x:v>1474</x:v>
      </x:c>
      <x:c r="B479" s="4" t="s">
        <x:v>1473</x:v>
      </x:c>
      <x:c r="C479" s="38" t="s">
        <x:v>1472</x:v>
      </x:c>
      <x:c r="D479" s="41"/>
      <x:c r="E479" s="44"/>
      <x:c r="F479" s="8">
        <x:v>16</x:v>
      </x:c>
      <x:c r="G479" s="40"/>
      <x:c r="H479" s="43"/>
      <x:c r="I479" s="45">
        <x:v>46313</x:v>
      </x:c>
      <x:c r="J479" s="46">
        <x:v>81</x:v>
      </x:c>
      <x:c r="K479" s="47">
        <x:f>(F479-(0)+0-(J479*Ventas!AE488*1.0556))</x:f>
      </x:c>
      <x:c r="L479" s="49">
        <x:f>(K479/(Ventas!AE488*1.0556)/80)</x:f>
      </x:c>
      <x:c r="M479" s="51">
        <x:f>(G479+0)</x:f>
      </x:c>
      <x:c r="N479" s="40"/>
      <x:c r="O479" s="54">
        <x:f>(H479+0)</x:f>
      </x:c>
      <x:c r="P479" s="43"/>
      <x:c r="Q479" s="55">
        <x:f>(K479+M479+O479)</x:f>
      </x:c>
      <x:c r="R479" s="56">
        <x:f>(((L479*7)+(N479*1)+(P479*0))/8)</x:f>
      </x:c>
      <x:c r="S479" s="47">
        <x:f>(180*(Ventas!AE488*0.9644) - IF(K479&gt;0,K479,0))</x:f>
      </x:c>
      <x:c r="T479" s="47">
        <x:f>IF(S479&gt;0,S479,0)</x:f>
      </x:c>
      <x:c r="U479" s="40"/>
      <x:c r="V479" s="40"/>
      <x:c r="W479" s="43"/>
      <x:c r="X479" s="43"/>
      <x:c r="Y479" s="47">
        <x:f>IF(K479&gt;0,K479+IF(T479&gt;0,T479,0),T479)</x:f>
      </x:c>
      <x:c r="Z479" s="40"/>
      <x:c r="AA479" s="43"/>
      <x:c r="AB479" s="50">
        <x:v>3.5</x:v>
      </x:c>
      <x:c r="AC479" s="8">
        <x:v>3016</x:v>
      </x:c>
      <x:c r="AD479" s="40"/>
      <x:c r="AE479" s="40"/>
      <x:c r="AF479" s="43"/>
      <x:c r="AG479" s="43"/>
      <x:c r="AH479" s="47">
        <x:f>(Y479-(90*Ventas!AE488*0.9644))</x:f>
      </x:c>
      <x:c r="AI479" s="49">
        <x:f>(AH479/(Ventas!AE488*0.9644)/80)</x:f>
      </x:c>
      <x:c r="AJ479" s="40"/>
      <x:c r="AK479" s="40"/>
      <x:c r="AL479" s="43"/>
      <x:c r="AM479" s="43"/>
      <x:c r="AN479" s="55">
        <x:f>(IF(AH479&gt;0,AH479,0)+IF(AJ479&gt;0,AJ479,0)+IF(AL479&gt;0,AL479,0))</x:f>
      </x:c>
      <x:c r="AO479" s="56">
        <x:f>(((AI479*7)+(AK479*1)+(AM479*1))/8)</x:f>
      </x:c>
      <x:c r="AP479" s="4" t="s">
        <x:v>35</x:v>
      </x:c>
    </x:row>
    <x:row r="480">
      <x:c r="A480" s="4" t="s">
        <x:v>1477</x:v>
      </x:c>
      <x:c r="B480" s="4" t="s">
        <x:v>1476</x:v>
      </x:c>
      <x:c r="C480" s="38" t="s">
        <x:v>1475</x:v>
      </x:c>
      <x:c r="D480" s="41"/>
      <x:c r="E480" s="44"/>
      <x:c r="F480" s="8">
        <x:v>24</x:v>
      </x:c>
      <x:c r="G480" s="40"/>
      <x:c r="H480" s="43"/>
      <x:c r="I480" s="45">
        <x:v>46313</x:v>
      </x:c>
      <x:c r="J480" s="46">
        <x:v>81</x:v>
      </x:c>
      <x:c r="K480" s="47">
        <x:f>(F480-(0)+0-(J480*Ventas!AE489*1.0556))</x:f>
      </x:c>
      <x:c r="L480" s="49">
        <x:f>(K480/(Ventas!AE489*1.0556)/80)</x:f>
      </x:c>
      <x:c r="M480" s="51">
        <x:f>(G480+0)</x:f>
      </x:c>
      <x:c r="N480" s="40"/>
      <x:c r="O480" s="54">
        <x:f>(H480+0)</x:f>
      </x:c>
      <x:c r="P480" s="43"/>
      <x:c r="Q480" s="55">
        <x:f>(K480+M480+O480)</x:f>
      </x:c>
      <x:c r="R480" s="56">
        <x:f>(((L480*7)+(N480*1)+(P480*0))/8)</x:f>
      </x:c>
      <x:c r="S480" s="47">
        <x:f>(180*(Ventas!AE489*0.9644) - IF(K480&gt;0,K480,0))</x:f>
      </x:c>
      <x:c r="T480" s="47">
        <x:f>IF(S480&gt;0,S480,0)</x:f>
      </x:c>
      <x:c r="U480" s="40"/>
      <x:c r="V480" s="40"/>
      <x:c r="W480" s="43"/>
      <x:c r="X480" s="43"/>
      <x:c r="Y480" s="47">
        <x:f>IF(K480&gt;0,K480+IF(T480&gt;0,T480,0),T480)</x:f>
      </x:c>
      <x:c r="Z480" s="40"/>
      <x:c r="AA480" s="43"/>
      <x:c r="AB480" s="50">
        <x:v>5.5</x:v>
      </x:c>
      <x:c r="AC480" s="8">
        <x:v>3016</x:v>
      </x:c>
      <x:c r="AD480" s="40"/>
      <x:c r="AE480" s="40"/>
      <x:c r="AF480" s="43"/>
      <x:c r="AG480" s="43"/>
      <x:c r="AH480" s="47">
        <x:f>(Y480-(90*Ventas!AE489*0.9644))</x:f>
      </x:c>
      <x:c r="AI480" s="49">
        <x:f>(AH480/(Ventas!AE489*0.9644)/80)</x:f>
      </x:c>
      <x:c r="AJ480" s="40"/>
      <x:c r="AK480" s="40"/>
      <x:c r="AL480" s="43"/>
      <x:c r="AM480" s="43"/>
      <x:c r="AN480" s="55">
        <x:f>(IF(AH480&gt;0,AH480,0)+IF(AJ480&gt;0,AJ480,0)+IF(AL480&gt;0,AL480,0))</x:f>
      </x:c>
      <x:c r="AO480" s="56">
        <x:f>(((AI480*7)+(AK480*1)+(AM480*1))/8)</x:f>
      </x:c>
      <x:c r="AP480" s="4" t="s">
        <x:v>35</x:v>
      </x:c>
    </x:row>
    <x:row r="481">
      <x:c r="A481" s="4" t="s">
        <x:v>1480</x:v>
      </x:c>
      <x:c r="B481" s="4" t="s">
        <x:v>1479</x:v>
      </x:c>
      <x:c r="C481" s="38" t="s">
        <x:v>1478</x:v>
      </x:c>
      <x:c r="D481" s="41"/>
      <x:c r="E481" s="44"/>
      <x:c r="F481" s="8">
        <x:v>4</x:v>
      </x:c>
      <x:c r="G481" s="40"/>
      <x:c r="H481" s="43"/>
      <x:c r="I481" s="45">
        <x:v>46313</x:v>
      </x:c>
      <x:c r="J481" s="46">
        <x:v>81</x:v>
      </x:c>
      <x:c r="K481" s="47">
        <x:f>(F481-(0)+0-(J481*Ventas!AE490*1.0556))</x:f>
      </x:c>
      <x:c r="L481" s="49">
        <x:f>(K481/(Ventas!AE490*1.0556)/80)</x:f>
      </x:c>
      <x:c r="M481" s="51">
        <x:f>(G481+0)</x:f>
      </x:c>
      <x:c r="N481" s="40"/>
      <x:c r="O481" s="54">
        <x:f>(H481+0)</x:f>
      </x:c>
      <x:c r="P481" s="43"/>
      <x:c r="Q481" s="55">
        <x:f>(K481+M481+O481)</x:f>
      </x:c>
      <x:c r="R481" s="56">
        <x:f>(((L481*7)+(N481*1)+(P481*0))/8)</x:f>
      </x:c>
      <x:c r="S481" s="47">
        <x:f>(180*(Ventas!AE490*0.9644) - IF(K481&gt;0,K481,0))</x:f>
      </x:c>
      <x:c r="T481" s="47">
        <x:f>IF(S481&gt;0,S481,0)</x:f>
      </x:c>
      <x:c r="U481" s="40"/>
      <x:c r="V481" s="40"/>
      <x:c r="W481" s="43"/>
      <x:c r="X481" s="43"/>
      <x:c r="Y481" s="47">
        <x:f>IF(K481&gt;0,K481+IF(T481&gt;0,T481,0),T481)</x:f>
      </x:c>
      <x:c r="Z481" s="40"/>
      <x:c r="AA481" s="43"/>
      <x:c r="AB481" s="50">
        <x:v>5</x:v>
      </x:c>
      <x:c r="AC481" s="8">
        <x:v>3016</x:v>
      </x:c>
      <x:c r="AD481" s="40"/>
      <x:c r="AE481" s="40"/>
      <x:c r="AF481" s="43"/>
      <x:c r="AG481" s="43"/>
      <x:c r="AH481" s="47">
        <x:f>(Y481-(90*Ventas!AE490*0.9644))</x:f>
      </x:c>
      <x:c r="AI481" s="49">
        <x:f>(AH481/(Ventas!AE490*0.9644)/80)</x:f>
      </x:c>
      <x:c r="AJ481" s="40"/>
      <x:c r="AK481" s="40"/>
      <x:c r="AL481" s="43"/>
      <x:c r="AM481" s="43"/>
      <x:c r="AN481" s="55">
        <x:f>(IF(AH481&gt;0,AH481,0)+IF(AJ481&gt;0,AJ481,0)+IF(AL481&gt;0,AL481,0))</x:f>
      </x:c>
      <x:c r="AO481" s="56">
        <x:f>(((AI481*7)+(AK481*1)+(AM481*1))/8)</x:f>
      </x:c>
      <x:c r="AP481" s="4" t="s">
        <x:v>35</x:v>
      </x:c>
    </x:row>
    <x:row r="482">
      <x:c r="A482" s="4"/>
      <x:c r="B482" s="4" t="s">
        <x:v>1482</x:v>
      </x:c>
      <x:c r="C482" s="38" t="s">
        <x:v>1481</x:v>
      </x:c>
      <x:c r="D482" s="41"/>
      <x:c r="E482" s="44"/>
      <x:c r="F482" s="6"/>
      <x:c r="G482" s="40"/>
      <x:c r="H482" s="43"/>
      <x:c r="I482" s="45">
        <x:v>46313</x:v>
      </x:c>
      <x:c r="J482" s="46">
        <x:v>81</x:v>
      </x:c>
      <x:c r="K482" s="47">
        <x:f>(F482-(0)+0-(J482*Ventas!AE491*1.0556))</x:f>
      </x:c>
      <x:c r="L482" s="6"/>
      <x:c r="M482" s="51">
        <x:f>(G482+0)</x:f>
      </x:c>
      <x:c r="N482" s="40"/>
      <x:c r="O482" s="54">
        <x:f>(H482+0)</x:f>
      </x:c>
      <x:c r="P482" s="43"/>
      <x:c r="Q482" s="55">
        <x:f>(K482+M482+O482)</x:f>
      </x:c>
      <x:c r="R482" s="56">
        <x:f>(((L482*7)+(N482*1)+(P482*0))/8)</x:f>
      </x:c>
      <x:c r="S482" s="47">
        <x:f>(180*(Ventas!AE491*0.9644) - IF(K482&gt;0,K482,0))</x:f>
      </x:c>
      <x:c r="T482" s="47">
        <x:f>IF(S482&gt;0,S482,0)</x:f>
      </x:c>
      <x:c r="U482" s="40"/>
      <x:c r="V482" s="40"/>
      <x:c r="W482" s="43"/>
      <x:c r="X482" s="43"/>
      <x:c r="Y482" s="47">
        <x:f>IF(K482&gt;0,K482+IF(T482&gt;0,T482,0),T482)</x:f>
      </x:c>
      <x:c r="Z482" s="40"/>
      <x:c r="AA482" s="43"/>
      <x:c r="AB482" s="6"/>
      <x:c r="AC482" s="6"/>
      <x:c r="AD482" s="40"/>
      <x:c r="AE482" s="40"/>
      <x:c r="AF482" s="43"/>
      <x:c r="AG482" s="43"/>
      <x:c r="AH482" s="6"/>
      <x:c r="AI482" s="6"/>
      <x:c r="AJ482" s="40"/>
      <x:c r="AK482" s="40"/>
      <x:c r="AL482" s="43"/>
      <x:c r="AM482" s="43"/>
      <x:c r="AN482" s="55">
        <x:f>(IF(AH482&gt;0,AH482,0)+IF(AJ482&gt;0,AJ482,0)+IF(AL482&gt;0,AL482,0))</x:f>
      </x:c>
      <x:c r="AO482" s="56">
        <x:f>(((AI482*7)+(AK482*1)+(AM482*1))/8)</x:f>
      </x:c>
      <x:c r="AP482" s="4" t="s">
        <x:v>35</x:v>
      </x:c>
    </x:row>
    <x:row r="483">
      <x:c r="A483" s="4"/>
      <x:c r="B483" s="4" t="s">
        <x:v>1484</x:v>
      </x:c>
      <x:c r="C483" s="38" t="s">
        <x:v>1483</x:v>
      </x:c>
      <x:c r="D483" s="41"/>
      <x:c r="E483" s="44"/>
      <x:c r="F483" s="6"/>
      <x:c r="G483" s="40"/>
      <x:c r="H483" s="43"/>
      <x:c r="I483" s="45">
        <x:v>46313</x:v>
      </x:c>
      <x:c r="J483" s="46">
        <x:v>81</x:v>
      </x:c>
      <x:c r="K483" s="47">
        <x:f>(F483-(0)+0-(J483*Ventas!AE492*1.0556))</x:f>
      </x:c>
      <x:c r="L483" s="6"/>
      <x:c r="M483" s="51">
        <x:f>(G483+0)</x:f>
      </x:c>
      <x:c r="N483" s="40"/>
      <x:c r="O483" s="54">
        <x:f>(H483+0)</x:f>
      </x:c>
      <x:c r="P483" s="43"/>
      <x:c r="Q483" s="55">
        <x:f>(K483+M483+O483)</x:f>
      </x:c>
      <x:c r="R483" s="56">
        <x:f>(((L483*7)+(N483*1)+(P483*0))/8)</x:f>
      </x:c>
      <x:c r="S483" s="47">
        <x:f>(180*(Ventas!AE492*0.9644) - IF(K483&gt;0,K483,0))</x:f>
      </x:c>
      <x:c r="T483" s="47">
        <x:f>IF(S483&gt;0,S483,0)</x:f>
      </x:c>
      <x:c r="U483" s="40"/>
      <x:c r="V483" s="40"/>
      <x:c r="W483" s="43"/>
      <x:c r="X483" s="43"/>
      <x:c r="Y483" s="47">
        <x:f>IF(K483&gt;0,K483+IF(T483&gt;0,T483,0),T483)</x:f>
      </x:c>
      <x:c r="Z483" s="40"/>
      <x:c r="AA483" s="43"/>
      <x:c r="AB483" s="6"/>
      <x:c r="AC483" s="6"/>
      <x:c r="AD483" s="40"/>
      <x:c r="AE483" s="40"/>
      <x:c r="AF483" s="43"/>
      <x:c r="AG483" s="43"/>
      <x:c r="AH483" s="6"/>
      <x:c r="AI483" s="6"/>
      <x:c r="AJ483" s="40"/>
      <x:c r="AK483" s="40"/>
      <x:c r="AL483" s="43"/>
      <x:c r="AM483" s="43"/>
      <x:c r="AN483" s="55">
        <x:f>(IF(AH483&gt;0,AH483,0)+IF(AJ483&gt;0,AJ483,0)+IF(AL483&gt;0,AL483,0))</x:f>
      </x:c>
      <x:c r="AO483" s="56">
        <x:f>(((AI483*7)+(AK483*1)+(AM483*1))/8)</x:f>
      </x:c>
      <x:c r="AP483" s="4" t="s">
        <x:v>35</x:v>
      </x:c>
    </x:row>
    <x:row r="484">
      <x:c r="A484" s="4"/>
      <x:c r="B484" s="4" t="s">
        <x:v>1486</x:v>
      </x:c>
      <x:c r="C484" s="38" t="s">
        <x:v>1485</x:v>
      </x:c>
      <x:c r="D484" s="41"/>
      <x:c r="E484" s="44"/>
      <x:c r="F484" s="6"/>
      <x:c r="G484" s="40"/>
      <x:c r="H484" s="43"/>
      <x:c r="I484" s="45">
        <x:v>46313</x:v>
      </x:c>
      <x:c r="J484" s="46">
        <x:v>81</x:v>
      </x:c>
      <x:c r="K484" s="47">
        <x:f>(F484-(0)+0-(J484*Ventas!AE493*1.0556))</x:f>
      </x:c>
      <x:c r="L484" s="6"/>
      <x:c r="M484" s="51">
        <x:f>(G484+0)</x:f>
      </x:c>
      <x:c r="N484" s="40"/>
      <x:c r="O484" s="54">
        <x:f>(H484+0)</x:f>
      </x:c>
      <x:c r="P484" s="43"/>
      <x:c r="Q484" s="55">
        <x:f>(K484+M484+O484)</x:f>
      </x:c>
      <x:c r="R484" s="56">
        <x:f>(((L484*7)+(N484*1)+(P484*0))/8)</x:f>
      </x:c>
      <x:c r="S484" s="47">
        <x:f>(180*(Ventas!AE493*0.9644) - IF(K484&gt;0,K484,0))</x:f>
      </x:c>
      <x:c r="T484" s="47">
        <x:f>IF(S484&gt;0,S484,0)</x:f>
      </x:c>
      <x:c r="U484" s="40"/>
      <x:c r="V484" s="40"/>
      <x:c r="W484" s="43"/>
      <x:c r="X484" s="43"/>
      <x:c r="Y484" s="47">
        <x:f>IF(K484&gt;0,K484+IF(T484&gt;0,T484,0),T484)</x:f>
      </x:c>
      <x:c r="Z484" s="40"/>
      <x:c r="AA484" s="43"/>
      <x:c r="AB484" s="6"/>
      <x:c r="AC484" s="6"/>
      <x:c r="AD484" s="40"/>
      <x:c r="AE484" s="40"/>
      <x:c r="AF484" s="43"/>
      <x:c r="AG484" s="43"/>
      <x:c r="AH484" s="6"/>
      <x:c r="AI484" s="6"/>
      <x:c r="AJ484" s="40"/>
      <x:c r="AK484" s="40"/>
      <x:c r="AL484" s="43"/>
      <x:c r="AM484" s="43"/>
      <x:c r="AN484" s="55">
        <x:f>(IF(AH484&gt;0,AH484,0)+IF(AJ484&gt;0,AJ484,0)+IF(AL484&gt;0,AL484,0))</x:f>
      </x:c>
      <x:c r="AO484" s="56">
        <x:f>(((AI484*7)+(AK484*1)+(AM484*1))/8)</x:f>
      </x:c>
      <x:c r="AP484" s="4" t="s">
        <x:v>35</x:v>
      </x:c>
    </x:row>
    <x:row r="485">
      <x:c r="A485" s="4"/>
      <x:c r="B485" s="4" t="s">
        <x:v>1488</x:v>
      </x:c>
      <x:c r="C485" s="38" t="s">
        <x:v>1487</x:v>
      </x:c>
      <x:c r="D485" s="41"/>
      <x:c r="E485" s="44"/>
      <x:c r="F485" s="8">
        <x:v>17</x:v>
      </x:c>
      <x:c r="G485" s="40"/>
      <x:c r="H485" s="43"/>
      <x:c r="I485" s="45">
        <x:v>46313</x:v>
      </x:c>
      <x:c r="J485" s="46">
        <x:v>81</x:v>
      </x:c>
      <x:c r="K485" s="47">
        <x:f>(F485-(0)+0-(J485*Ventas!AE494*1.0556))</x:f>
      </x:c>
      <x:c r="L485" s="6"/>
      <x:c r="M485" s="51">
        <x:f>(G485+0)</x:f>
      </x:c>
      <x:c r="N485" s="40"/>
      <x:c r="O485" s="54">
        <x:f>(H485+0)</x:f>
      </x:c>
      <x:c r="P485" s="43"/>
      <x:c r="Q485" s="55">
        <x:f>(K485+M485+O485)</x:f>
      </x:c>
      <x:c r="R485" s="56">
        <x:f>(((L485*7)+(N485*1)+(P485*0))/8)</x:f>
      </x:c>
      <x:c r="S485" s="47">
        <x:f>(180*(Ventas!AE494*0.9644) - IF(K485&gt;0,K485,0))</x:f>
      </x:c>
      <x:c r="T485" s="47">
        <x:f>IF(S485&gt;0,S485,0)</x:f>
      </x:c>
      <x:c r="U485" s="40"/>
      <x:c r="V485" s="40"/>
      <x:c r="W485" s="43"/>
      <x:c r="X485" s="43"/>
      <x:c r="Y485" s="47">
        <x:f>IF(K485&gt;0,K485+IF(T485&gt;0,T485,0),T485)</x:f>
      </x:c>
      <x:c r="Z485" s="40"/>
      <x:c r="AA485" s="43"/>
      <x:c r="AB485" s="6"/>
      <x:c r="AC485" s="6"/>
      <x:c r="AD485" s="40"/>
      <x:c r="AE485" s="40"/>
      <x:c r="AF485" s="43"/>
      <x:c r="AG485" s="43"/>
      <x:c r="AH485" s="6"/>
      <x:c r="AI485" s="6"/>
      <x:c r="AJ485" s="40"/>
      <x:c r="AK485" s="40"/>
      <x:c r="AL485" s="43"/>
      <x:c r="AM485" s="43"/>
      <x:c r="AN485" s="55">
        <x:f>(IF(AH485&gt;0,AH485,0)+IF(AJ485&gt;0,AJ485,0)+IF(AL485&gt;0,AL485,0))</x:f>
      </x:c>
      <x:c r="AO485" s="56">
        <x:f>(((AI485*7)+(AK485*1)+(AM485*1))/8)</x:f>
      </x:c>
      <x:c r="AP485" s="4" t="s">
        <x:v>35</x:v>
      </x:c>
    </x:row>
    <x:row r="486">
      <x:c r="A486" s="4"/>
      <x:c r="B486" s="4" t="s">
        <x:v>1490</x:v>
      </x:c>
      <x:c r="C486" s="38" t="s">
        <x:v>1489</x:v>
      </x:c>
      <x:c r="D486" s="41"/>
      <x:c r="E486" s="44"/>
      <x:c r="F486" s="6"/>
      <x:c r="G486" s="40"/>
      <x:c r="H486" s="43"/>
      <x:c r="I486" s="45">
        <x:v>46313</x:v>
      </x:c>
      <x:c r="J486" s="46">
        <x:v>81</x:v>
      </x:c>
      <x:c r="K486" s="47">
        <x:f>(F486-(0)+0-(J486*Ventas!AE495*1.0556))</x:f>
      </x:c>
      <x:c r="L486" s="6"/>
      <x:c r="M486" s="51">
        <x:f>(G486+0)</x:f>
      </x:c>
      <x:c r="N486" s="40"/>
      <x:c r="O486" s="54">
        <x:f>(H486+0)</x:f>
      </x:c>
      <x:c r="P486" s="43"/>
      <x:c r="Q486" s="55">
        <x:f>(K486+M486+O486)</x:f>
      </x:c>
      <x:c r="R486" s="56">
        <x:f>(((L486*7)+(N486*1)+(P486*0))/8)</x:f>
      </x:c>
      <x:c r="S486" s="47">
        <x:f>(180*(Ventas!AE495*0.9644) - IF(K486&gt;0,K486,0))</x:f>
      </x:c>
      <x:c r="T486" s="47">
        <x:f>IF(S486&gt;0,S486,0)</x:f>
      </x:c>
      <x:c r="U486" s="40"/>
      <x:c r="V486" s="40"/>
      <x:c r="W486" s="43"/>
      <x:c r="X486" s="43"/>
      <x:c r="Y486" s="47">
        <x:f>IF(K486&gt;0,K486+IF(T486&gt;0,T486,0),T486)</x:f>
      </x:c>
      <x:c r="Z486" s="40"/>
      <x:c r="AA486" s="43"/>
      <x:c r="AB486" s="6"/>
      <x:c r="AC486" s="6"/>
      <x:c r="AD486" s="40"/>
      <x:c r="AE486" s="40"/>
      <x:c r="AF486" s="43"/>
      <x:c r="AG486" s="43"/>
      <x:c r="AH486" s="6"/>
      <x:c r="AI486" s="6"/>
      <x:c r="AJ486" s="40"/>
      <x:c r="AK486" s="40"/>
      <x:c r="AL486" s="43"/>
      <x:c r="AM486" s="43"/>
      <x:c r="AN486" s="55">
        <x:f>(IF(AH486&gt;0,AH486,0)+IF(AJ486&gt;0,AJ486,0)+IF(AL486&gt;0,AL486,0))</x:f>
      </x:c>
      <x:c r="AO486" s="56">
        <x:f>(((AI486*7)+(AK486*1)+(AM486*1))/8)</x:f>
      </x:c>
      <x:c r="AP486" s="4" t="s">
        <x:v>35</x:v>
      </x:c>
    </x:row>
    <x:row r="487">
      <x:c r="A487" s="4"/>
      <x:c r="B487" s="4" t="s">
        <x:v>1492</x:v>
      </x:c>
      <x:c r="C487" s="38" t="s">
        <x:v>1491</x:v>
      </x:c>
      <x:c r="D487" s="41"/>
      <x:c r="E487" s="44"/>
      <x:c r="F487" s="6"/>
      <x:c r="G487" s="40"/>
      <x:c r="H487" s="43"/>
      <x:c r="I487" s="45">
        <x:v>46313</x:v>
      </x:c>
      <x:c r="J487" s="46">
        <x:v>81</x:v>
      </x:c>
      <x:c r="K487" s="47">
        <x:f>(F487-(0)+0-(J487*Ventas!AE496*1.0556))</x:f>
      </x:c>
      <x:c r="L487" s="6"/>
      <x:c r="M487" s="51">
        <x:f>(G487+0)</x:f>
      </x:c>
      <x:c r="N487" s="40"/>
      <x:c r="O487" s="54">
        <x:f>(H487+0)</x:f>
      </x:c>
      <x:c r="P487" s="43"/>
      <x:c r="Q487" s="55">
        <x:f>(K487+M487+O487)</x:f>
      </x:c>
      <x:c r="R487" s="56">
        <x:f>(((L487*7)+(N487*1)+(P487*0))/8)</x:f>
      </x:c>
      <x:c r="S487" s="47">
        <x:f>(180*(Ventas!AE496*0.9644) - IF(K487&gt;0,K487,0))</x:f>
      </x:c>
      <x:c r="T487" s="47">
        <x:f>IF(S487&gt;0,S487,0)</x:f>
      </x:c>
      <x:c r="U487" s="40"/>
      <x:c r="V487" s="40"/>
      <x:c r="W487" s="43"/>
      <x:c r="X487" s="43"/>
      <x:c r="Y487" s="47">
        <x:f>IF(K487&gt;0,K487+IF(T487&gt;0,T487,0),T487)</x:f>
      </x:c>
      <x:c r="Z487" s="40"/>
      <x:c r="AA487" s="43"/>
      <x:c r="AB487" s="6"/>
      <x:c r="AC487" s="6"/>
      <x:c r="AD487" s="40"/>
      <x:c r="AE487" s="40"/>
      <x:c r="AF487" s="43"/>
      <x:c r="AG487" s="43"/>
      <x:c r="AH487" s="6"/>
      <x:c r="AI487" s="6"/>
      <x:c r="AJ487" s="40"/>
      <x:c r="AK487" s="40"/>
      <x:c r="AL487" s="43"/>
      <x:c r="AM487" s="43"/>
      <x:c r="AN487" s="55">
        <x:f>(IF(AH487&gt;0,AH487,0)+IF(AJ487&gt;0,AJ487,0)+IF(AL487&gt;0,AL487,0))</x:f>
      </x:c>
      <x:c r="AO487" s="56">
        <x:f>(((AI487*7)+(AK487*1)+(AM487*1))/8)</x:f>
      </x:c>
      <x:c r="AP487" s="4" t="s">
        <x:v>35</x:v>
      </x:c>
    </x:row>
    <x:row r="488">
      <x:c r="A488" s="4"/>
      <x:c r="B488" s="4" t="s">
        <x:v>1585</x:v>
      </x:c>
      <x:c r="C488" s="38" t="s">
        <x:v>1584</x:v>
      </x:c>
      <x:c r="D488" s="41"/>
      <x:c r="E488" s="44"/>
      <x:c r="F488" s="8">
        <x:v>1</x:v>
      </x:c>
      <x:c r="G488" s="40"/>
      <x:c r="H488" s="43"/>
      <x:c r="I488" s="45">
        <x:v>46313</x:v>
      </x:c>
      <x:c r="J488" s="46">
        <x:v>81</x:v>
      </x:c>
      <x:c r="K488" s="47">
        <x:f>(F488-(0)+0-(J488*Ventas!AE531*1.0556))</x:f>
      </x:c>
      <x:c r="L488" s="6"/>
      <x:c r="M488" s="51">
        <x:f>(G488+0)</x:f>
      </x:c>
      <x:c r="N488" s="40"/>
      <x:c r="O488" s="54">
        <x:f>(H488+0)</x:f>
      </x:c>
      <x:c r="P488" s="43"/>
      <x:c r="Q488" s="55">
        <x:f>(K488+M488+O488)</x:f>
      </x:c>
      <x:c r="R488" s="56">
        <x:f>(((L488*7)+(N488*1)+(P488*0))/8)</x:f>
      </x:c>
      <x:c r="S488" s="47">
        <x:f>(180*(Ventas!AE531*0.9644) - IF(K488&gt;0,K488,0))</x:f>
      </x:c>
      <x:c r="T488" s="47">
        <x:f>IF(S488&gt;0,S488,0)</x:f>
      </x:c>
      <x:c r="U488" s="40"/>
      <x:c r="V488" s="40"/>
      <x:c r="W488" s="43"/>
      <x:c r="X488" s="43"/>
      <x:c r="Y488" s="47">
        <x:f>IF(K488&gt;0,K488+IF(T488&gt;0,T488,0),T488)</x:f>
      </x:c>
      <x:c r="Z488" s="40"/>
      <x:c r="AA488" s="43"/>
      <x:c r="AB488" s="6"/>
      <x:c r="AC488" s="6"/>
      <x:c r="AD488" s="40"/>
      <x:c r="AE488" s="40"/>
      <x:c r="AF488" s="43"/>
      <x:c r="AG488" s="43"/>
      <x:c r="AH488" s="6"/>
      <x:c r="AI488" s="6"/>
      <x:c r="AJ488" s="40"/>
      <x:c r="AK488" s="40"/>
      <x:c r="AL488" s="43"/>
      <x:c r="AM488" s="43"/>
      <x:c r="AN488" s="55">
        <x:f>(IF(AH488&gt;0,AH488,0)+IF(AJ488&gt;0,AJ488,0)+IF(AL488&gt;0,AL488,0))</x:f>
      </x:c>
      <x:c r="AO488" s="56">
        <x:f>(((AI488*7)+(AK488*1)+(AM488*1))/8)</x:f>
      </x:c>
      <x:c r="AP488" s="4" t="s">
        <x:v>35</x:v>
      </x:c>
    </x:row>
    <x:row r="489">
      <x:c r="A489" s="4" t="s">
        <x:v>80</x:v>
      </x:c>
      <x:c r="B489" s="4" t="s">
        <x:v>79</x:v>
      </x:c>
      <x:c r="C489" s="38" t="s">
        <x:v>78</x:v>
      </x:c>
      <x:c r="D489" s="41" t="s">
        <x:v>1509</x:v>
      </x:c>
      <x:c r="E489" s="44"/>
      <x:c r="F489" s="8">
        <x:v>349</x:v>
      </x:c>
      <x:c r="G489" s="57">
        <x:v>31</x:v>
      </x:c>
      <x:c r="H489" s="43"/>
      <x:c r="I489" s="45">
        <x:v>46313</x:v>
      </x:c>
      <x:c r="J489" s="46">
        <x:v>81</x:v>
      </x:c>
      <x:c r="K489" s="47">
        <x:f>(F489-(0)+0-(J489*Ventas!AE17*1.0556))</x:f>
      </x:c>
      <x:c r="L489" s="49">
        <x:f>(K489/(Ventas!AE17*1.0556)/80)</x:f>
      </x:c>
      <x:c r="M489" s="51">
        <x:f>(G489-(0)+0-(J489*Ventas!AE503*1.0556))</x:f>
      </x:c>
      <x:c r="N489" s="52">
        <x:f>(M489/(Ventas!AE503*1.0556)/80)</x:f>
      </x:c>
      <x:c r="O489" s="54">
        <x:f>(H489+0)</x:f>
      </x:c>
      <x:c r="P489" s="43"/>
      <x:c r="Q489" s="55">
        <x:f>(K489+M489+O489)</x:f>
      </x:c>
      <x:c r="R489" s="56">
        <x:f>(((L489*7)+(N489*1)+(P489*0))/8)</x:f>
      </x:c>
      <x:c r="S489" s="47">
        <x:f>(180*(Ventas!AE17*0.9644) - IF(K489&gt;0,K489,0))</x:f>
      </x:c>
      <x:c r="T489" s="47">
        <x:f>IF(S489&gt;0,S489,0)</x:f>
      </x:c>
      <x:c r="U489" s="51">
        <x:f>(180*(Ventas!AE503*0.9644) - IF(M489&gt;0,M489,0))</x:f>
      </x:c>
      <x:c r="V489" s="51">
        <x:f>IF(U489&gt;0,U489,0)</x:f>
      </x:c>
      <x:c r="W489" s="43"/>
      <x:c r="X489" s="43"/>
      <x:c r="Y489" s="47">
        <x:f>IF(K489&gt;0,K489+IF(T489&gt;0,T489,0),T489)</x:f>
      </x:c>
      <x:c r="Z489" s="51">
        <x:f>IF(M489&gt;0,M489+IF(V489&gt;0,V489,0),V489)</x:f>
      </x:c>
      <x:c r="AA489" s="43"/>
      <x:c r="AB489" s="50">
        <x:v>3.3</x:v>
      </x:c>
      <x:c r="AC489" s="8">
        <x:v>3016</x:v>
      </x:c>
      <x:c r="AD489" s="53">
        <x:v>3.3</x:v>
      </x:c>
      <x:c r="AE489" s="40"/>
      <x:c r="AF489" s="43"/>
      <x:c r="AG489" s="43"/>
      <x:c r="AH489" s="47">
        <x:f>(Y489-(90*Ventas!AE17*0.9644))</x:f>
      </x:c>
      <x:c r="AI489" s="49">
        <x:f>(AH489/(Ventas!AE17*0.9644)/80)</x:f>
      </x:c>
      <x:c r="AJ489" s="51">
        <x:f>(Z489-(90*Ventas!AE503*0.9644))</x:f>
      </x:c>
      <x:c r="AK489" s="52">
        <x:f>(AJ489/(Ventas!AE503*0.9644)/80)</x:f>
      </x:c>
      <x:c r="AL489" s="43"/>
      <x:c r="AM489" s="43"/>
      <x:c r="AN489" s="55">
        <x:f>(IF(AH489&gt;0,AH489,0)+IF(AJ489&gt;0,AJ489,0)+IF(AL489&gt;0,AL489,0))</x:f>
      </x:c>
      <x:c r="AO489" s="56">
        <x:f>(((AI489*7)+(AK489*1)+(AM489*1))/8)</x:f>
      </x:c>
      <x:c r="AP489" s="4" t="s">
        <x:v>35</x:v>
      </x:c>
    </x:row>
    <x:row r="490">
      <x:c r="A490" s="4" t="s">
        <x:v>139</x:v>
      </x:c>
      <x:c r="B490" s="4" t="s">
        <x:v>138</x:v>
      </x:c>
      <x:c r="C490" s="38" t="s">
        <x:v>137</x:v>
      </x:c>
      <x:c r="D490" s="41" t="s">
        <x:v>1518</x:v>
      </x:c>
      <x:c r="E490" s="44"/>
      <x:c r="F490" s="8">
        <x:v>764</x:v>
      </x:c>
      <x:c r="G490" s="57">
        <x:v>309</x:v>
      </x:c>
      <x:c r="H490" s="43"/>
      <x:c r="I490" s="45">
        <x:v>46313</x:v>
      </x:c>
      <x:c r="J490" s="46">
        <x:v>81</x:v>
      </x:c>
      <x:c r="K490" s="47">
        <x:f>(F490-(0)+0-(J490*Ventas!AE37*1.0556))</x:f>
      </x:c>
      <x:c r="L490" s="49">
        <x:f>(K490/(Ventas!AE37*1.0556)/80)</x:f>
      </x:c>
      <x:c r="M490" s="51">
        <x:f>(G490-(0)+0-(J490*Ventas!AE506*1.0556))</x:f>
      </x:c>
      <x:c r="N490" s="52">
        <x:f>(M490/(Ventas!AE506*1.0556)/80)</x:f>
      </x:c>
      <x:c r="O490" s="54">
        <x:f>(H490+0)</x:f>
      </x:c>
      <x:c r="P490" s="43"/>
      <x:c r="Q490" s="55">
        <x:f>(K490+M490+O490)</x:f>
      </x:c>
      <x:c r="R490" s="56">
        <x:f>(((L490*7)+(N490*1)+(P490*0))/8)</x:f>
      </x:c>
      <x:c r="S490" s="47">
        <x:f>(180*(Ventas!AE37*0.9644) - IF(K490&gt;0,K490,0))</x:f>
      </x:c>
      <x:c r="T490" s="47">
        <x:f>IF(S490&gt;0,S490,0)</x:f>
      </x:c>
      <x:c r="U490" s="51">
        <x:f>(180*(Ventas!AE506*0.9644) - IF(M490&gt;0,M490,0))</x:f>
      </x:c>
      <x:c r="V490" s="51">
        <x:f>IF(U490&gt;0,U490,0)</x:f>
      </x:c>
      <x:c r="W490" s="43"/>
      <x:c r="X490" s="43"/>
      <x:c r="Y490" s="47">
        <x:f>IF(K490&gt;0,K490+IF(T490&gt;0,T490,0),T490)</x:f>
      </x:c>
      <x:c r="Z490" s="51">
        <x:f>IF(M490&gt;0,M490+IF(V490&gt;0,V490,0),V490)</x:f>
      </x:c>
      <x:c r="AA490" s="43"/>
      <x:c r="AB490" s="50">
        <x:v>3</x:v>
      </x:c>
      <x:c r="AC490" s="8">
        <x:v>3016</x:v>
      </x:c>
      <x:c r="AD490" s="53">
        <x:v>3</x:v>
      </x:c>
      <x:c r="AE490" s="40"/>
      <x:c r="AF490" s="43"/>
      <x:c r="AG490" s="43"/>
      <x:c r="AH490" s="47">
        <x:f>(Y490-(90*Ventas!AE37*0.9644))</x:f>
      </x:c>
      <x:c r="AI490" s="49">
        <x:f>(AH490/(Ventas!AE37*0.9644)/80)</x:f>
      </x:c>
      <x:c r="AJ490" s="51">
        <x:f>(Z490-(90*Ventas!AE506*0.9644))</x:f>
      </x:c>
      <x:c r="AK490" s="52">
        <x:f>(AJ490/(Ventas!AE506*0.9644)/80)</x:f>
      </x:c>
      <x:c r="AL490" s="43"/>
      <x:c r="AM490" s="43"/>
      <x:c r="AN490" s="55">
        <x:f>(IF(AH490&gt;0,AH490,0)+IF(AJ490&gt;0,AJ490,0)+IF(AL490&gt;0,AL490,0))</x:f>
      </x:c>
      <x:c r="AO490" s="56">
        <x:f>(((AI490*7)+(AK490*1)+(AM490*1))/8)</x:f>
      </x:c>
      <x:c r="AP490" s="4" t="s">
        <x:v>35</x:v>
      </x:c>
    </x:row>
    <x:row r="491">
      <x:c r="A491" s="4" t="s">
        <x:v>344</x:v>
      </x:c>
      <x:c r="B491" s="4" t="s">
        <x:v>343</x:v>
      </x:c>
      <x:c r="C491" s="38" t="s">
        <x:v>342</x:v>
      </x:c>
      <x:c r="D491" s="41" t="s">
        <x:v>1537</x:v>
      </x:c>
      <x:c r="E491" s="44"/>
      <x:c r="F491" s="6"/>
      <x:c r="G491" s="40"/>
      <x:c r="H491" s="43"/>
      <x:c r="I491" s="45">
        <x:v>46313</x:v>
      </x:c>
      <x:c r="J491" s="46">
        <x:v>81</x:v>
      </x:c>
      <x:c r="K491" s="47">
        <x:f>(F491-(0)+0-(J491*Ventas!AE107*1.0556))</x:f>
      </x:c>
      <x:c r="L491" s="6"/>
      <x:c r="M491" s="51">
        <x:f>(G491-(0)+0-(J491*Ventas!AE513*1.0556))</x:f>
      </x:c>
      <x:c r="N491" s="40"/>
      <x:c r="O491" s="54">
        <x:f>(H491+0)</x:f>
      </x:c>
      <x:c r="P491" s="43"/>
      <x:c r="Q491" s="55">
        <x:f>(K491+M491+O491)</x:f>
      </x:c>
      <x:c r="R491" s="56">
        <x:f>(((L491*7)+(N491*1)+(P491*0))/8)</x:f>
      </x:c>
      <x:c r="S491" s="47">
        <x:f>(180*(Ventas!AE107*0.9644) - IF(K491&gt;0,K491,0))</x:f>
      </x:c>
      <x:c r="T491" s="47">
        <x:f>IF(S491&gt;0,S491,0)</x:f>
      </x:c>
      <x:c r="U491" s="51">
        <x:f>(180*(Ventas!AE513*0.9644) - IF(M491&gt;0,M491,0))</x:f>
      </x:c>
      <x:c r="V491" s="51">
        <x:f>IF(U491&gt;0,U491,0)</x:f>
      </x:c>
      <x:c r="W491" s="43"/>
      <x:c r="X491" s="43"/>
      <x:c r="Y491" s="47">
        <x:f>IF(K491&gt;0,K491+IF(T491&gt;0,T491,0),T491)</x:f>
      </x:c>
      <x:c r="Z491" s="51">
        <x:f>IF(M491&gt;0,M491+IF(V491&gt;0,V491,0),V491)</x:f>
      </x:c>
      <x:c r="AA491" s="43"/>
      <x:c r="AB491" s="50">
        <x:v>4.31</x:v>
      </x:c>
      <x:c r="AC491" s="8">
        <x:v>3013</x:v>
      </x:c>
      <x:c r="AD491" s="53">
        <x:v>4.31</x:v>
      </x:c>
      <x:c r="AE491" s="40"/>
      <x:c r="AF491" s="43"/>
      <x:c r="AG491" s="43"/>
      <x:c r="AH491" s="6"/>
      <x:c r="AI491" s="6"/>
      <x:c r="AJ491" s="40"/>
      <x:c r="AK491" s="40"/>
      <x:c r="AL491" s="43"/>
      <x:c r="AM491" s="43"/>
      <x:c r="AN491" s="55">
        <x:f>(IF(AH491&gt;0,AH491,0)+IF(AJ491&gt;0,AJ491,0)+IF(AL491&gt;0,AL491,0))</x:f>
      </x:c>
      <x:c r="AO491" s="56">
        <x:f>(((AI491*7)+(AK491*1)+(AM491*1))/8)</x:f>
      </x:c>
      <x:c r="AP491" s="4" t="s">
        <x:v>51</x:v>
      </x:c>
    </x:row>
    <x:row r="492">
      <x:c r="A492" s="4" t="s">
        <x:v>784</x:v>
      </x:c>
      <x:c r="B492" s="4" t="s">
        <x:v>783</x:v>
      </x:c>
      <x:c r="C492" s="38" t="s">
        <x:v>782</x:v>
      </x:c>
      <x:c r="D492" s="41" t="s">
        <x:v>1569</x:v>
      </x:c>
      <x:c r="E492" s="44"/>
      <x:c r="F492" s="6"/>
      <x:c r="G492" s="40"/>
      <x:c r="H492" s="43"/>
      <x:c r="I492" s="45">
        <x:v>46313</x:v>
      </x:c>
      <x:c r="J492" s="46">
        <x:v>81</x:v>
      </x:c>
      <x:c r="K492" s="47">
        <x:f>(F492-(0)+0-(J492*Ventas!AE255*1.0556))</x:f>
      </x:c>
      <x:c r="L492" s="6"/>
      <x:c r="M492" s="51">
        <x:f>(G492-(0)+0-(J492*Ventas!AE525*1.0556))</x:f>
      </x:c>
      <x:c r="N492" s="40"/>
      <x:c r="O492" s="54">
        <x:f>(H492+0)</x:f>
      </x:c>
      <x:c r="P492" s="43"/>
      <x:c r="Q492" s="55">
        <x:f>(K492+M492+O492)</x:f>
      </x:c>
      <x:c r="R492" s="56">
        <x:f>(((L492*7)+(N492*1)+(P492*0))/8)</x:f>
      </x:c>
      <x:c r="S492" s="47">
        <x:f>(180*(Ventas!AE255*0.9644) - IF(K492&gt;0,K492,0))</x:f>
      </x:c>
      <x:c r="T492" s="47">
        <x:f>IF(S492&gt;0,S492,0)</x:f>
      </x:c>
      <x:c r="U492" s="51">
        <x:f>(180*(Ventas!AE525*0.9644) - IF(M492&gt;0,M492,0))</x:f>
      </x:c>
      <x:c r="V492" s="51">
        <x:f>IF(U492&gt;0,U492,0)</x:f>
      </x:c>
      <x:c r="W492" s="43"/>
      <x:c r="X492" s="43"/>
      <x:c r="Y492" s="47">
        <x:f>IF(K492&gt;0,K492+IF(T492&gt;0,T492,0),T492)</x:f>
      </x:c>
      <x:c r="Z492" s="51">
        <x:f>IF(M492&gt;0,M492+IF(V492&gt;0,V492,0),V492)</x:f>
      </x:c>
      <x:c r="AA492" s="43"/>
      <x:c r="AB492" s="50">
        <x:v>3.9</x:v>
      </x:c>
      <x:c r="AC492" s="8">
        <x:v>3022</x:v>
      </x:c>
      <x:c r="AD492" s="53">
        <x:v>3.9</x:v>
      </x:c>
      <x:c r="AE492" s="40"/>
      <x:c r="AF492" s="43"/>
      <x:c r="AG492" s="43"/>
      <x:c r="AH492" s="6"/>
      <x:c r="AI492" s="6"/>
      <x:c r="AJ492" s="40"/>
      <x:c r="AK492" s="40"/>
      <x:c r="AL492" s="43"/>
      <x:c r="AM492" s="43"/>
      <x:c r="AN492" s="55">
        <x:f>(IF(AH492&gt;0,AH492,0)+IF(AJ492&gt;0,AJ492,0)+IF(AL492&gt;0,AL492,0))</x:f>
      </x:c>
      <x:c r="AO492" s="56">
        <x:f>(((AI492*7)+(AK492*1)+(AM492*1))/8)</x:f>
      </x:c>
      <x:c r="AP492" s="4" t="s">
        <x:v>51</x:v>
      </x:c>
    </x:row>
    <x:row r="493">
      <x:c r="A493" s="4"/>
      <x:c r="B493" s="4" t="s">
        <x:v>815</x:v>
      </x:c>
      <x:c r="C493" s="38" t="s">
        <x:v>814</x:v>
      </x:c>
      <x:c r="D493" s="41"/>
      <x:c r="E493" s="44"/>
      <x:c r="F493" s="6"/>
      <x:c r="G493" s="40"/>
      <x:c r="H493" s="43"/>
      <x:c r="I493" s="45">
        <x:v>46313</x:v>
      </x:c>
      <x:c r="J493" s="46">
        <x:v>81</x:v>
      </x:c>
      <x:c r="K493" s="47">
        <x:f>(F493-(0)+0-(J493*Ventas!AE266*1.0556))</x:f>
      </x:c>
      <x:c r="L493" s="6"/>
      <x:c r="M493" s="51">
        <x:f>(G493+0)</x:f>
      </x:c>
      <x:c r="N493" s="40"/>
      <x:c r="O493" s="54">
        <x:f>(H493+0)</x:f>
      </x:c>
      <x:c r="P493" s="43"/>
      <x:c r="Q493" s="55">
        <x:f>(K493+M493+O493)</x:f>
      </x:c>
      <x:c r="R493" s="56">
        <x:f>(((L493*7)+(N493*1)+(P493*0))/8)</x:f>
      </x:c>
      <x:c r="S493" s="47">
        <x:f>(180*(Ventas!AE266*0.9644) - IF(K493&gt;0,K493,0))</x:f>
      </x:c>
      <x:c r="T493" s="47">
        <x:f>IF(S493&gt;0,S493,0)</x:f>
      </x:c>
      <x:c r="U493" s="40"/>
      <x:c r="V493" s="40"/>
      <x:c r="W493" s="43"/>
      <x:c r="X493" s="43"/>
      <x:c r="Y493" s="47">
        <x:f>IF(K493&gt;0,K493+IF(T493&gt;0,T493,0),T493)</x:f>
      </x:c>
      <x:c r="Z493" s="40"/>
      <x:c r="AA493" s="43"/>
      <x:c r="AB493" s="50">
        <x:v>3.8</x:v>
      </x:c>
      <x:c r="AC493" s="8">
        <x:v>3016</x:v>
      </x:c>
      <x:c r="AD493" s="40"/>
      <x:c r="AE493" s="40"/>
      <x:c r="AF493" s="43"/>
      <x:c r="AG493" s="43"/>
      <x:c r="AH493" s="6"/>
      <x:c r="AI493" s="6"/>
      <x:c r="AJ493" s="40"/>
      <x:c r="AK493" s="40"/>
      <x:c r="AL493" s="43"/>
      <x:c r="AM493" s="43"/>
      <x:c r="AN493" s="55">
        <x:f>(IF(AH493&gt;0,AH493,0)+IF(AJ493&gt;0,AJ493,0)+IF(AL493&gt;0,AL493,0))</x:f>
      </x:c>
      <x:c r="AO493" s="56">
        <x:f>(((AI493*7)+(AK493*1)+(AM493*1))/8)</x:f>
      </x:c>
      <x:c r="AP493" s="4" t="s">
        <x:v>51</x:v>
      </x:c>
    </x:row>
    <x:row r="494">
      <x:c r="A494" s="4" t="s">
        <x:v>344</x:v>
      </x:c>
      <x:c r="B494" s="4" t="s">
        <x:v>820</x:v>
      </x:c>
      <x:c r="C494" s="38" t="s">
        <x:v>819</x:v>
      </x:c>
      <x:c r="D494" s="41" t="s">
        <x:v>1575</x:v>
      </x:c>
      <x:c r="E494" s="44"/>
      <x:c r="F494" s="8">
        <x:v>1328</x:v>
      </x:c>
      <x:c r="G494" s="57">
        <x:v>473</x:v>
      </x:c>
      <x:c r="H494" s="43"/>
      <x:c r="I494" s="45">
        <x:v>46313</x:v>
      </x:c>
      <x:c r="J494" s="46">
        <x:v>81</x:v>
      </x:c>
      <x:c r="K494" s="47">
        <x:f>(F494-(0)+0-(J494*Ventas!AE268*1.0556))</x:f>
      </x:c>
      <x:c r="L494" s="49">
        <x:f>(K494/(Ventas!AE268*1.0556)/80)</x:f>
      </x:c>
      <x:c r="M494" s="51">
        <x:f>(G494-(0)+0-(J494*Ventas!AE527*1.0556))</x:f>
      </x:c>
      <x:c r="N494" s="52">
        <x:f>(M494/(Ventas!AE527*1.0556)/80)</x:f>
      </x:c>
      <x:c r="O494" s="54">
        <x:f>(H494+0)</x:f>
      </x:c>
      <x:c r="P494" s="43"/>
      <x:c r="Q494" s="55">
        <x:f>(K494+M494+O494)</x:f>
      </x:c>
      <x:c r="R494" s="56">
        <x:f>(((L494*7)+(N494*1)+(P494*0))/8)</x:f>
      </x:c>
      <x:c r="S494" s="47">
        <x:f>(180*(Ventas!AE268*0.9644) - IF(K494&gt;0,K494,0))</x:f>
      </x:c>
      <x:c r="T494" s="47">
        <x:f>IF(S494&gt;0,S494,0)</x:f>
      </x:c>
      <x:c r="U494" s="51">
        <x:f>(180*(Ventas!AE527*0.9644) - IF(M494&gt;0,M494,0))</x:f>
      </x:c>
      <x:c r="V494" s="51">
        <x:f>IF(U494&gt;0,U494,0)</x:f>
      </x:c>
      <x:c r="W494" s="43"/>
      <x:c r="X494" s="43"/>
      <x:c r="Y494" s="47">
        <x:f>IF(K494&gt;0,K494+IF(T494&gt;0,T494,0),T494)</x:f>
      </x:c>
      <x:c r="Z494" s="51">
        <x:f>IF(M494&gt;0,M494+IF(V494&gt;0,V494,0),V494)</x:f>
      </x:c>
      <x:c r="AA494" s="43"/>
      <x:c r="AB494" s="50">
        <x:v>2.95</x:v>
      </x:c>
      <x:c r="AC494" s="8">
        <x:v>3016</x:v>
      </x:c>
      <x:c r="AD494" s="53">
        <x:v>2.95</x:v>
      </x:c>
      <x:c r="AE494" s="40"/>
      <x:c r="AF494" s="43"/>
      <x:c r="AG494" s="43"/>
      <x:c r="AH494" s="47">
        <x:f>(Y494-(90*Ventas!AE268*0.9644))</x:f>
      </x:c>
      <x:c r="AI494" s="49">
        <x:f>(AH494/(Ventas!AE268*0.9644)/80)</x:f>
      </x:c>
      <x:c r="AJ494" s="51">
        <x:f>(Z494-(90*Ventas!AE527*0.9644))</x:f>
      </x:c>
      <x:c r="AK494" s="52">
        <x:f>(AJ494/(Ventas!AE527*0.9644)/80)</x:f>
      </x:c>
      <x:c r="AL494" s="43"/>
      <x:c r="AM494" s="43"/>
      <x:c r="AN494" s="55">
        <x:f>(IF(AH494&gt;0,AH494,0)+IF(AJ494&gt;0,AJ494,0)+IF(AL494&gt;0,AL494,0))</x:f>
      </x:c>
      <x:c r="AO494" s="56">
        <x:f>(((AI494*7)+(AK494*1)+(AM494*1))/8)</x:f>
      </x:c>
      <x:c r="AP494" s="4" t="s">
        <x:v>35</x:v>
      </x:c>
    </x:row>
    <x:row r="495">
      <x:c r="A495" s="4" t="s">
        <x:v>394</x:v>
      </x:c>
      <x:c r="B495" s="4" t="s">
        <x:v>822</x:v>
      </x:c>
      <x:c r="C495" s="38" t="s">
        <x:v>821</x:v>
      </x:c>
      <x:c r="D495" s="41" t="s">
        <x:v>1577</x:v>
      </x:c>
      <x:c r="E495" s="44"/>
      <x:c r="F495" s="8">
        <x:v>485</x:v>
      </x:c>
      <x:c r="G495" s="40"/>
      <x:c r="H495" s="43"/>
      <x:c r="I495" s="45">
        <x:v>46313</x:v>
      </x:c>
      <x:c r="J495" s="46">
        <x:v>81</x:v>
      </x:c>
      <x:c r="K495" s="47">
        <x:f>(F495-(0)+0-(J495*Ventas!AE269*1.0556))</x:f>
      </x:c>
      <x:c r="L495" s="49">
        <x:f>(K495/(Ventas!AE269*1.0556)/80)</x:f>
      </x:c>
      <x:c r="M495" s="51">
        <x:f>(G495-(0)+0-(J495*Ventas!AE528*1.0556))</x:f>
      </x:c>
      <x:c r="N495" s="40"/>
      <x:c r="O495" s="54">
        <x:f>(H495+0)</x:f>
      </x:c>
      <x:c r="P495" s="43"/>
      <x:c r="Q495" s="55">
        <x:f>(K495+M495+O495)</x:f>
      </x:c>
      <x:c r="R495" s="56">
        <x:f>(((L495*7)+(N495*1)+(P495*0))/8)</x:f>
      </x:c>
      <x:c r="S495" s="47">
        <x:f>(180*(Ventas!AE269*0.9644) - IF(K495&gt;0,K495,0))</x:f>
      </x:c>
      <x:c r="T495" s="47">
        <x:f>IF(S495&gt;0,S495,0)</x:f>
      </x:c>
      <x:c r="U495" s="51">
        <x:f>(180*(Ventas!AE528*0.9644) - IF(M495&gt;0,M495,0))</x:f>
      </x:c>
      <x:c r="V495" s="51">
        <x:f>IF(U495&gt;0,U495,0)</x:f>
      </x:c>
      <x:c r="W495" s="43"/>
      <x:c r="X495" s="43"/>
      <x:c r="Y495" s="47">
        <x:f>IF(K495&gt;0,K495+IF(T495&gt;0,T495,0),T495)</x:f>
      </x:c>
      <x:c r="Z495" s="51">
        <x:f>IF(M495&gt;0,M495+IF(V495&gt;0,V495,0),V495)</x:f>
      </x:c>
      <x:c r="AA495" s="43"/>
      <x:c r="AB495" s="50">
        <x:v>6.7</x:v>
      </x:c>
      <x:c r="AC495" s="8">
        <x:v>3016</x:v>
      </x:c>
      <x:c r="AD495" s="40"/>
      <x:c r="AE495" s="40"/>
      <x:c r="AF495" s="43"/>
      <x:c r="AG495" s="43"/>
      <x:c r="AH495" s="47">
        <x:f>(Y495-(90*Ventas!AE269*0.9644))</x:f>
      </x:c>
      <x:c r="AI495" s="49">
        <x:f>(AH495/(Ventas!AE269*0.9644)/80)</x:f>
      </x:c>
      <x:c r="AJ495" s="40"/>
      <x:c r="AK495" s="40"/>
      <x:c r="AL495" s="43"/>
      <x:c r="AM495" s="43"/>
      <x:c r="AN495" s="55">
        <x:f>(IF(AH495&gt;0,AH495,0)+IF(AJ495&gt;0,AJ495,0)+IF(AL495&gt;0,AL495,0))</x:f>
      </x:c>
      <x:c r="AO495" s="56">
        <x:f>(((AI495*7)+(AK495*1)+(AM495*1))/8)</x:f>
      </x:c>
      <x:c r="AP495" s="4" t="s">
        <x:v>35</x:v>
      </x:c>
    </x:row>
    <x:row r="496">
      <x:c r="A496" s="4" t="s">
        <x:v>382</x:v>
      </x:c>
      <x:c r="B496" s="4" t="s">
        <x:v>826</x:v>
      </x:c>
      <x:c r="C496" s="38" t="s">
        <x:v>825</x:v>
      </x:c>
      <x:c r="D496" s="41"/>
      <x:c r="E496" s="44"/>
      <x:c r="F496" s="8">
        <x:v>111</x:v>
      </x:c>
      <x:c r="G496" s="40"/>
      <x:c r="H496" s="43"/>
      <x:c r="I496" s="45">
        <x:v>46313</x:v>
      </x:c>
      <x:c r="J496" s="46">
        <x:v>81</x:v>
      </x:c>
      <x:c r="K496" s="47">
        <x:f>(F496-(0)+0-(J496*Ventas!AE271*1.0556))</x:f>
      </x:c>
      <x:c r="L496" s="49">
        <x:f>(K496/(Ventas!AE271*1.0556)/80)</x:f>
      </x:c>
      <x:c r="M496" s="51">
        <x:f>(G496+0)</x:f>
      </x:c>
      <x:c r="N496" s="40"/>
      <x:c r="O496" s="54">
        <x:f>(H496+0)</x:f>
      </x:c>
      <x:c r="P496" s="43"/>
      <x:c r="Q496" s="55">
        <x:f>(K496+M496+O496)</x:f>
      </x:c>
      <x:c r="R496" s="56">
        <x:f>(((L496*7)+(N496*1)+(P496*0))/8)</x:f>
      </x:c>
      <x:c r="S496" s="47">
        <x:f>(180*(Ventas!AE271*0.9644) - IF(K496&gt;0,K496,0))</x:f>
      </x:c>
      <x:c r="T496" s="47">
        <x:f>IF(S496&gt;0,S496,0)</x:f>
      </x:c>
      <x:c r="U496" s="40"/>
      <x:c r="V496" s="40"/>
      <x:c r="W496" s="43"/>
      <x:c r="X496" s="43"/>
      <x:c r="Y496" s="47">
        <x:f>IF(K496&gt;0,K496+IF(T496&gt;0,T496,0),T496)</x:f>
      </x:c>
      <x:c r="Z496" s="40"/>
      <x:c r="AA496" s="43"/>
      <x:c r="AB496" s="50">
        <x:v>6.5</x:v>
      </x:c>
      <x:c r="AC496" s="8">
        <x:v>3016</x:v>
      </x:c>
      <x:c r="AD496" s="40"/>
      <x:c r="AE496" s="40"/>
      <x:c r="AF496" s="43"/>
      <x:c r="AG496" s="43"/>
      <x:c r="AH496" s="47">
        <x:f>(Y496-(90*Ventas!AE271*0.9644))</x:f>
      </x:c>
      <x:c r="AI496" s="49">
        <x:f>(AH496/(Ventas!AE271*0.9644)/80)</x:f>
      </x:c>
      <x:c r="AJ496" s="40"/>
      <x:c r="AK496" s="40"/>
      <x:c r="AL496" s="43"/>
      <x:c r="AM496" s="43"/>
      <x:c r="AN496" s="55">
        <x:f>(IF(AH496&gt;0,AH496,0)+IF(AJ496&gt;0,AJ496,0)+IF(AL496&gt;0,AL496,0))</x:f>
      </x:c>
      <x:c r="AO496" s="56">
        <x:f>(((AI496*7)+(AK496*1)+(AM496*1))/8)</x:f>
      </x:c>
      <x:c r="AP496" s="4" t="s">
        <x:v>35</x:v>
      </x:c>
    </x:row>
    <x:row r="497">
      <x:c r="A497" s="4" t="s">
        <x:v>98</x:v>
      </x:c>
      <x:c r="B497" s="4" t="s">
        <x:v>97</x:v>
      </x:c>
      <x:c r="C497" s="38" t="s">
        <x:v>96</x:v>
      </x:c>
      <x:c r="D497" s="41" t="s">
        <x:v>1515</x:v>
      </x:c>
      <x:c r="E497" s="44"/>
      <x:c r="F497" s="8">
        <x:v>392</x:v>
      </x:c>
      <x:c r="G497" s="57">
        <x:v>64</x:v>
      </x:c>
      <x:c r="H497" s="43"/>
      <x:c r="I497" s="45">
        <x:v>46313</x:v>
      </x:c>
      <x:c r="J497" s="46">
        <x:v>81</x:v>
      </x:c>
      <x:c r="K497" s="47">
        <x:f>(F497-(0)+0-(J497*Ventas!AE23*1.0556))</x:f>
      </x:c>
      <x:c r="L497" s="49">
        <x:f>(K497/(Ventas!AE23*1.0556)/80)</x:f>
      </x:c>
      <x:c r="M497" s="51">
        <x:f>(G497-(0)+0-(J497*Ventas!AE505*1.0556))</x:f>
      </x:c>
      <x:c r="N497" s="52">
        <x:f>(M497/(Ventas!AE505*1.0556)/80)</x:f>
      </x:c>
      <x:c r="O497" s="54">
        <x:f>(H497+0)</x:f>
      </x:c>
      <x:c r="P497" s="43"/>
      <x:c r="Q497" s="55">
        <x:f>(K497+M497+O497)</x:f>
      </x:c>
      <x:c r="R497" s="56">
        <x:f>(((L497*7)+(N497*1)+(P497*0))/8)</x:f>
      </x:c>
      <x:c r="S497" s="47">
        <x:f>(180*(Ventas!AE23*0.9644) - IF(K497&gt;0,K497,0))</x:f>
      </x:c>
      <x:c r="T497" s="47">
        <x:f>IF(S497&gt;0,S497,0)</x:f>
      </x:c>
      <x:c r="U497" s="51">
        <x:f>(180*(Ventas!AE505*0.9644) - IF(M497&gt;0,M497,0))</x:f>
      </x:c>
      <x:c r="V497" s="51">
        <x:f>IF(U497&gt;0,U497,0)</x:f>
      </x:c>
      <x:c r="W497" s="43"/>
      <x:c r="X497" s="43"/>
      <x:c r="Y497" s="47">
        <x:f>IF(K497&gt;0,K497+IF(T497&gt;0,T497,0),T497)</x:f>
      </x:c>
      <x:c r="Z497" s="51">
        <x:f>IF(M497&gt;0,M497+IF(V497&gt;0,V497,0),V497)</x:f>
      </x:c>
      <x:c r="AA497" s="43"/>
      <x:c r="AB497" s="50">
        <x:v>2.1</x:v>
      </x:c>
      <x:c r="AC497" s="8">
        <x:v>3016</x:v>
      </x:c>
      <x:c r="AD497" s="53">
        <x:v>2.1</x:v>
      </x:c>
      <x:c r="AE497" s="40"/>
      <x:c r="AF497" s="43"/>
      <x:c r="AG497" s="43"/>
      <x:c r="AH497" s="47">
        <x:f>(Y497-(90*Ventas!AE23*0.9644))</x:f>
      </x:c>
      <x:c r="AI497" s="49">
        <x:f>(AH497/(Ventas!AE23*0.9644)/80)</x:f>
      </x:c>
      <x:c r="AJ497" s="51">
        <x:f>(Z497-(90*Ventas!AE505*0.9644))</x:f>
      </x:c>
      <x:c r="AK497" s="52">
        <x:f>(AJ497/(Ventas!AE505*0.9644)/80)</x:f>
      </x:c>
      <x:c r="AL497" s="43"/>
      <x:c r="AM497" s="43"/>
      <x:c r="AN497" s="55">
        <x:f>(IF(AH497&gt;0,AH497,0)+IF(AJ497&gt;0,AJ497,0)+IF(AL497&gt;0,AL497,0))</x:f>
      </x:c>
      <x:c r="AO497" s="56">
        <x:f>(((AI497*7)+(AK497*1)+(AM497*1))/8)</x:f>
      </x:c>
      <x:c r="AP497" s="4" t="s">
        <x:v>35</x:v>
      </x:c>
    </x:row>
    <x:row r="498">
      <x:c r="A498" s="4" t="s">
        <x:v>397</x:v>
      </x:c>
      <x:c r="B498" s="4" t="s">
        <x:v>396</x:v>
      </x:c>
      <x:c r="C498" s="38" t="s">
        <x:v>395</x:v>
      </x:c>
      <x:c r="D498" s="41" t="s">
        <x:v>1555</x:v>
      </x:c>
      <x:c r="E498" s="44"/>
      <x:c r="F498" s="8">
        <x:v>3354</x:v>
      </x:c>
      <x:c r="G498" s="57">
        <x:v>303</x:v>
      </x:c>
      <x:c r="H498" s="43"/>
      <x:c r="I498" s="45">
        <x:v>46313</x:v>
      </x:c>
      <x:c r="J498" s="46">
        <x:v>81</x:v>
      </x:c>
      <x:c r="K498" s="47">
        <x:f>(F498-(0)+0-(J498*Ventas!AE125*1.0556))</x:f>
      </x:c>
      <x:c r="L498" s="49">
        <x:f>(K498/(Ventas!AE125*1.0556)/80)</x:f>
      </x:c>
      <x:c r="M498" s="51">
        <x:f>(G498-(0)+0-(J498*Ventas!AE520*1.0556))</x:f>
      </x:c>
      <x:c r="N498" s="52">
        <x:f>(M498/(Ventas!AE520*1.0556)/80)</x:f>
      </x:c>
      <x:c r="O498" s="54">
        <x:f>(H498+0)</x:f>
      </x:c>
      <x:c r="P498" s="43"/>
      <x:c r="Q498" s="55">
        <x:f>(K498+M498+O498)</x:f>
      </x:c>
      <x:c r="R498" s="56">
        <x:f>(((L498*7)+(N498*1)+(P498*0))/8)</x:f>
      </x:c>
      <x:c r="S498" s="47">
        <x:f>(180*(Ventas!AE125*0.9644) - IF(K498&gt;0,K498,0))</x:f>
      </x:c>
      <x:c r="T498" s="47">
        <x:f>IF(S498&gt;0,S498,0)</x:f>
      </x:c>
      <x:c r="U498" s="51">
        <x:f>(180*(Ventas!AE520*0.9644) - IF(M498&gt;0,M498,0))</x:f>
      </x:c>
      <x:c r="V498" s="51">
        <x:f>IF(U498&gt;0,U498,0)</x:f>
      </x:c>
      <x:c r="W498" s="43"/>
      <x:c r="X498" s="43"/>
      <x:c r="Y498" s="47">
        <x:f>IF(K498&gt;0,K498+IF(T498&gt;0,T498,0),T498)</x:f>
      </x:c>
      <x:c r="Z498" s="51">
        <x:f>IF(M498&gt;0,M498+IF(V498&gt;0,V498,0),V498)</x:f>
      </x:c>
      <x:c r="AA498" s="43"/>
      <x:c r="AB498" s="50">
        <x:v>1.75</x:v>
      </x:c>
      <x:c r="AC498" s="8">
        <x:v>3016</x:v>
      </x:c>
      <x:c r="AD498" s="53">
        <x:v>1.75</x:v>
      </x:c>
      <x:c r="AE498" s="40"/>
      <x:c r="AF498" s="43"/>
      <x:c r="AG498" s="43"/>
      <x:c r="AH498" s="47">
        <x:f>(Y498-(90*Ventas!AE125*0.9644))</x:f>
      </x:c>
      <x:c r="AI498" s="49">
        <x:f>(AH498/(Ventas!AE125*0.9644)/80)</x:f>
      </x:c>
      <x:c r="AJ498" s="51">
        <x:f>(Z498-(90*Ventas!AE520*0.9644))</x:f>
      </x:c>
      <x:c r="AK498" s="52">
        <x:f>(AJ498/(Ventas!AE520*0.9644)/80)</x:f>
      </x:c>
      <x:c r="AL498" s="43"/>
      <x:c r="AM498" s="43"/>
      <x:c r="AN498" s="55">
        <x:f>(IF(AH498&gt;0,AH498,0)+IF(AJ498&gt;0,AJ498,0)+IF(AL498&gt;0,AL498,0))</x:f>
      </x:c>
      <x:c r="AO498" s="56">
        <x:f>(((AI498*7)+(AK498*1)+(AM498*1))/8)</x:f>
      </x:c>
      <x:c r="AP498" s="4" t="s">
        <x:v>35</x:v>
      </x:c>
    </x:row>
    <x:row r="499">
      <x:c r="A499" s="4" t="s">
        <x:v>302</x:v>
      </x:c>
      <x:c r="B499" s="4" t="s">
        <x:v>301</x:v>
      </x:c>
      <x:c r="C499" s="38" t="s">
        <x:v>300</x:v>
      </x:c>
      <x:c r="D499" s="41" t="s">
        <x:v>1534</x:v>
      </x:c>
      <x:c r="E499" s="44"/>
      <x:c r="F499" s="8">
        <x:v>9642</x:v>
      </x:c>
      <x:c r="G499" s="57">
        <x:v>849</x:v>
      </x:c>
      <x:c r="H499" s="43"/>
      <x:c r="I499" s="45">
        <x:v>46313</x:v>
      </x:c>
      <x:c r="J499" s="46">
        <x:v>81</x:v>
      </x:c>
      <x:c r="K499" s="47">
        <x:f>(F499-(0)+0-(J499*Ventas!AE93*1.0556))</x:f>
      </x:c>
      <x:c r="L499" s="49">
        <x:f>(K499/(Ventas!AE93*1.0556)/80)</x:f>
      </x:c>
      <x:c r="M499" s="51">
        <x:f>(G499-(0)+0-(J499*Ventas!AE512*1.0556))</x:f>
      </x:c>
      <x:c r="N499" s="52">
        <x:f>(M499/(Ventas!AE512*1.0556)/80)</x:f>
      </x:c>
      <x:c r="O499" s="54">
        <x:f>(H499+0)</x:f>
      </x:c>
      <x:c r="P499" s="43"/>
      <x:c r="Q499" s="55">
        <x:f>(K499+M499+O499)</x:f>
      </x:c>
      <x:c r="R499" s="56">
        <x:f>(((L499*7)+(N499*1)+(P499*0))/8)</x:f>
      </x:c>
      <x:c r="S499" s="47">
        <x:f>(180*(Ventas!AE93*0.9644) - IF(K499&gt;0,K499,0))</x:f>
      </x:c>
      <x:c r="T499" s="47">
        <x:f>IF(S499&gt;0,S499,0)</x:f>
      </x:c>
      <x:c r="U499" s="51">
        <x:f>(180*(Ventas!AE512*0.9644) - IF(M499&gt;0,M499,0))</x:f>
      </x:c>
      <x:c r="V499" s="51">
        <x:f>IF(U499&gt;0,U499,0)</x:f>
      </x:c>
      <x:c r="W499" s="43"/>
      <x:c r="X499" s="43"/>
      <x:c r="Y499" s="47">
        <x:f>IF(K499&gt;0,K499+IF(T499&gt;0,T499,0),T499)</x:f>
      </x:c>
      <x:c r="Z499" s="51">
        <x:f>IF(M499&gt;0,M499+IF(V499&gt;0,V499,0),V499)</x:f>
      </x:c>
      <x:c r="AA499" s="43"/>
      <x:c r="AB499" s="50">
        <x:v>1.4</x:v>
      </x:c>
      <x:c r="AC499" s="8">
        <x:v>3016</x:v>
      </x:c>
      <x:c r="AD499" s="53">
        <x:v>1.4</x:v>
      </x:c>
      <x:c r="AE499" s="40"/>
      <x:c r="AF499" s="43"/>
      <x:c r="AG499" s="43"/>
      <x:c r="AH499" s="47">
        <x:f>(Y499-(90*Ventas!AE93*0.9644))</x:f>
      </x:c>
      <x:c r="AI499" s="49">
        <x:f>(AH499/(Ventas!AE93*0.9644)/80)</x:f>
      </x:c>
      <x:c r="AJ499" s="51">
        <x:f>(Z499-(90*Ventas!AE512*0.9644))</x:f>
      </x:c>
      <x:c r="AK499" s="52">
        <x:f>(AJ499/(Ventas!AE512*0.9644)/80)</x:f>
      </x:c>
      <x:c r="AL499" s="43"/>
      <x:c r="AM499" s="43"/>
      <x:c r="AN499" s="55">
        <x:f>(IF(AH499&gt;0,AH499,0)+IF(AJ499&gt;0,AJ499,0)+IF(AL499&gt;0,AL499,0))</x:f>
      </x:c>
      <x:c r="AO499" s="56">
        <x:f>(((AI499*7)+(AK499*1)+(AM499*1))/8)</x:f>
      </x:c>
      <x:c r="AP499" s="4" t="s">
        <x:v>35</x:v>
      </x:c>
    </x:row>
    <x:row r="500">
      <x:c r="A500" s="4" t="s">
        <x:v>1067</x:v>
      </x:c>
      <x:c r="B500" s="4" t="s">
        <x:v>1066</x:v>
      </x:c>
      <x:c r="C500" s="38" t="s">
        <x:v>1065</x:v>
      </x:c>
      <x:c r="D500" s="41"/>
      <x:c r="E500" s="44"/>
      <x:c r="F500" s="6"/>
      <x:c r="G500" s="40"/>
      <x:c r="H500" s="43"/>
      <x:c r="I500" s="45">
        <x:v>46313</x:v>
      </x:c>
      <x:c r="J500" s="46">
        <x:v>81</x:v>
      </x:c>
      <x:c r="K500" s="47">
        <x:f>(F500-(0)+0-(J500*Ventas!AE352*1.0556))</x:f>
      </x:c>
      <x:c r="L500" s="6"/>
      <x:c r="M500" s="51">
        <x:f>(G500+0)</x:f>
      </x:c>
      <x:c r="N500" s="40"/>
      <x:c r="O500" s="54">
        <x:f>(H500+0)</x:f>
      </x:c>
      <x:c r="P500" s="43"/>
      <x:c r="Q500" s="55">
        <x:f>(K500+M500+O500)</x:f>
      </x:c>
      <x:c r="R500" s="56">
        <x:f>(((L500*7)+(N500*1)+(P500*0))/8)</x:f>
      </x:c>
      <x:c r="S500" s="47">
        <x:f>(180*(Ventas!AE352*0.9644) - IF(K500&gt;0,K500,0))</x:f>
      </x:c>
      <x:c r="T500" s="47">
        <x:f>IF(S500&gt;0,S500,0)</x:f>
      </x:c>
      <x:c r="U500" s="40"/>
      <x:c r="V500" s="40"/>
      <x:c r="W500" s="43"/>
      <x:c r="X500" s="43"/>
      <x:c r="Y500" s="47">
        <x:f>IF(K500&gt;0,K500+IF(T500&gt;0,T500,0),T500)</x:f>
      </x:c>
      <x:c r="Z500" s="40"/>
      <x:c r="AA500" s="43"/>
      <x:c r="AB500" s="50">
        <x:v>1.4489</x:v>
      </x:c>
      <x:c r="AC500" s="8">
        <x:v>3022</x:v>
      </x:c>
      <x:c r="AD500" s="40"/>
      <x:c r="AE500" s="40"/>
      <x:c r="AF500" s="43"/>
      <x:c r="AG500" s="43"/>
      <x:c r="AH500" s="6"/>
      <x:c r="AI500" s="6"/>
      <x:c r="AJ500" s="40"/>
      <x:c r="AK500" s="40"/>
      <x:c r="AL500" s="43"/>
      <x:c r="AM500" s="43"/>
      <x:c r="AN500" s="55">
        <x:f>(IF(AH500&gt;0,AH500,0)+IF(AJ500&gt;0,AJ500,0)+IF(AL500&gt;0,AL500,0))</x:f>
      </x:c>
      <x:c r="AO500" s="56">
        <x:f>(((AI500*7)+(AK500*1)+(AM500*1))/8)</x:f>
      </x:c>
      <x:c r="AP500" s="4" t="s">
        <x:v>35</x:v>
      </x:c>
    </x:row>
  </x:sheetData>
  <x:mergeCells count="2">
    <x:mergeCell ref="I3:AA3"/>
    <x:mergeCell ref="AH3:AO3"/>
  </x:mergeCells>
  <x:legacyDrawing r:id="R34b16c1f2d404d5b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2026-07-29T13:32:41Z</dcterms:created>
  <dcterms:modified xsi:type="dcterms:W3CDTF">2026-07-29T13:37:29Z</dcterms:modified>
</cp:coreProperties>
</file>